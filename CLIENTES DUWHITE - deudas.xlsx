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drawings/drawing2.xml" ContentType="application/vnd.openxmlformats-officedocument.drawing+xml"/>
  <Override PartName="/xl/ink/ink2.xml" ContentType="application/inkml+xml"/>
  <Override PartName="/xl/ink/ink3.xml" ContentType="application/inkml+xml"/>
  <Override PartName="/xl/drawings/drawing3.xml" ContentType="application/vnd.openxmlformats-officedocument.drawing+xml"/>
  <Override PartName="/xl/ink/ink4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ficina\Desktop\"/>
    </mc:Choice>
  </mc:AlternateContent>
  <xr:revisionPtr revIDLastSave="0" documentId="13_ncr:1_{85CA3314-1918-4DE8-9D99-704A69455C42}" xr6:coauthVersionLast="47" xr6:coauthVersionMax="47" xr10:uidLastSave="{00000000-0000-0000-0000-000000000000}"/>
  <bookViews>
    <workbookView xWindow="-120" yWindow="-120" windowWidth="24240" windowHeight="13020" firstSheet="24" activeTab="31" xr2:uid="{00000000-000D-0000-FFFF-FFFF00000000}"/>
  </bookViews>
  <sheets>
    <sheet name="CLIENTES" sheetId="1" r:id="rId1"/>
    <sheet name="AOMA" sheetId="2" r:id="rId2"/>
    <sheet name="DOMUS CENTER" sheetId="63" r:id="rId3"/>
    <sheet name="DOMUS AUDITORIUM " sheetId="3" r:id="rId4"/>
    <sheet name="BRISA DEL LAGO" sheetId="4" r:id="rId5"/>
    <sheet name="BUENA VISTA" sheetId="5" r:id="rId6"/>
    <sheet name="CAPVIO" sheetId="6" r:id="rId7"/>
    <sheet name="CIERVO DE ORO" sheetId="7" r:id="rId8"/>
    <sheet name="CLARITA" sheetId="8" r:id="rId9"/>
    <sheet name="COLEGIO FARMACEUTICOS" sheetId="9" r:id="rId10"/>
    <sheet name="COLONIA 12 DE OCTUBRE" sheetId="10" r:id="rId11"/>
    <sheet name="COMARCA" sheetId="12" r:id="rId12"/>
    <sheet name="CONDOR" sheetId="13" r:id="rId13"/>
    <sheet name="COLONIA 8 DE MARZO" sheetId="11" r:id="rId14"/>
    <sheet name="CONTINENTAL" sheetId="14" r:id="rId15"/>
    <sheet name="CORONADO" sheetId="15" r:id="rId16"/>
    <sheet name="COSTA LAGO" sheetId="16" r:id="rId17"/>
    <sheet name="CYBELES" sheetId="17" r:id="rId18"/>
    <sheet name="DUPLEX" sheetId="18" r:id="rId19"/>
    <sheet name="EL CONDADO" sheetId="19" r:id="rId20"/>
    <sheet name="EMBAJADOR" sheetId="20" r:id="rId21"/>
    <sheet name="ERNESTINA" sheetId="21" r:id="rId22"/>
    <sheet name="GALA" sheetId="23" r:id="rId23"/>
    <sheet name="ESTILO" sheetId="22" r:id="rId24"/>
    <sheet name="GOLDEN ROSS" sheetId="24" r:id="rId25"/>
    <sheet name="HOTEL 376" sheetId="25" r:id="rId26"/>
    <sheet name="IMPERIAL" sheetId="26" r:id="rId27"/>
    <sheet name="INTERLAC" sheetId="27" r:id="rId28"/>
    <sheet name="INTI HUASI" sheetId="28" r:id="rId29"/>
    <sheet name="LAGO AZUL" sheetId="29" r:id="rId30"/>
    <sheet name="LAKE DOMUS" sheetId="30" r:id="rId31"/>
    <sheet name="LE MIRAGE" sheetId="31" r:id="rId32"/>
    <sheet name="LUCAS" sheetId="32" r:id="rId33"/>
    <sheet name="MADERO" sheetId="33" r:id="rId34"/>
    <sheet name="MARBOT" sheetId="34" r:id="rId35"/>
    <sheet name="MIRADOR DE LA VILLA" sheetId="35" r:id="rId36"/>
    <sheet name="MIRADOR DE LAS SIERRAS" sheetId="36" r:id="rId37"/>
    <sheet name="MIRADOR DEL NEVADO" sheetId="37" r:id="rId38"/>
    <sheet name="MONTECATINI" sheetId="38" r:id="rId39"/>
    <sheet name="MORADILLO" sheetId="39" r:id="rId40"/>
    <sheet name="NAZARETH" sheetId="40" r:id="rId41"/>
    <sheet name="PANORAMA" sheetId="41" r:id="rId42"/>
    <sheet name="PARQUE" sheetId="42" r:id="rId43"/>
    <sheet name="PINARES CERRO HOTEL" sheetId="43" r:id="rId44"/>
    <sheet name="PINARES CERRO MANTELERIA" sheetId="44" r:id="rId45"/>
    <sheet name="PINARES PANORAMA HOTEL" sheetId="45" r:id="rId46"/>
    <sheet name="PINARES PANORAMA MANTELERIA" sheetId="46" r:id="rId47"/>
    <sheet name="POSADA DEL ANGEL" sheetId="47" r:id="rId48"/>
    <sheet name="PRESIDENTE" sheetId="48" r:id="rId49"/>
    <sheet name="QUORUM" sheetId="49" r:id="rId50"/>
    <sheet name="RANQUELES " sheetId="50" r:id="rId51"/>
    <sheet name="RIVIERA" sheetId="51" r:id="rId52"/>
    <sheet name="RUCA" sheetId="52" r:id="rId53"/>
    <sheet name="TAGORE" sheetId="53" r:id="rId54"/>
    <sheet name="TOULON" sheetId="54" r:id="rId55"/>
    <sheet name="VAIVEN POSADA" sheetId="55" r:id="rId56"/>
    <sheet name="VENETO" sheetId="56" r:id="rId57"/>
    <sheet name="VILLA PAZ" sheetId="57" r:id="rId58"/>
    <sheet name="VILLA PIREN" sheetId="58" r:id="rId59"/>
    <sheet name="VITTO" sheetId="59" r:id="rId60"/>
    <sheet name="WYNWOOD" sheetId="60" r:id="rId61"/>
    <sheet name="Y 111" sheetId="61" r:id="rId62"/>
    <sheet name="FLY KITCHEN" sheetId="69" r:id="rId63"/>
    <sheet name="TRES PIRCAS" sheetId="71" r:id="rId64"/>
    <sheet name="HENIA" sheetId="70" r:id="rId65"/>
  </sheets>
  <definedNames>
    <definedName name="_xlnm._FilterDatabase" localSheetId="0" hidden="1">CLIENTES!$A$1:$B$1</definedName>
    <definedName name="_xlnm._FilterDatabase" localSheetId="14" hidden="1">CONTINENTAL!$A$2:$E$2</definedName>
    <definedName name="_xlnm._FilterDatabase" localSheetId="18" hidden="1">DUPLEX!$A$3:$G$1004</definedName>
    <definedName name="DUPLEX_CYBELES_CLARITA_WYNWOOD" localSheetId="0">CLIENTES!$A$15</definedName>
    <definedName name="DUPLEX_CYBELES_WYNWOOD">CLIENTES!$A$15</definedName>
    <definedName name="HENIA">CLIENTES!$A$55</definedName>
    <definedName name="HENIIA">CLIENTES!$A$24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9" roundtripDataChecksum="XbdJ/lF4WIeTgwDRiFlRDTr10ug32S7vuGN4wFW1N6A="/>
    </ext>
  </extLst>
</workbook>
</file>

<file path=xl/calcChain.xml><?xml version="1.0" encoding="utf-8"?>
<calcChain xmlns="http://schemas.openxmlformats.org/spreadsheetml/2006/main">
  <c r="G2" i="71" l="1"/>
  <c r="G2" i="69"/>
  <c r="G2" i="70"/>
  <c r="B25" i="1" s="1"/>
  <c r="G2" i="14"/>
  <c r="G2" i="51"/>
  <c r="J3" i="51" l="1"/>
  <c r="B46" i="1" s="1"/>
  <c r="G2" i="56"/>
  <c r="B51" i="1" s="1"/>
  <c r="G2" i="10"/>
  <c r="B10" i="1" s="1"/>
  <c r="B45" i="1"/>
  <c r="H2" i="14"/>
  <c r="B14" i="1" s="1"/>
  <c r="G2" i="42"/>
  <c r="B7" i="1" s="1"/>
  <c r="G2" i="63"/>
  <c r="B18" i="1" s="1"/>
  <c r="G1" i="63"/>
  <c r="G1" i="3"/>
  <c r="B17" i="1" s="1"/>
  <c r="G2" i="19"/>
  <c r="B13" i="1" s="1"/>
  <c r="G2" i="24"/>
  <c r="B6" i="1" s="1"/>
  <c r="G2" i="61"/>
  <c r="B55" i="1" s="1"/>
  <c r="G2" i="60"/>
  <c r="G2" i="59"/>
  <c r="B54" i="1" s="1"/>
  <c r="G2" i="58"/>
  <c r="B53" i="1" s="1"/>
  <c r="G2" i="57"/>
  <c r="B52" i="1" s="1"/>
  <c r="G2" i="55"/>
  <c r="B50" i="1" s="1"/>
  <c r="G2" i="54"/>
  <c r="B48" i="1" s="1"/>
  <c r="G2" i="53"/>
  <c r="B47" i="1" s="1"/>
  <c r="G2" i="52"/>
  <c r="G2" i="50"/>
  <c r="B44" i="1" s="1"/>
  <c r="G2" i="49"/>
  <c r="B43" i="1" s="1"/>
  <c r="G2" i="48"/>
  <c r="B42" i="1" s="1"/>
  <c r="G2" i="47"/>
  <c r="B2" i="1" s="1"/>
  <c r="G2" i="46"/>
  <c r="B41" i="1" s="1"/>
  <c r="G2" i="45"/>
  <c r="B40" i="1" s="1"/>
  <c r="G2" i="44"/>
  <c r="B39" i="1" s="1"/>
  <c r="G2" i="43"/>
  <c r="B38" i="1" s="1"/>
  <c r="G2" i="41"/>
  <c r="B37" i="1" s="1"/>
  <c r="G2" i="40"/>
  <c r="B36" i="1" s="1"/>
  <c r="G2" i="39"/>
  <c r="B35" i="1" s="1"/>
  <c r="G2" i="38"/>
  <c r="G2" i="37"/>
  <c r="G2" i="36"/>
  <c r="B34" i="1" s="1"/>
  <c r="G2" i="35"/>
  <c r="B33" i="1" s="1"/>
  <c r="G2" i="34"/>
  <c r="B32" i="1" s="1"/>
  <c r="G2" i="33"/>
  <c r="B31" i="1" s="1"/>
  <c r="G2" i="32"/>
  <c r="B8" i="1" s="1"/>
  <c r="G2" i="31"/>
  <c r="B30" i="1" s="1"/>
  <c r="G2" i="30"/>
  <c r="B19" i="1" s="1"/>
  <c r="G2" i="29"/>
  <c r="G2" i="28"/>
  <c r="B29" i="1" s="1"/>
  <c r="G2" i="27"/>
  <c r="B28" i="1" s="1"/>
  <c r="G2" i="26"/>
  <c r="B27" i="1" s="1"/>
  <c r="G2" i="25"/>
  <c r="B26" i="1" s="1"/>
  <c r="G2" i="23"/>
  <c r="B24" i="1" s="1"/>
  <c r="G2" i="22"/>
  <c r="B23" i="1" s="1"/>
  <c r="G2" i="21"/>
  <c r="B22" i="1" s="1"/>
  <c r="G2" i="20"/>
  <c r="B21" i="1" s="1"/>
  <c r="G2" i="18"/>
  <c r="B20" i="1" s="1"/>
  <c r="G2" i="17"/>
  <c r="G2" i="16"/>
  <c r="B16" i="1" s="1"/>
  <c r="G2" i="15"/>
  <c r="B15" i="1" s="1"/>
  <c r="G2" i="13"/>
  <c r="G2" i="12"/>
  <c r="B12" i="1" s="1"/>
  <c r="G2" i="11"/>
  <c r="B11" i="1" s="1"/>
  <c r="G2" i="9"/>
  <c r="B9" i="1" s="1"/>
  <c r="G2" i="8"/>
  <c r="G2" i="7"/>
  <c r="G2" i="6"/>
  <c r="B49" i="1" s="1"/>
  <c r="G2" i="5"/>
  <c r="B5" i="1" s="1"/>
  <c r="G2" i="4"/>
  <c r="B4" i="1" s="1"/>
  <c r="G2" i="3"/>
  <c r="G2" i="2"/>
  <c r="B3" i="1" s="1"/>
  <c r="C1" i="1" l="1"/>
</calcChain>
</file>

<file path=xl/sharedStrings.xml><?xml version="1.0" encoding="utf-8"?>
<sst xmlns="http://schemas.openxmlformats.org/spreadsheetml/2006/main" count="1124" uniqueCount="234">
  <si>
    <t>DEUDA</t>
  </si>
  <si>
    <t>AOMA</t>
  </si>
  <si>
    <t>BRISA DEL LAGO</t>
  </si>
  <si>
    <t>BUENA VISTA</t>
  </si>
  <si>
    <t>CIERVO DE ORO</t>
  </si>
  <si>
    <t>CLARITA</t>
  </si>
  <si>
    <t>COLEGIO FARMACEUTICOS</t>
  </si>
  <si>
    <t>COLONIA 12 DE OCTUBRE</t>
  </si>
  <si>
    <t>COLONIA 8 DE MARZO</t>
  </si>
  <si>
    <t>COMARCA</t>
  </si>
  <si>
    <t>CONDOR</t>
  </si>
  <si>
    <t>CONTINENTAL</t>
  </si>
  <si>
    <t>CORONADO</t>
  </si>
  <si>
    <t>COSTA LAGO</t>
  </si>
  <si>
    <t>CYBELES</t>
  </si>
  <si>
    <t>EL CONDADO</t>
  </si>
  <si>
    <t>ERNESTINA</t>
  </si>
  <si>
    <t>ESTILO</t>
  </si>
  <si>
    <t>GALA</t>
  </si>
  <si>
    <t>HOTEL 376</t>
  </si>
  <si>
    <t>IMPERIAL</t>
  </si>
  <si>
    <t>INTERLAC</t>
  </si>
  <si>
    <t>INTI HUASI</t>
  </si>
  <si>
    <t>LAGO AZUL</t>
  </si>
  <si>
    <t>LAKE DOMUS</t>
  </si>
  <si>
    <t>LE MIRAGE</t>
  </si>
  <si>
    <t>MADERO</t>
  </si>
  <si>
    <t>MIRADOR DE LA VILLA</t>
  </si>
  <si>
    <t>MIRADOR DE LAS SIERRAS</t>
  </si>
  <si>
    <t>MIRADOR DEL NEVADO</t>
  </si>
  <si>
    <t>MONTECATINI</t>
  </si>
  <si>
    <t>MORADILLO</t>
  </si>
  <si>
    <t>NAZARETH</t>
  </si>
  <si>
    <t>PANORAMA</t>
  </si>
  <si>
    <t>PINARES CERRO HOTEL</t>
  </si>
  <si>
    <t>PINARES CERRO MANTELERIA</t>
  </si>
  <si>
    <t>PINARES PANORAMA HOTEL</t>
  </si>
  <si>
    <t>PINARES PANORAMA MANTELERIA</t>
  </si>
  <si>
    <t>PRESIDENTE</t>
  </si>
  <si>
    <t>QUORUM</t>
  </si>
  <si>
    <t xml:space="preserve">RANQUELES </t>
  </si>
  <si>
    <t>RIVIERA</t>
  </si>
  <si>
    <t>RUCA</t>
  </si>
  <si>
    <t>TAGORE</t>
  </si>
  <si>
    <t>TOULON</t>
  </si>
  <si>
    <t>VAIVEN POSADA</t>
  </si>
  <si>
    <t>VENETO</t>
  </si>
  <si>
    <t>VILLA PAZ</t>
  </si>
  <si>
    <t>VILLA PIREN</t>
  </si>
  <si>
    <t>VITTO</t>
  </si>
  <si>
    <t>WYNWOOD</t>
  </si>
  <si>
    <t>Y 111</t>
  </si>
  <si>
    <t>volver</t>
  </si>
  <si>
    <t>FECHA</t>
  </si>
  <si>
    <t>IMPORTE ADEUDADO</t>
  </si>
  <si>
    <t>ENTREGAS</t>
  </si>
  <si>
    <t>FORMA DE PAGO</t>
  </si>
  <si>
    <t xml:space="preserve">DETALLE </t>
  </si>
  <si>
    <t>TOTAL</t>
  </si>
  <si>
    <t>CHEQUE</t>
  </si>
  <si>
    <t>225514 FECHA 25/8</t>
  </si>
  <si>
    <t>AJUSTE</t>
  </si>
  <si>
    <t>792984  CHEQUE</t>
  </si>
  <si>
    <t>EFECTIVO</t>
  </si>
  <si>
    <t>CENTER</t>
  </si>
  <si>
    <t>AUDITORIUM</t>
  </si>
  <si>
    <t>CHEQ</t>
  </si>
  <si>
    <t>CHEQUES</t>
  </si>
  <si>
    <t>CHEQUES 5 1.5</t>
  </si>
  <si>
    <t>cheq 478649</t>
  </si>
  <si>
    <t>PAGO A CTA</t>
  </si>
  <si>
    <t>EL 5 DEL 10 DEL 2023 ENTREGO 10 CHEQ. DE $1.000.000</t>
  </si>
  <si>
    <t>SALDO A FAVOR</t>
  </si>
  <si>
    <t>DESDE 01/10/2023 PARA ADELANTE</t>
  </si>
  <si>
    <t xml:space="preserve">COSTA LAGO </t>
  </si>
  <si>
    <t>(4 E-CHEQ) de 550 mil</t>
  </si>
  <si>
    <t>cheq fis</t>
  </si>
  <si>
    <t>efect.</t>
  </si>
  <si>
    <t>CONTINENTAL y RUCA</t>
  </si>
  <si>
    <t>CONTINENTAL Y RUCA</t>
  </si>
  <si>
    <t>INTI HUASI-LAGO AZUL-CONDOR-NEVADO</t>
  </si>
  <si>
    <t>INTI HUASI-NEVADO-LAGO AZUL-CONDOR</t>
  </si>
  <si>
    <t>24/1 -- 21/3</t>
  </si>
  <si>
    <t>NEVADO</t>
  </si>
  <si>
    <t>IVA MAYO</t>
  </si>
  <si>
    <t>IVA FEB-MARZ-ABRIL</t>
  </si>
  <si>
    <t>IVA JUNIO</t>
  </si>
  <si>
    <t>IVA JULIO</t>
  </si>
  <si>
    <t>22/3--7/8</t>
  </si>
  <si>
    <t>DESDE 01/02/2024 PARA ADELANTE</t>
  </si>
  <si>
    <t>EL 01/02/2024 ENTREGARON $10.000.000 A CTA DE HOTEL RIVIERA</t>
  </si>
  <si>
    <t>TRANSF.</t>
  </si>
  <si>
    <t>CHEQUES FIS,</t>
  </si>
  <si>
    <t>E-CHEQ.</t>
  </si>
  <si>
    <t>01/1 AL 31/4</t>
  </si>
  <si>
    <t>12/7 al 23/7</t>
  </si>
  <si>
    <t>efec</t>
  </si>
  <si>
    <t>1/7 al 7/8</t>
  </si>
  <si>
    <t>transf a jere</t>
  </si>
  <si>
    <t>winwood</t>
  </si>
  <si>
    <t>duplex</t>
  </si>
  <si>
    <t>cybeles</t>
  </si>
  <si>
    <t>madero</t>
  </si>
  <si>
    <t>DEUDA ANTERIOR</t>
  </si>
  <si>
    <t>TRANSF</t>
  </si>
  <si>
    <t>saldo anterior</t>
  </si>
  <si>
    <t>26/7 al12/8</t>
  </si>
  <si>
    <t>cabañas</t>
  </si>
  <si>
    <t>apart</t>
  </si>
  <si>
    <t>cheque</t>
  </si>
  <si>
    <t>DOMUS LAKE</t>
  </si>
  <si>
    <t>CONDADO</t>
  </si>
  <si>
    <t>e cheq</t>
  </si>
  <si>
    <t>cheq</t>
  </si>
  <si>
    <t>2 ECHEQ DE 500</t>
  </si>
  <si>
    <t>13/8 al26/8</t>
  </si>
  <si>
    <t>13/8 al 26/8</t>
  </si>
  <si>
    <t>transf.</t>
  </si>
  <si>
    <t>efect. Y transf</t>
  </si>
  <si>
    <t>2 CHEQUES</t>
  </si>
  <si>
    <t>8/8 AL 5/9</t>
  </si>
  <si>
    <t>27/8 AL 11/9</t>
  </si>
  <si>
    <t>APART</t>
  </si>
  <si>
    <t>2CHEQ DE 1,5</t>
  </si>
  <si>
    <t>IVA AGOSTO</t>
  </si>
  <si>
    <t>PRECOMPRA ESTUDIANTIL 2024</t>
  </si>
  <si>
    <t>5 E-CHEQ DE 750</t>
  </si>
  <si>
    <t>FTVO</t>
  </si>
  <si>
    <t>EFECT</t>
  </si>
  <si>
    <t>CUBRE CAMA</t>
  </si>
  <si>
    <t>efect u$d (2.000)</t>
  </si>
  <si>
    <t>transf</t>
  </si>
  <si>
    <t>TRANSF. VARIAS.</t>
  </si>
  <si>
    <t>200 FT Y 500 CHEQ</t>
  </si>
  <si>
    <t>2 cheq de 5 millones</t>
  </si>
  <si>
    <t>12/9 al 9/10</t>
  </si>
  <si>
    <t>cabaña</t>
  </si>
  <si>
    <t>efect</t>
  </si>
  <si>
    <t>2 cheq</t>
  </si>
  <si>
    <t>por diferencia de precios</t>
  </si>
  <si>
    <t>4 cheq de 5 millones</t>
  </si>
  <si>
    <t>8/8 al 27/10</t>
  </si>
  <si>
    <t>TRANSF A MI</t>
  </si>
  <si>
    <t>wymwood</t>
  </si>
  <si>
    <t>3 cheques</t>
  </si>
  <si>
    <t>10/10 al 6/11</t>
  </si>
  <si>
    <t>7/11 al 6/12</t>
  </si>
  <si>
    <t>DICIEMBRE</t>
  </si>
  <si>
    <t>DUPLEX</t>
  </si>
  <si>
    <t>E CHEQ</t>
  </si>
  <si>
    <t>EFECT.</t>
  </si>
  <si>
    <t>2 CHEQ</t>
  </si>
  <si>
    <t xml:space="preserve"> E-CHEQ</t>
  </si>
  <si>
    <t>CABAÑAS</t>
  </si>
  <si>
    <t xml:space="preserve">DOMUS AUDITORIUM </t>
  </si>
  <si>
    <t>28/10 al 26/1</t>
  </si>
  <si>
    <t>CAÑITAS</t>
  </si>
  <si>
    <t>01/09 AL 26/1</t>
  </si>
  <si>
    <t>IVA SEPT</t>
  </si>
  <si>
    <t>IVA OCT</t>
  </si>
  <si>
    <t>ruca</t>
  </si>
  <si>
    <t>continental</t>
  </si>
  <si>
    <t>IVA ENERO</t>
  </si>
  <si>
    <t>transfirio</t>
  </si>
  <si>
    <t>transferencia</t>
  </si>
  <si>
    <t>cheques</t>
  </si>
  <si>
    <t>EFT</t>
  </si>
  <si>
    <t>efectivo</t>
  </si>
  <si>
    <t>transferencia a Jere</t>
  </si>
  <si>
    <t>DOMUS AUDITORIUM</t>
  </si>
  <si>
    <t>eft</t>
  </si>
  <si>
    <t>ECHEC</t>
  </si>
  <si>
    <t xml:space="preserve">SALDO </t>
  </si>
  <si>
    <t>ENERO/FEBRERO</t>
  </si>
  <si>
    <t>MARZO EN ADELANTE</t>
  </si>
  <si>
    <t xml:space="preserve">CHEQUES </t>
  </si>
  <si>
    <t>2 cheques</t>
  </si>
  <si>
    <t>IVA FEBRERO</t>
  </si>
  <si>
    <t>IVA MARZO</t>
  </si>
  <si>
    <t>IVA ABRIL</t>
  </si>
  <si>
    <t>27/01 al 08/07</t>
  </si>
  <si>
    <t>NC MAYO</t>
  </si>
  <si>
    <t>NC ABRIL</t>
  </si>
  <si>
    <t>NC</t>
  </si>
  <si>
    <t>DUPLEX - CYBELES - WYNWOOD</t>
  </si>
  <si>
    <t>saldo a favor</t>
  </si>
  <si>
    <t xml:space="preserve">ENTREGO </t>
  </si>
  <si>
    <t xml:space="preserve">SALDO DEUDA DE </t>
  </si>
  <si>
    <t>QUEDA EN PRECOMRA</t>
  </si>
  <si>
    <t>PRECIOS</t>
  </si>
  <si>
    <t>SABANAS</t>
  </si>
  <si>
    <t>FUNDAS</t>
  </si>
  <si>
    <t>TOALLAS</t>
  </si>
  <si>
    <t>TOALLON</t>
  </si>
  <si>
    <t>CUBRE CAMAS</t>
  </si>
  <si>
    <t>FRAZADAS</t>
  </si>
  <si>
    <t>ALFOMBRITAS</t>
  </si>
  <si>
    <t>HASTA FINALIZAR PRE COMPRA</t>
  </si>
  <si>
    <t>SALDO Y PRECOMPRA</t>
  </si>
  <si>
    <t>( UN CHEQ DE 5M Y 4 CHEQ DE 8M)</t>
  </si>
  <si>
    <t xml:space="preserve">CENTER </t>
  </si>
  <si>
    <t>DEUDA  03 AL 05</t>
  </si>
  <si>
    <t>09/07 al 07/09</t>
  </si>
  <si>
    <t xml:space="preserve">      5 cheques</t>
  </si>
  <si>
    <t>HENIA</t>
  </si>
  <si>
    <t>catedral</t>
  </si>
  <si>
    <t>interlac</t>
  </si>
  <si>
    <t>3 E-CHEQ</t>
  </si>
  <si>
    <t xml:space="preserve">2 E-CHEQ </t>
  </si>
  <si>
    <t>TRES PIRCAS</t>
  </si>
  <si>
    <t>RITZ</t>
  </si>
  <si>
    <t>CASEROS 248</t>
  </si>
  <si>
    <t>CAUPLAS</t>
  </si>
  <si>
    <t>CATEDRAL</t>
  </si>
  <si>
    <t>cheque INTERLAC</t>
  </si>
  <si>
    <t xml:space="preserve"> </t>
  </si>
  <si>
    <t>TANTO</t>
  </si>
  <si>
    <t>09/07 al 04/01</t>
  </si>
  <si>
    <t>08/09 al 04/01</t>
  </si>
  <si>
    <t xml:space="preserve"> CLIENTES</t>
  </si>
  <si>
    <t>e-cheq</t>
  </si>
  <si>
    <t>LUAR</t>
  </si>
  <si>
    <t>HANS</t>
  </si>
  <si>
    <t>IVA TRANSF</t>
  </si>
  <si>
    <t>SABANA ROTA</t>
  </si>
  <si>
    <t>IVA</t>
  </si>
  <si>
    <t>toallones descuento</t>
  </si>
  <si>
    <t>iva</t>
  </si>
  <si>
    <t>COLONIA DE TANTI</t>
  </si>
  <si>
    <t>COLONIA DE TANTI (FATLYF)</t>
  </si>
  <si>
    <t>EL CID</t>
  </si>
  <si>
    <t>DENUNCIADO $750,000</t>
  </si>
  <si>
    <t>N/C</t>
  </si>
  <si>
    <t>05/01 al 19/03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</si>
</sst>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&quot;$&quot;\ #,##0.00"/>
  </numFmts>
  <fonts count="4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Calibri"/>
      <family val="2"/>
    </font>
    <font>
      <b/>
      <u/>
      <sz val="20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u/>
      <sz val="11"/>
      <color theme="10"/>
      <name val="Calibri"/>
      <family val="2"/>
    </font>
    <font>
      <b/>
      <sz val="14"/>
      <color theme="1"/>
      <name val="Calibr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2"/>
      <color theme="10"/>
      <name val="Calibri"/>
      <family val="2"/>
    </font>
    <font>
      <b/>
      <u/>
      <sz val="14"/>
      <color theme="10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42" fillId="0" borderId="0" applyNumberFormat="0" applyFill="0" applyBorder="0" applyAlignment="0" applyProtection="0"/>
    <xf numFmtId="44" fontId="43" fillId="0" borderId="0" applyFont="0" applyFill="0" applyBorder="0" applyAlignment="0" applyProtection="0"/>
  </cellStyleXfs>
  <cellXfs count="156">
    <xf numFmtId="0" fontId="0" fillId="0" borderId="0" xfId="0"/>
    <xf numFmtId="0" fontId="22" fillId="0" borderId="0" xfId="0" applyFont="1"/>
    <xf numFmtId="0" fontId="23" fillId="0" borderId="0" xfId="0" applyFont="1"/>
    <xf numFmtId="164" fontId="24" fillId="0" borderId="0" xfId="0" applyNumberFormat="1" applyFont="1"/>
    <xf numFmtId="0" fontId="25" fillId="0" borderId="0" xfId="0" applyFont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6" fillId="0" borderId="2" xfId="0" applyFont="1" applyBorder="1" applyAlignment="1">
      <alignment horizontal="center"/>
    </xf>
    <xf numFmtId="164" fontId="26" fillId="0" borderId="2" xfId="0" applyNumberFormat="1" applyFont="1" applyBorder="1" applyAlignment="1">
      <alignment horizontal="center"/>
    </xf>
    <xf numFmtId="0" fontId="26" fillId="2" borderId="2" xfId="0" applyFont="1" applyFill="1" applyBorder="1" applyAlignment="1">
      <alignment horizontal="center"/>
    </xf>
    <xf numFmtId="164" fontId="26" fillId="3" borderId="2" xfId="0" applyNumberFormat="1" applyFont="1" applyFill="1" applyBorder="1"/>
    <xf numFmtId="16" fontId="24" fillId="0" borderId="0" xfId="0" applyNumberFormat="1" applyFont="1" applyAlignment="1">
      <alignment horizontal="center" vertical="center"/>
    </xf>
    <xf numFmtId="0" fontId="26" fillId="0" borderId="0" xfId="0" applyFont="1"/>
    <xf numFmtId="0" fontId="27" fillId="0" borderId="2" xfId="0" applyFont="1" applyBorder="1" applyAlignment="1">
      <alignment horizontal="center"/>
    </xf>
    <xf numFmtId="164" fontId="27" fillId="0" borderId="2" xfId="0" applyNumberFormat="1" applyFont="1" applyBorder="1" applyAlignment="1">
      <alignment horizontal="center"/>
    </xf>
    <xf numFmtId="14" fontId="24" fillId="0" borderId="0" xfId="0" applyNumberFormat="1" applyFont="1" applyAlignment="1">
      <alignment horizontal="right"/>
    </xf>
    <xf numFmtId="164" fontId="24" fillId="0" borderId="0" xfId="0" applyNumberFormat="1" applyFont="1" applyAlignment="1">
      <alignment horizontal="center"/>
    </xf>
    <xf numFmtId="0" fontId="24" fillId="0" borderId="0" xfId="0" applyFont="1" applyAlignment="1">
      <alignment horizontal="right"/>
    </xf>
    <xf numFmtId="0" fontId="24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164" fontId="28" fillId="0" borderId="0" xfId="0" applyNumberFormat="1" applyFont="1" applyAlignment="1">
      <alignment horizontal="right"/>
    </xf>
    <xf numFmtId="14" fontId="24" fillId="0" borderId="0" xfId="0" applyNumberFormat="1" applyFont="1"/>
    <xf numFmtId="0" fontId="28" fillId="2" borderId="1" xfId="0" applyFont="1" applyFill="1" applyBorder="1"/>
    <xf numFmtId="164" fontId="28" fillId="3" borderId="1" xfId="0" applyNumberFormat="1" applyFont="1" applyFill="1" applyBorder="1"/>
    <xf numFmtId="0" fontId="24" fillId="0" borderId="6" xfId="0" applyFont="1" applyBorder="1"/>
    <xf numFmtId="164" fontId="24" fillId="0" borderId="7" xfId="0" applyNumberFormat="1" applyFont="1" applyBorder="1"/>
    <xf numFmtId="0" fontId="24" fillId="0" borderId="8" xfId="0" applyFont="1" applyBorder="1"/>
    <xf numFmtId="164" fontId="24" fillId="0" borderId="9" xfId="0" applyNumberFormat="1" applyFont="1" applyBorder="1"/>
    <xf numFmtId="164" fontId="24" fillId="0" borderId="2" xfId="0" applyNumberFormat="1" applyFont="1" applyBorder="1"/>
    <xf numFmtId="0" fontId="24" fillId="0" borderId="10" xfId="0" applyFont="1" applyBorder="1"/>
    <xf numFmtId="164" fontId="24" fillId="0" borderId="11" xfId="0" applyNumberFormat="1" applyFont="1" applyBorder="1"/>
    <xf numFmtId="14" fontId="0" fillId="0" borderId="0" xfId="0" applyNumberFormat="1"/>
    <xf numFmtId="164" fontId="22" fillId="0" borderId="0" xfId="0" applyNumberFormat="1" applyFont="1"/>
    <xf numFmtId="164" fontId="0" fillId="0" borderId="0" xfId="0" applyNumberFormat="1"/>
    <xf numFmtId="0" fontId="20" fillId="0" borderId="0" xfId="0" applyFont="1"/>
    <xf numFmtId="14" fontId="20" fillId="0" borderId="0" xfId="0" applyNumberFormat="1" applyFont="1"/>
    <xf numFmtId="0" fontId="28" fillId="4" borderId="1" xfId="0" applyFont="1" applyFill="1" applyBorder="1"/>
    <xf numFmtId="0" fontId="29" fillId="0" borderId="0" xfId="0" applyFont="1" applyAlignment="1">
      <alignment horizontal="center"/>
    </xf>
    <xf numFmtId="164" fontId="31" fillId="0" borderId="0" xfId="0" applyNumberFormat="1" applyFont="1" applyAlignment="1">
      <alignment horizontal="center"/>
    </xf>
    <xf numFmtId="0" fontId="31" fillId="2" borderId="1" xfId="0" applyFont="1" applyFill="1" applyBorder="1" applyAlignment="1">
      <alignment horizontal="center"/>
    </xf>
    <xf numFmtId="164" fontId="31" fillId="3" borderId="1" xfId="0" applyNumberFormat="1" applyFont="1" applyFill="1" applyBorder="1" applyAlignment="1">
      <alignment horizontal="center"/>
    </xf>
    <xf numFmtId="0" fontId="32" fillId="0" borderId="0" xfId="0" applyFont="1"/>
    <xf numFmtId="164" fontId="33" fillId="0" borderId="0" xfId="0" applyNumberFormat="1" applyFont="1"/>
    <xf numFmtId="0" fontId="32" fillId="0" borderId="0" xfId="0" applyFont="1" applyAlignment="1">
      <alignment horizontal="center"/>
    </xf>
    <xf numFmtId="164" fontId="33" fillId="0" borderId="0" xfId="0" applyNumberFormat="1" applyFont="1" applyAlignment="1">
      <alignment horizontal="center"/>
    </xf>
    <xf numFmtId="0" fontId="33" fillId="2" borderId="1" xfId="0" applyFont="1" applyFill="1" applyBorder="1" applyAlignment="1">
      <alignment horizontal="center"/>
    </xf>
    <xf numFmtId="164" fontId="33" fillId="3" borderId="1" xfId="0" applyNumberFormat="1" applyFont="1" applyFill="1" applyBorder="1" applyAlignment="1">
      <alignment horizontal="center"/>
    </xf>
    <xf numFmtId="0" fontId="34" fillId="0" borderId="0" xfId="0" applyFont="1"/>
    <xf numFmtId="0" fontId="35" fillId="0" borderId="0" xfId="0" applyFont="1"/>
    <xf numFmtId="17" fontId="0" fillId="0" borderId="0" xfId="0" applyNumberFormat="1"/>
    <xf numFmtId="14" fontId="24" fillId="0" borderId="0" xfId="0" applyNumberFormat="1" applyFont="1" applyAlignment="1">
      <alignment horizontal="center" vertical="center"/>
    </xf>
    <xf numFmtId="0" fontId="30" fillId="0" borderId="6" xfId="0" applyFont="1" applyBorder="1"/>
    <xf numFmtId="164" fontId="30" fillId="0" borderId="7" xfId="0" applyNumberFormat="1" applyFont="1" applyBorder="1"/>
    <xf numFmtId="0" fontId="30" fillId="0" borderId="10" xfId="0" applyFont="1" applyBorder="1"/>
    <xf numFmtId="0" fontId="0" fillId="5" borderId="0" xfId="0" applyFill="1"/>
    <xf numFmtId="0" fontId="19" fillId="0" borderId="0" xfId="0" applyFont="1"/>
    <xf numFmtId="14" fontId="19" fillId="0" borderId="0" xfId="0" applyNumberFormat="1" applyFont="1"/>
    <xf numFmtId="0" fontId="0" fillId="0" borderId="0" xfId="0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right"/>
    </xf>
    <xf numFmtId="0" fontId="31" fillId="0" borderId="3" xfId="0" applyFont="1" applyBorder="1" applyAlignment="1">
      <alignment horizontal="center"/>
    </xf>
    <xf numFmtId="164" fontId="31" fillId="0" borderId="4" xfId="0" applyNumberFormat="1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31" fillId="2" borderId="4" xfId="0" applyFont="1" applyFill="1" applyBorder="1" applyAlignment="1">
      <alignment horizontal="center"/>
    </xf>
    <xf numFmtId="164" fontId="31" fillId="0" borderId="5" xfId="0" applyNumberFormat="1" applyFont="1" applyBorder="1" applyAlignment="1">
      <alignment horizontal="center"/>
    </xf>
    <xf numFmtId="164" fontId="19" fillId="0" borderId="0" xfId="0" applyNumberFormat="1" applyFont="1"/>
    <xf numFmtId="14" fontId="22" fillId="0" borderId="0" xfId="0" applyNumberFormat="1" applyFont="1"/>
    <xf numFmtId="0" fontId="31" fillId="4" borderId="1" xfId="0" applyFont="1" applyFill="1" applyBorder="1" applyAlignment="1">
      <alignment horizontal="center"/>
    </xf>
    <xf numFmtId="0" fontId="21" fillId="0" borderId="0" xfId="0" applyFont="1"/>
    <xf numFmtId="0" fontId="28" fillId="0" borderId="1" xfId="0" applyFont="1" applyBorder="1"/>
    <xf numFmtId="0" fontId="18" fillId="0" borderId="0" xfId="0" applyFont="1"/>
    <xf numFmtId="0" fontId="26" fillId="2" borderId="15" xfId="0" applyFont="1" applyFill="1" applyBorder="1" applyAlignment="1">
      <alignment horizontal="center"/>
    </xf>
    <xf numFmtId="0" fontId="37" fillId="6" borderId="14" xfId="0" applyFont="1" applyFill="1" applyBorder="1" applyAlignment="1">
      <alignment horizontal="center"/>
    </xf>
    <xf numFmtId="164" fontId="26" fillId="3" borderId="15" xfId="0" applyNumberFormat="1" applyFont="1" applyFill="1" applyBorder="1" applyAlignment="1">
      <alignment horizontal="right"/>
    </xf>
    <xf numFmtId="164" fontId="26" fillId="3" borderId="14" xfId="0" applyNumberFormat="1" applyFont="1" applyFill="1" applyBorder="1" applyAlignment="1">
      <alignment horizontal="right"/>
    </xf>
    <xf numFmtId="0" fontId="17" fillId="0" borderId="0" xfId="0" applyFont="1" applyAlignment="1">
      <alignment horizontal="center"/>
    </xf>
    <xf numFmtId="0" fontId="16" fillId="0" borderId="0" xfId="0" applyFont="1"/>
    <xf numFmtId="164" fontId="24" fillId="0" borderId="1" xfId="0" applyNumberFormat="1" applyFont="1" applyBorder="1" applyAlignment="1">
      <alignment horizontal="center" vertical="center"/>
    </xf>
    <xf numFmtId="164" fontId="38" fillId="0" borderId="14" xfId="0" applyNumberFormat="1" applyFont="1" applyBorder="1"/>
    <xf numFmtId="0" fontId="39" fillId="2" borderId="14" xfId="0" applyFont="1" applyFill="1" applyBorder="1"/>
    <xf numFmtId="0" fontId="37" fillId="0" borderId="14" xfId="0" applyFont="1" applyBorder="1"/>
    <xf numFmtId="164" fontId="40" fillId="0" borderId="1" xfId="0" applyNumberFormat="1" applyFont="1" applyBorder="1"/>
    <xf numFmtId="0" fontId="15" fillId="0" borderId="0" xfId="0" applyFont="1"/>
    <xf numFmtId="164" fontId="31" fillId="3" borderId="13" xfId="0" applyNumberFormat="1" applyFont="1" applyFill="1" applyBorder="1" applyAlignment="1">
      <alignment horizontal="center"/>
    </xf>
    <xf numFmtId="0" fontId="31" fillId="2" borderId="14" xfId="0" applyFont="1" applyFill="1" applyBorder="1" applyAlignment="1">
      <alignment horizontal="center"/>
    </xf>
    <xf numFmtId="16" fontId="0" fillId="0" borderId="0" xfId="0" applyNumberFormat="1"/>
    <xf numFmtId="0" fontId="14" fillId="0" borderId="0" xfId="0" applyFont="1"/>
    <xf numFmtId="14" fontId="0" fillId="0" borderId="0" xfId="0" applyNumberFormat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  <xf numFmtId="164" fontId="24" fillId="7" borderId="2" xfId="0" applyNumberFormat="1" applyFont="1" applyFill="1" applyBorder="1"/>
    <xf numFmtId="0" fontId="13" fillId="0" borderId="0" xfId="0" applyFont="1"/>
    <xf numFmtId="0" fontId="0" fillId="0" borderId="0" xfId="0" applyFill="1"/>
    <xf numFmtId="164" fontId="0" fillId="0" borderId="0" xfId="0" applyNumberFormat="1" applyFill="1"/>
    <xf numFmtId="0" fontId="12" fillId="0" borderId="0" xfId="0" applyFont="1"/>
    <xf numFmtId="0" fontId="11" fillId="0" borderId="0" xfId="0" applyFont="1"/>
    <xf numFmtId="0" fontId="33" fillId="0" borderId="2" xfId="0" applyFont="1" applyBorder="1" applyAlignment="1">
      <alignment horizontal="center"/>
    </xf>
    <xf numFmtId="164" fontId="33" fillId="0" borderId="2" xfId="0" applyNumberFormat="1" applyFont="1" applyBorder="1" applyAlignment="1">
      <alignment horizontal="center"/>
    </xf>
    <xf numFmtId="0" fontId="33" fillId="2" borderId="2" xfId="0" applyFont="1" applyFill="1" applyBorder="1" applyAlignment="1">
      <alignment horizontal="center"/>
    </xf>
    <xf numFmtId="164" fontId="33" fillId="3" borderId="2" xfId="0" applyNumberFormat="1" applyFont="1" applyFill="1" applyBorder="1"/>
    <xf numFmtId="0" fontId="42" fillId="0" borderId="0" xfId="1" applyAlignment="1">
      <alignment horizontal="center" vertical="center"/>
    </xf>
    <xf numFmtId="0" fontId="42" fillId="0" borderId="0" xfId="1"/>
    <xf numFmtId="0" fontId="42" fillId="0" borderId="0" xfId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164" fontId="29" fillId="0" borderId="0" xfId="0" applyNumberFormat="1" applyFont="1" applyAlignment="1">
      <alignment horizontal="center"/>
    </xf>
    <xf numFmtId="0" fontId="9" fillId="0" borderId="0" xfId="0" applyFont="1"/>
    <xf numFmtId="14" fontId="9" fillId="0" borderId="0" xfId="0" applyNumberFormat="1" applyFont="1"/>
    <xf numFmtId="0" fontId="28" fillId="0" borderId="1" xfId="0" applyFont="1" applyFill="1" applyBorder="1"/>
    <xf numFmtId="9" fontId="0" fillId="0" borderId="0" xfId="0" applyNumberFormat="1"/>
    <xf numFmtId="14" fontId="0" fillId="0" borderId="16" xfId="0" applyNumberFormat="1" applyBorder="1"/>
    <xf numFmtId="0" fontId="0" fillId="0" borderId="17" xfId="0" applyBorder="1"/>
    <xf numFmtId="164" fontId="24" fillId="0" borderId="18" xfId="0" applyNumberFormat="1" applyFont="1" applyBorder="1"/>
    <xf numFmtId="0" fontId="0" fillId="0" borderId="19" xfId="0" applyBorder="1"/>
    <xf numFmtId="0" fontId="0" fillId="0" borderId="1" xfId="0" applyBorder="1"/>
    <xf numFmtId="164" fontId="24" fillId="0" borderId="20" xfId="0" applyNumberFormat="1" applyFont="1" applyBorder="1"/>
    <xf numFmtId="0" fontId="0" fillId="0" borderId="21" xfId="0" applyBorder="1"/>
    <xf numFmtId="0" fontId="0" fillId="0" borderId="22" xfId="0" applyBorder="1"/>
    <xf numFmtId="164" fontId="24" fillId="0" borderId="23" xfId="0" applyNumberFormat="1" applyFont="1" applyBorder="1"/>
    <xf numFmtId="0" fontId="0" fillId="0" borderId="16" xfId="0" applyBorder="1"/>
    <xf numFmtId="0" fontId="0" fillId="0" borderId="17" xfId="0" applyFill="1" applyBorder="1"/>
    <xf numFmtId="164" fontId="0" fillId="0" borderId="0" xfId="0" quotePrefix="1" applyNumberFormat="1" applyFill="1" applyBorder="1"/>
    <xf numFmtId="164" fontId="24" fillId="0" borderId="1" xfId="0" applyNumberFormat="1" applyFont="1" applyBorder="1"/>
    <xf numFmtId="0" fontId="0" fillId="0" borderId="0" xfId="0" applyAlignment="1">
      <alignment horizontal="center"/>
    </xf>
    <xf numFmtId="0" fontId="8" fillId="0" borderId="0" xfId="0" applyFont="1"/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64" fontId="24" fillId="0" borderId="0" xfId="0" applyNumberFormat="1" applyFont="1" applyBorder="1"/>
    <xf numFmtId="0" fontId="7" fillId="0" borderId="0" xfId="0" applyFont="1"/>
    <xf numFmtId="0" fontId="6" fillId="0" borderId="0" xfId="0" applyFont="1"/>
    <xf numFmtId="0" fontId="22" fillId="0" borderId="0" xfId="0" applyFont="1" applyAlignment="1">
      <alignment horizontal="center"/>
    </xf>
    <xf numFmtId="14" fontId="20" fillId="0" borderId="0" xfId="0" applyNumberFormat="1" applyFont="1" applyAlignment="1">
      <alignment horizontal="center"/>
    </xf>
    <xf numFmtId="0" fontId="42" fillId="0" borderId="1" xfId="1" applyFill="1" applyBorder="1"/>
    <xf numFmtId="0" fontId="0" fillId="0" borderId="0" xfId="0" applyAlignment="1">
      <alignment horizontal="center"/>
    </xf>
    <xf numFmtId="0" fontId="21" fillId="0" borderId="0" xfId="0" quotePrefix="1" applyFont="1"/>
    <xf numFmtId="0" fontId="37" fillId="0" borderId="1" xfId="0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/>
    <xf numFmtId="0" fontId="5" fillId="0" borderId="0" xfId="0" applyFont="1"/>
    <xf numFmtId="164" fontId="0" fillId="0" borderId="0" xfId="2" applyNumberFormat="1" applyFont="1" applyFill="1" applyBorder="1"/>
    <xf numFmtId="0" fontId="21" fillId="0" borderId="0" xfId="0" quotePrefix="1" applyFont="1" applyBorder="1"/>
    <xf numFmtId="0" fontId="42" fillId="0" borderId="0" xfId="1" quotePrefix="1"/>
    <xf numFmtId="0" fontId="4" fillId="0" borderId="0" xfId="0" applyFont="1"/>
    <xf numFmtId="0" fontId="3" fillId="0" borderId="0" xfId="0" applyFont="1"/>
    <xf numFmtId="14" fontId="0" fillId="0" borderId="0" xfId="0" applyNumberFormat="1" applyAlignment="1"/>
    <xf numFmtId="0" fontId="0" fillId="0" borderId="0" xfId="0" applyAlignment="1">
      <alignment horizontal="center"/>
    </xf>
    <xf numFmtId="164" fontId="44" fillId="0" borderId="0" xfId="0" applyNumberFormat="1" applyFont="1"/>
    <xf numFmtId="14" fontId="44" fillId="0" borderId="0" xfId="0" applyNumberFormat="1" applyFont="1"/>
    <xf numFmtId="14" fontId="24" fillId="0" borderId="0" xfId="0" applyNumberFormat="1" applyFont="1" applyAlignment="1">
      <alignment horizontal="center"/>
    </xf>
    <xf numFmtId="0" fontId="44" fillId="0" borderId="0" xfId="0" applyFont="1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0" fontId="35" fillId="0" borderId="0" xfId="0" applyFont="1" applyAlignment="1">
      <alignment horizontal="center"/>
    </xf>
    <xf numFmtId="0" fontId="26" fillId="0" borderId="12" xfId="0" applyFont="1" applyBorder="1" applyAlignment="1">
      <alignment horizontal="center"/>
    </xf>
    <xf numFmtId="0" fontId="26" fillId="0" borderId="13" xfId="0" applyFont="1" applyBorder="1" applyAlignment="1">
      <alignment horizontal="center"/>
    </xf>
  </cellXfs>
  <cellStyles count="3">
    <cellStyle name="Hipervínculo" xfId="1" builtinId="8"/>
    <cellStyle name="Moneda" xfId="2" builtinId="4"/>
    <cellStyle name="Normal" xfId="0" builtinId="0"/>
  </cellStyles>
  <dxfs count="130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mruColors>
      <color rgb="FFD06D4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customschemas.google.com/relationships/workbookmetadata" Target="metadata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ustomXml" Target="../ink/ink3.xml"/><Relationship Id="rId2" Type="http://schemas.openxmlformats.org/officeDocument/2006/relationships/image" Target="../media/image10.png"/><Relationship Id="rId1" Type="http://schemas.openxmlformats.org/officeDocument/2006/relationships/customXml" Target="../ink/ink2.xml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ustomXml" Target="../ink/ink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1122710</xdr:colOff>
      <xdr:row>16</xdr:row>
      <xdr:rowOff>150645</xdr:rowOff>
    </xdr:from>
    <xdr:to>
      <xdr:col>2</xdr:col>
      <xdr:colOff>1125230</xdr:colOff>
      <xdr:row>16</xdr:row>
      <xdr:rowOff>172965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Entrada de lápiz 1">
              <a:extLst>
                <a:ext uri="{FF2B5EF4-FFF2-40B4-BE49-F238E27FC236}">
                  <a16:creationId xmlns:a16="http://schemas.microsoft.com/office/drawing/2014/main" id="{531B702B-32FC-D761-00C0-95C36190E91A}"/>
                </a:ext>
              </a:extLst>
            </xdr14:cNvPr>
            <xdr14:cNvContentPartPr/>
          </xdr14:nvContentPartPr>
          <xdr14:nvPr macro=""/>
          <xdr14:xfrm>
            <a:off x="3560760" y="3392640"/>
            <a:ext cx="2520" cy="22320"/>
          </xdr14:xfrm>
        </xdr:contentPart>
      </mc:Choice>
      <mc:Fallback xmlns="">
        <xdr:pic>
          <xdr:nvPicPr>
            <xdr:cNvPr id="2" name="Entrada de lápiz 1">
              <a:extLst>
                <a:ext uri="{FF2B5EF4-FFF2-40B4-BE49-F238E27FC236}">
                  <a16:creationId xmlns:a16="http://schemas.microsoft.com/office/drawing/2014/main" id="{531B702B-32FC-D761-00C0-95C36190E91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554640" y="3386520"/>
              <a:ext cx="14760" cy="34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449176</xdr:colOff>
      <xdr:row>32</xdr:row>
      <xdr:rowOff>177773</xdr:rowOff>
    </xdr:from>
    <xdr:to>
      <xdr:col>4</xdr:col>
      <xdr:colOff>466096</xdr:colOff>
      <xdr:row>32</xdr:row>
      <xdr:rowOff>199013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Entrada de lápiz 1">
              <a:extLst>
                <a:ext uri="{FF2B5EF4-FFF2-40B4-BE49-F238E27FC236}">
                  <a16:creationId xmlns:a16="http://schemas.microsoft.com/office/drawing/2014/main" id="{108584BC-371C-3933-8D04-0719E3300FC5}"/>
                </a:ext>
              </a:extLst>
            </xdr14:cNvPr>
            <xdr14:cNvContentPartPr/>
          </xdr14:nvContentPartPr>
          <xdr14:nvPr macro=""/>
          <xdr14:xfrm>
            <a:off x="5558040" y="6306485"/>
            <a:ext cx="16920" cy="21240"/>
          </xdr14:xfrm>
        </xdr:contentPart>
      </mc:Choice>
      <mc:Fallback xmlns="">
        <xdr:pic>
          <xdr:nvPicPr>
            <xdr:cNvPr id="2" name="Entrada de lápiz 1">
              <a:extLst>
                <a:ext uri="{FF2B5EF4-FFF2-40B4-BE49-F238E27FC236}">
                  <a16:creationId xmlns:a16="http://schemas.microsoft.com/office/drawing/2014/main" id="{108584BC-371C-3933-8D04-0719E3300FC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551920" y="6300365"/>
              <a:ext cx="29160" cy="3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33245</xdr:colOff>
      <xdr:row>34</xdr:row>
      <xdr:rowOff>114962</xdr:rowOff>
    </xdr:from>
    <xdr:to>
      <xdr:col>5</xdr:col>
      <xdr:colOff>71405</xdr:colOff>
      <xdr:row>34</xdr:row>
      <xdr:rowOff>122162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Entrada de lápiz 2">
              <a:extLst>
                <a:ext uri="{FF2B5EF4-FFF2-40B4-BE49-F238E27FC236}">
                  <a16:creationId xmlns:a16="http://schemas.microsoft.com/office/drawing/2014/main" id="{82D45AFB-B9AC-48E4-6096-AB2D03679047}"/>
                </a:ext>
              </a:extLst>
            </xdr14:cNvPr>
            <xdr14:cNvContentPartPr/>
          </xdr14:nvContentPartPr>
          <xdr14:nvPr macro=""/>
          <xdr14:xfrm>
            <a:off x="6181200" y="6647765"/>
            <a:ext cx="38160" cy="7200"/>
          </xdr14:xfrm>
        </xdr:contentPart>
      </mc:Choice>
      <mc:Fallback xmlns="">
        <xdr:pic>
          <xdr:nvPicPr>
            <xdr:cNvPr id="3" name="Entrada de lápiz 2">
              <a:extLst>
                <a:ext uri="{FF2B5EF4-FFF2-40B4-BE49-F238E27FC236}">
                  <a16:creationId xmlns:a16="http://schemas.microsoft.com/office/drawing/2014/main" id="{82D45AFB-B9AC-48E4-6096-AB2D0367904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6175080" y="6641645"/>
              <a:ext cx="50400" cy="194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547919</xdr:colOff>
      <xdr:row>29</xdr:row>
      <xdr:rowOff>0</xdr:rowOff>
    </xdr:from>
    <xdr:to>
      <xdr:col>2</xdr:col>
      <xdr:colOff>552959</xdr:colOff>
      <xdr:row>29</xdr:row>
      <xdr:rowOff>26280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Entrada de lápiz 1">
              <a:extLst>
                <a:ext uri="{FF2B5EF4-FFF2-40B4-BE49-F238E27FC236}">
                  <a16:creationId xmlns:a16="http://schemas.microsoft.com/office/drawing/2014/main" id="{452545A4-84DA-650A-3812-17D5C8366917}"/>
                </a:ext>
              </a:extLst>
            </xdr14:cNvPr>
            <xdr14:cNvContentPartPr/>
          </xdr14:nvContentPartPr>
          <xdr14:nvPr macro=""/>
          <xdr14:xfrm>
            <a:off x="3394080" y="5652000"/>
            <a:ext cx="5040" cy="26280"/>
          </xdr14:xfrm>
        </xdr:contentPart>
      </mc:Choice>
      <mc:Fallback xmlns="">
        <xdr:pic>
          <xdr:nvPicPr>
            <xdr:cNvPr id="2" name="Entrada de lápiz 1">
              <a:extLst>
                <a:ext uri="{FF2B5EF4-FFF2-40B4-BE49-F238E27FC236}">
                  <a16:creationId xmlns:a16="http://schemas.microsoft.com/office/drawing/2014/main" id="{452545A4-84DA-650A-3812-17D5C836691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387960" y="5645880"/>
              <a:ext cx="17280" cy="385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17T15:52:49.8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61 7528 0 0,'1'-18'0'0'0,"4"-25"-32"0"0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04T13:43:49.1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2008 0 0,'46'58'0'0'0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04T13:43:49.3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3472 0 0,'29'6'0'0'0,"2"0"8"0"0,14 1 0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2-13T13:06:35.1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73 8176 0 0,'0'0'2312'0'0,"6"-22"-1136"0"0,-2-2-1152 0 0,-1 4-8 0 0,-3 14-904 0 0</inkml:trace>
</inkml: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CLIENTES%20DUWHITE%20-%20deudas.xlsx" TargetMode="Externa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hyperlink" Target="CLIENTES%20DUWHITE%20-%20deudas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G989"/>
  <sheetViews>
    <sheetView zoomScaleNormal="100" workbookViewId="0">
      <pane ySplit="1" topLeftCell="A23" activePane="bottomLeft" state="frozen"/>
      <selection activeCell="D1" sqref="D1"/>
      <selection pane="bottomLeft" activeCell="A30" sqref="A30"/>
    </sheetView>
  </sheetViews>
  <sheetFormatPr baseColWidth="10" defaultColWidth="14.42578125" defaultRowHeight="15" customHeight="1" x14ac:dyDescent="0.25"/>
  <cols>
    <col min="1" max="1" width="45.85546875" customWidth="1"/>
    <col min="2" max="2" width="18.42578125" customWidth="1"/>
    <col min="3" max="3" width="21.42578125" customWidth="1"/>
    <col min="4" max="26" width="10.7109375" customWidth="1"/>
  </cols>
  <sheetData>
    <row r="1" spans="1:7" ht="22.5" customHeight="1" thickBot="1" x14ac:dyDescent="0.35">
      <c r="A1" s="79" t="s">
        <v>219</v>
      </c>
      <c r="B1" s="80" t="s">
        <v>0</v>
      </c>
      <c r="C1" s="78">
        <f>SUMIF(B2:B61, "&lt;0")</f>
        <v>-91227605.050000012</v>
      </c>
      <c r="D1" s="49"/>
      <c r="E1" s="49"/>
      <c r="F1" s="49"/>
      <c r="G1" s="49"/>
    </row>
    <row r="2" spans="1:7" x14ac:dyDescent="0.25">
      <c r="A2" s="140" t="s">
        <v>216</v>
      </c>
      <c r="B2" s="127">
        <f>'POSADA DEL ANGEL'!G2</f>
        <v>0</v>
      </c>
    </row>
    <row r="3" spans="1:7" x14ac:dyDescent="0.25">
      <c r="A3" s="101" t="s">
        <v>1</v>
      </c>
      <c r="B3" s="3">
        <f>AOMA!G2</f>
        <v>-2940910</v>
      </c>
    </row>
    <row r="4" spans="1:7" x14ac:dyDescent="0.25">
      <c r="A4" s="68" t="s">
        <v>2</v>
      </c>
      <c r="B4" s="3">
        <f>'BRISA DEL LAGO'!G2</f>
        <v>-366995</v>
      </c>
    </row>
    <row r="5" spans="1:7" x14ac:dyDescent="0.25">
      <c r="A5" s="2" t="s">
        <v>3</v>
      </c>
      <c r="B5" s="3">
        <f>'BUENA VISTA'!G2</f>
        <v>-505316</v>
      </c>
    </row>
    <row r="6" spans="1:7" x14ac:dyDescent="0.25">
      <c r="A6" s="134" t="s">
        <v>211</v>
      </c>
      <c r="B6" s="3">
        <f>'GOLDEN ROSS'!G2</f>
        <v>0</v>
      </c>
    </row>
    <row r="7" spans="1:7" x14ac:dyDescent="0.25">
      <c r="A7" s="134" t="s">
        <v>213</v>
      </c>
      <c r="B7" s="3">
        <f>PARQUE!G2</f>
        <v>-4349719</v>
      </c>
    </row>
    <row r="8" spans="1:7" x14ac:dyDescent="0.25">
      <c r="A8" s="134" t="s">
        <v>212</v>
      </c>
      <c r="B8" s="3">
        <f>LUCAS!G2</f>
        <v>0</v>
      </c>
    </row>
    <row r="9" spans="1:7" x14ac:dyDescent="0.25">
      <c r="A9" s="2" t="s">
        <v>6</v>
      </c>
      <c r="B9" s="3">
        <f>'COLEGIO FARMACEUTICOS'!G2</f>
        <v>-1498512</v>
      </c>
    </row>
    <row r="10" spans="1:7" x14ac:dyDescent="0.25">
      <c r="A10" s="2" t="s">
        <v>7</v>
      </c>
      <c r="B10" s="3">
        <f>'COLONIA 12 DE OCTUBRE'!G2</f>
        <v>0</v>
      </c>
    </row>
    <row r="11" spans="1:7" x14ac:dyDescent="0.25">
      <c r="A11" s="2" t="s">
        <v>8</v>
      </c>
      <c r="B11" s="3">
        <f>'COLONIA 8 DE MARZO'!G2</f>
        <v>-246804</v>
      </c>
    </row>
    <row r="12" spans="1:7" x14ac:dyDescent="0.25">
      <c r="A12" s="68" t="s">
        <v>9</v>
      </c>
      <c r="B12" s="3">
        <f>COMARCA!G2</f>
        <v>0</v>
      </c>
    </row>
    <row r="13" spans="1:7" x14ac:dyDescent="0.25">
      <c r="A13" s="68" t="s">
        <v>111</v>
      </c>
      <c r="B13" s="3">
        <f>'EL CONDADO'!G2</f>
        <v>-4458176</v>
      </c>
    </row>
    <row r="14" spans="1:7" x14ac:dyDescent="0.25">
      <c r="A14" s="47" t="s">
        <v>79</v>
      </c>
      <c r="B14" s="3">
        <f>CONTINENTAL!H2</f>
        <v>2695136</v>
      </c>
    </row>
    <row r="15" spans="1:7" x14ac:dyDescent="0.25">
      <c r="A15" s="2" t="s">
        <v>12</v>
      </c>
      <c r="B15" s="3">
        <f>CORONADO!G2</f>
        <v>-1019581</v>
      </c>
    </row>
    <row r="16" spans="1:7" ht="15.75" customHeight="1" x14ac:dyDescent="0.25">
      <c r="A16" s="2" t="s">
        <v>13</v>
      </c>
      <c r="B16" s="3">
        <f>'COSTA LAGO'!G2</f>
        <v>-779358</v>
      </c>
    </row>
    <row r="17" spans="1:2" ht="15.75" customHeight="1" x14ac:dyDescent="0.25">
      <c r="A17" s="101" t="s">
        <v>169</v>
      </c>
      <c r="B17" s="33">
        <f>'DOMUS AUDITORIUM '!G1</f>
        <v>-4735935</v>
      </c>
    </row>
    <row r="18" spans="1:2" ht="15.75" customHeight="1" x14ac:dyDescent="0.25">
      <c r="A18" s="141" t="s">
        <v>222</v>
      </c>
      <c r="B18" s="33">
        <f>'DOMUS CENTER'!G2</f>
        <v>0</v>
      </c>
    </row>
    <row r="19" spans="1:2" ht="15.75" customHeight="1" x14ac:dyDescent="0.25">
      <c r="A19" s="68" t="s">
        <v>110</v>
      </c>
      <c r="B19" s="3">
        <f>'LAKE DOMUS'!G2</f>
        <v>0</v>
      </c>
    </row>
    <row r="20" spans="1:2" ht="15.75" customHeight="1" x14ac:dyDescent="0.25">
      <c r="A20" s="68" t="s">
        <v>184</v>
      </c>
      <c r="B20" s="3">
        <f>DUPLEX!G2</f>
        <v>-1515709</v>
      </c>
    </row>
    <row r="21" spans="1:2" ht="15.75" customHeight="1" x14ac:dyDescent="0.25">
      <c r="A21" s="134" t="s">
        <v>221</v>
      </c>
      <c r="B21" s="3">
        <f>EMBAJADOR!G2</f>
        <v>0</v>
      </c>
    </row>
    <row r="22" spans="1:2" ht="15.75" customHeight="1" x14ac:dyDescent="0.25">
      <c r="A22" s="68" t="s">
        <v>16</v>
      </c>
      <c r="B22" s="3">
        <f>ERNESTINA!G2</f>
        <v>0</v>
      </c>
    </row>
    <row r="23" spans="1:2" ht="15.75" customHeight="1" x14ac:dyDescent="0.25">
      <c r="A23" s="2" t="s">
        <v>17</v>
      </c>
      <c r="B23" s="3">
        <f>ESTILO!G2</f>
        <v>0</v>
      </c>
    </row>
    <row r="24" spans="1:2" ht="15.75" customHeight="1" x14ac:dyDescent="0.25">
      <c r="A24" s="2" t="s">
        <v>18</v>
      </c>
      <c r="B24" s="122">
        <f>GALA!G2</f>
        <v>101165</v>
      </c>
    </row>
    <row r="25" spans="1:2" ht="15.75" customHeight="1" x14ac:dyDescent="0.25">
      <c r="A25" s="101" t="s">
        <v>204</v>
      </c>
      <c r="B25" s="139">
        <f>HENIA!G2</f>
        <v>0</v>
      </c>
    </row>
    <row r="26" spans="1:2" ht="15.75" customHeight="1" x14ac:dyDescent="0.25">
      <c r="A26" s="68" t="s">
        <v>19</v>
      </c>
      <c r="B26" s="3">
        <f>'HOTEL 376'!G2</f>
        <v>-2769039</v>
      </c>
    </row>
    <row r="27" spans="1:2" ht="15.75" customHeight="1" x14ac:dyDescent="0.25">
      <c r="A27" s="2" t="s">
        <v>20</v>
      </c>
      <c r="B27" s="3">
        <f>IMPERIAL!G2</f>
        <v>-64227</v>
      </c>
    </row>
    <row r="28" spans="1:2" ht="15.75" customHeight="1" x14ac:dyDescent="0.25">
      <c r="A28" s="2" t="s">
        <v>21</v>
      </c>
      <c r="B28" s="3">
        <f>INTERLAC!G2</f>
        <v>-5189294</v>
      </c>
    </row>
    <row r="29" spans="1:2" ht="15.75" customHeight="1" x14ac:dyDescent="0.25">
      <c r="A29" s="47" t="s">
        <v>81</v>
      </c>
      <c r="B29" s="3">
        <f>'INTI HUASI'!G2</f>
        <v>-35059823</v>
      </c>
    </row>
    <row r="30" spans="1:2" ht="15.75" customHeight="1" x14ac:dyDescent="0.25">
      <c r="A30" s="2" t="s">
        <v>25</v>
      </c>
      <c r="B30" s="3">
        <f>'LE MIRAGE'!G2</f>
        <v>-2950168</v>
      </c>
    </row>
    <row r="31" spans="1:2" ht="15.75" customHeight="1" x14ac:dyDescent="0.25">
      <c r="A31" s="101" t="s">
        <v>26</v>
      </c>
      <c r="B31" s="3">
        <f>MADERO!G2</f>
        <v>0</v>
      </c>
    </row>
    <row r="32" spans="1:2" ht="15.75" customHeight="1" x14ac:dyDescent="0.25">
      <c r="A32" s="134" t="s">
        <v>229</v>
      </c>
      <c r="B32" s="3">
        <f>MARBOT!G2</f>
        <v>0</v>
      </c>
    </row>
    <row r="33" spans="1:2" ht="15.75" customHeight="1" x14ac:dyDescent="0.25">
      <c r="A33" s="2" t="s">
        <v>27</v>
      </c>
      <c r="B33" s="3">
        <f>'MIRADOR DE LA VILLA'!G2</f>
        <v>909967</v>
      </c>
    </row>
    <row r="34" spans="1:2" ht="15.75" customHeight="1" x14ac:dyDescent="0.25">
      <c r="A34" s="2" t="s">
        <v>28</v>
      </c>
      <c r="B34" s="3">
        <f>'MIRADOR DE LAS SIERRAS'!G2</f>
        <v>0</v>
      </c>
    </row>
    <row r="35" spans="1:2" ht="15.75" customHeight="1" x14ac:dyDescent="0.25">
      <c r="A35" s="2" t="s">
        <v>31</v>
      </c>
      <c r="B35" s="3">
        <f>MORADILLO!G2</f>
        <v>0</v>
      </c>
    </row>
    <row r="36" spans="1:2" ht="15.75" customHeight="1" x14ac:dyDescent="0.25">
      <c r="A36" s="2" t="s">
        <v>32</v>
      </c>
      <c r="B36" s="3">
        <f>NAZARETH!G2</f>
        <v>0</v>
      </c>
    </row>
    <row r="37" spans="1:2" ht="15.75" customHeight="1" x14ac:dyDescent="0.25">
      <c r="A37" s="2" t="s">
        <v>33</v>
      </c>
      <c r="B37" s="3">
        <f>PANORAMA!G2</f>
        <v>0</v>
      </c>
    </row>
    <row r="38" spans="1:2" ht="15.75" customHeight="1" x14ac:dyDescent="0.25">
      <c r="A38" s="68" t="s">
        <v>34</v>
      </c>
      <c r="B38" s="3">
        <f>'PINARES CERRO HOTEL'!G2</f>
        <v>0</v>
      </c>
    </row>
    <row r="39" spans="1:2" ht="15.75" customHeight="1" x14ac:dyDescent="0.25">
      <c r="A39" s="2" t="s">
        <v>35</v>
      </c>
      <c r="B39" s="3">
        <f>'PINARES CERRO MANTELERIA'!G2</f>
        <v>0</v>
      </c>
    </row>
    <row r="40" spans="1:2" ht="15.75" customHeight="1" x14ac:dyDescent="0.25">
      <c r="A40" s="2" t="s">
        <v>36</v>
      </c>
      <c r="B40" s="3">
        <f>'PINARES PANORAMA HOTEL'!G2</f>
        <v>0</v>
      </c>
    </row>
    <row r="41" spans="1:2" ht="15.75" customHeight="1" x14ac:dyDescent="0.25">
      <c r="A41" s="2" t="s">
        <v>37</v>
      </c>
      <c r="B41" s="3">
        <f>'PINARES PANORAMA MANTELERIA'!G2</f>
        <v>0</v>
      </c>
    </row>
    <row r="42" spans="1:2" ht="15.75" customHeight="1" x14ac:dyDescent="0.25">
      <c r="A42" s="2" t="s">
        <v>38</v>
      </c>
      <c r="B42" s="3">
        <f>PRESIDENTE!G2</f>
        <v>-2192686</v>
      </c>
    </row>
    <row r="43" spans="1:2" ht="15.75" customHeight="1" x14ac:dyDescent="0.25">
      <c r="A43" s="2" t="s">
        <v>39</v>
      </c>
      <c r="B43" s="3">
        <f>QUORUM!G2</f>
        <v>-9197722.0500000119</v>
      </c>
    </row>
    <row r="44" spans="1:2" ht="15.75" customHeight="1" x14ac:dyDescent="0.25">
      <c r="A44" s="2" t="s">
        <v>40</v>
      </c>
      <c r="B44" s="3">
        <f>'RANQUELES '!G2</f>
        <v>0</v>
      </c>
    </row>
    <row r="45" spans="1:2" ht="15.75" customHeight="1" x14ac:dyDescent="0.25">
      <c r="A45" s="101" t="s">
        <v>210</v>
      </c>
      <c r="B45" s="121">
        <f>'FLY KITCHEN'!G2</f>
        <v>0</v>
      </c>
    </row>
    <row r="46" spans="1:2" ht="15.75" customHeight="1" x14ac:dyDescent="0.25">
      <c r="A46" s="68" t="s">
        <v>41</v>
      </c>
      <c r="B46" s="3">
        <f>RIVIERA!J3</f>
        <v>-387025</v>
      </c>
    </row>
    <row r="47" spans="1:2" ht="15.75" customHeight="1" x14ac:dyDescent="0.25">
      <c r="A47" s="2" t="s">
        <v>43</v>
      </c>
      <c r="B47" s="3">
        <f>TAGORE!G2</f>
        <v>-1431612</v>
      </c>
    </row>
    <row r="48" spans="1:2" ht="15.75" customHeight="1" x14ac:dyDescent="0.25">
      <c r="A48" s="68" t="s">
        <v>44</v>
      </c>
      <c r="B48" s="3">
        <f>TOULON!G2</f>
        <v>-763464</v>
      </c>
    </row>
    <row r="49" spans="1:2" ht="15.75" customHeight="1" x14ac:dyDescent="0.25">
      <c r="A49" s="134" t="s">
        <v>230</v>
      </c>
      <c r="B49" s="3">
        <f>CAPVIO!G2</f>
        <v>-374343</v>
      </c>
    </row>
    <row r="50" spans="1:2" ht="15.75" customHeight="1" x14ac:dyDescent="0.25">
      <c r="A50" s="2" t="s">
        <v>45</v>
      </c>
      <c r="B50" s="3">
        <f>'VAIVEN POSADA'!G2</f>
        <v>-1915865</v>
      </c>
    </row>
    <row r="51" spans="1:2" ht="15.75" customHeight="1" x14ac:dyDescent="0.25">
      <c r="A51" s="2" t="s">
        <v>46</v>
      </c>
      <c r="B51" s="3">
        <f>VENETO!G2</f>
        <v>-498393</v>
      </c>
    </row>
    <row r="52" spans="1:2" ht="15.75" customHeight="1" x14ac:dyDescent="0.25">
      <c r="A52" s="2" t="s">
        <v>47</v>
      </c>
      <c r="B52" s="122">
        <f>'VILLA PAZ'!G2</f>
        <v>0</v>
      </c>
    </row>
    <row r="53" spans="1:2" ht="15.75" customHeight="1" x14ac:dyDescent="0.25">
      <c r="A53" s="2" t="s">
        <v>48</v>
      </c>
      <c r="B53" s="127">
        <f>'VILLA PIREN'!G2</f>
        <v>-6016929</v>
      </c>
    </row>
    <row r="54" spans="1:2" ht="15.75" customHeight="1" x14ac:dyDescent="0.25">
      <c r="A54" s="2" t="s">
        <v>49</v>
      </c>
      <c r="B54" s="3">
        <f>VITTO!G2</f>
        <v>0</v>
      </c>
    </row>
    <row r="55" spans="1:2" ht="15.75" customHeight="1" x14ac:dyDescent="0.25">
      <c r="A55" s="2" t="s">
        <v>51</v>
      </c>
      <c r="B55" s="3">
        <f>'Y 111'!G2</f>
        <v>0</v>
      </c>
    </row>
    <row r="56" spans="1:2" ht="15.75" customHeight="1" x14ac:dyDescent="0.25"/>
    <row r="57" spans="1:2" ht="15.75" customHeight="1" x14ac:dyDescent="0.25"/>
    <row r="58" spans="1:2" ht="15.75" customHeight="1" x14ac:dyDescent="0.25">
      <c r="B58" t="s">
        <v>215</v>
      </c>
    </row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</sheetData>
  <autoFilter ref="A1:B1" xr:uid="{00000000-0009-0000-0000-000000000000}">
    <sortState xmlns:xlrd2="http://schemas.microsoft.com/office/spreadsheetml/2017/richdata2" ref="A2:B51">
      <sortCondition ref="A1"/>
    </sortState>
  </autoFilter>
  <sortState xmlns:xlrd2="http://schemas.microsoft.com/office/spreadsheetml/2017/richdata2" ref="A2:G55">
    <sortCondition ref="A2:A55"/>
  </sortState>
  <phoneticPr fontId="41" type="noConversion"/>
  <conditionalFormatting sqref="B1:B51 B53:B989">
    <cfRule type="cellIs" dxfId="129" priority="3" operator="lessThan">
      <formula>0</formula>
    </cfRule>
    <cfRule type="cellIs" dxfId="128" priority="4" operator="greaterThan">
      <formula>0</formula>
    </cfRule>
  </conditionalFormatting>
  <conditionalFormatting sqref="B52">
    <cfRule type="cellIs" dxfId="127" priority="1" operator="lessThan">
      <formula>0</formula>
    </cfRule>
    <cfRule type="cellIs" dxfId="126" priority="2" operator="greaterThan">
      <formula>0</formula>
    </cfRule>
  </conditionalFormatting>
  <hyperlinks>
    <hyperlink ref="A1" location="CLIENTES!A1" display="CLIENTES" xr:uid="{00000000-0004-0000-0000-000000000000}"/>
    <hyperlink ref="A3" location="AOMA!A1" display="AOMA" xr:uid="{00000000-0004-0000-0000-000001000000}"/>
    <hyperlink ref="A4" location="'BRISA DEL LAGO'!A1" display="BRISA DEL LAGO" xr:uid="{00000000-0004-0000-0000-000003000000}"/>
    <hyperlink ref="A5" location="'BUENA VISTA'!A1" display="BUENA VISTA" xr:uid="{00000000-0004-0000-0000-000004000000}"/>
    <hyperlink ref="A49" location="CAPVIO!A1" display="CAPVIO" xr:uid="{00000000-0004-0000-0000-000005000000}"/>
    <hyperlink ref="A9" location="'COLEGIO FARMACEUTICOS'!A1" display="COLEGIO FARMACEUTICOS" xr:uid="{00000000-0004-0000-0000-000008000000}"/>
    <hyperlink ref="A10" location="'COLONIA 12 DE OCTUBRE'!A1" display="COLONIA 12 DE OCTUBRE" xr:uid="{00000000-0004-0000-0000-000009000000}"/>
    <hyperlink ref="A12" location="COMARCA!A1" display="COMARCA" xr:uid="{00000000-0004-0000-0000-00000B000000}"/>
    <hyperlink ref="A14" location="CONTINENTAL!A1" display="CONTINENTAL" xr:uid="{00000000-0004-0000-0000-00000D000000}"/>
    <hyperlink ref="A15" location="CORONADO!A1" display="CORONADO" xr:uid="{00000000-0004-0000-0000-00000E000000}"/>
    <hyperlink ref="A16" location="'COSTA LAGO'!A1" display="COSTA LAGO" xr:uid="{00000000-0004-0000-0000-00000F000000}"/>
    <hyperlink ref="A20" location="DUPLEX!A1" display="DUPLEX" xr:uid="{00000000-0004-0000-0000-000011000000}"/>
    <hyperlink ref="A13" location="'EL CONDADO'!A1" display="EL CONDADO" xr:uid="{00000000-0004-0000-0000-000012000000}"/>
    <hyperlink ref="A21" location="EMBAJADOR!A1" display="EMBAJADOR" xr:uid="{00000000-0004-0000-0000-000013000000}"/>
    <hyperlink ref="A22" location="ERNESTINA!A1" display="ERNESTINA" xr:uid="{00000000-0004-0000-0000-000014000000}"/>
    <hyperlink ref="A23" location="ESTILO!A1" display="ESTILO" xr:uid="{00000000-0004-0000-0000-000015000000}"/>
    <hyperlink ref="A24" location="GALA!A1" display="GALA" xr:uid="{00000000-0004-0000-0000-000016000000}"/>
    <hyperlink ref="A6" location="'GOLDEN ROSS'!A1" display="GOLDEN ROSS" xr:uid="{00000000-0004-0000-0000-000017000000}"/>
    <hyperlink ref="A26" location="'HOTEL 376'!A1" display="HOTEL 376" xr:uid="{00000000-0004-0000-0000-000018000000}"/>
    <hyperlink ref="A27" location="IMPERIAL!A1" display="IMPERIAL" xr:uid="{00000000-0004-0000-0000-000019000000}"/>
    <hyperlink ref="A28" location="INTERLAC!A1" display="INTERLAC" xr:uid="{00000000-0004-0000-0000-00001A000000}"/>
    <hyperlink ref="A29" location="'INTI HUASI'!A1" display="INTI HUASI" xr:uid="{00000000-0004-0000-0000-00001B000000}"/>
    <hyperlink ref="A19" location="'LAKE DOMUS'!A1" display="LAKE DOMUS" xr:uid="{00000000-0004-0000-0000-00001D000000}"/>
    <hyperlink ref="A30" location="'LE MIRAGE'!A1" display="LE MIRAGE" xr:uid="{00000000-0004-0000-0000-00001E000000}"/>
    <hyperlink ref="A8" location="LUCAS!A1" display="LUCAS" xr:uid="{00000000-0004-0000-0000-00001F000000}"/>
    <hyperlink ref="A32" location="MARBOT!A1" display="MARBOT" xr:uid="{00000000-0004-0000-0000-000021000000}"/>
    <hyperlink ref="A33" location="'MIRADOR DE LA VILLA'!A1" display="MIRADOR DE LA VILLA" xr:uid="{00000000-0004-0000-0000-000022000000}"/>
    <hyperlink ref="A34" location="'MIRADOR DE LAS SIERRAS'!A1" display="MIRADOR DE LAS SIERRAS" xr:uid="{00000000-0004-0000-0000-000023000000}"/>
    <hyperlink ref="A35" location="MORADILLO!A1" display="MORADILLO" xr:uid="{00000000-0004-0000-0000-000026000000}"/>
    <hyperlink ref="A36" location="NAZARETH!A1" display="NAZARETH" xr:uid="{00000000-0004-0000-0000-000027000000}"/>
    <hyperlink ref="A37" location="PANORAMA!A1" display="PANORAMA" xr:uid="{00000000-0004-0000-0000-000028000000}"/>
    <hyperlink ref="A7" location="PARQUE!A1" display="PARQUE" xr:uid="{00000000-0004-0000-0000-000029000000}"/>
    <hyperlink ref="A38" location="'PINARES CERRO HOTEL'!A1" display="PINARES CERRO HOTEL" xr:uid="{00000000-0004-0000-0000-00002A000000}"/>
    <hyperlink ref="A39" location="'PINARES CERRO MANTELERIA'!A1" display="PINARES CERRO MANTELERIA" xr:uid="{00000000-0004-0000-0000-00002B000000}"/>
    <hyperlink ref="A40" location="'PINARES PANORAMA HOTEL'!A1" display="PINARES PANORAMA HOTEL" xr:uid="{00000000-0004-0000-0000-00002C000000}"/>
    <hyperlink ref="A41" location="'PINARES PANORAMA MANTELERIA'!A1" display="PINARES PANORAMA MANTELERIA" xr:uid="{00000000-0004-0000-0000-00002D000000}"/>
    <hyperlink ref="A2" location="'POSADA DEL ANGEL'!A1" display="POSADA DEL ANGEL" xr:uid="{00000000-0004-0000-0000-00002E000000}"/>
    <hyperlink ref="A42" location="PRESIDENTE!A1" display="PRESIDENTE" xr:uid="{00000000-0004-0000-0000-00002F000000}"/>
    <hyperlink ref="A43" location="QUORUM!A1" display="QUORUM" xr:uid="{00000000-0004-0000-0000-000030000000}"/>
    <hyperlink ref="A44" location="'RANQUELES '!A1" display="RANQUELES " xr:uid="{00000000-0004-0000-0000-000031000000}"/>
    <hyperlink ref="A46" location="RIVIERA!A1" display="RIVIERA" xr:uid="{00000000-0004-0000-0000-000032000000}"/>
    <hyperlink ref="A47" location="TAGORE!A1" display="TAGORE" xr:uid="{00000000-0004-0000-0000-000034000000}"/>
    <hyperlink ref="A48" location="TOULON!A1" display="TOULON" xr:uid="{00000000-0004-0000-0000-000035000000}"/>
    <hyperlink ref="A50" location="'VAIVEN POSADA'!A1" display="VAIVEN POSADA" xr:uid="{00000000-0004-0000-0000-000036000000}"/>
    <hyperlink ref="A51" location="VENETO!A1" display="VENETO" xr:uid="{00000000-0004-0000-0000-000037000000}"/>
    <hyperlink ref="A52" location="'VILLA PAZ'!A1" display="VILLA PAZ" xr:uid="{00000000-0004-0000-0000-000038000000}"/>
    <hyperlink ref="A53" location="'VILLA PIREN'!A1" display="VILLA PIREN" xr:uid="{00000000-0004-0000-0000-000039000000}"/>
    <hyperlink ref="A54" location="VITTO!A1" display="VITTO" xr:uid="{00000000-0004-0000-0000-00003A000000}"/>
    <hyperlink ref="A55" location="'Y 111'!A1" display="Y 111" xr:uid="{00000000-0004-0000-0000-00003C000000}"/>
    <hyperlink ref="A11" location="'COLONIA 8 DE MARZO'!A1" display="COLONIA 8 DE MARZO" xr:uid="{00000000-0004-0000-0000-00000A000000}"/>
    <hyperlink ref="A45" location="'FLY KITCHEN'!A1" display="FLY KITCHEN" xr:uid="{07A9715E-DB77-4C0F-B7AF-33D9BFFD547C}"/>
    <hyperlink ref="A18" location="'DOMUS CENTER'!A1" display="DOMUS CENTER" xr:uid="{FA4D6FCA-CA03-4D84-AEB4-AAD47FAE00D4}"/>
    <hyperlink ref="A17" location="'DOMUS AUDITORIUM '!A1" display="DOMUS AUDITORIUM" xr:uid="{1B6A4E06-C946-469C-84B5-8920ACF0C77D}"/>
    <hyperlink ref="A31" location="MADERO!A1" display="MADERO" xr:uid="{3F8B1EAC-E015-48E0-A340-205090D619CD}"/>
    <hyperlink ref="A25" location="HENIA!A1" display="HENIA" xr:uid="{C33ABC6B-BFBC-425F-B622-D954A01FCF2B}"/>
  </hyperlinks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2"/>
  <sheetViews>
    <sheetView zoomScale="90" zoomScaleNormal="90" workbookViewId="0">
      <selection activeCell="D1" sqref="D1"/>
    </sheetView>
  </sheetViews>
  <sheetFormatPr baseColWidth="10" defaultColWidth="14.42578125" defaultRowHeight="15" customHeight="1" x14ac:dyDescent="0.25"/>
  <cols>
    <col min="1" max="1" width="15.42578125" style="31" customWidth="1"/>
    <col min="2" max="2" width="25.5703125" customWidth="1"/>
    <col min="3" max="3" width="21.28515625" customWidth="1"/>
    <col min="4" max="4" width="25.28515625" customWidth="1"/>
    <col min="5" max="5" width="17.140625" customWidth="1"/>
    <col min="6" max="6" width="18.42578125" customWidth="1"/>
    <col min="7" max="7" width="26.140625" customWidth="1"/>
    <col min="8" max="26" width="10.7109375" customWidth="1"/>
  </cols>
  <sheetData>
    <row r="1" spans="1:26" ht="27" thickBot="1" x14ac:dyDescent="0.3">
      <c r="A1" s="4" t="s">
        <v>1</v>
      </c>
      <c r="B1" s="5"/>
      <c r="C1" s="5"/>
      <c r="D1" s="100" t="s">
        <v>52</v>
      </c>
      <c r="E1" s="6"/>
      <c r="F1" s="6"/>
      <c r="G1" s="6"/>
    </row>
    <row r="2" spans="1:26" ht="24.75" customHeight="1" thickBot="1" x14ac:dyDescent="0.35">
      <c r="A2" s="7" t="s">
        <v>53</v>
      </c>
      <c r="B2" s="8" t="s">
        <v>54</v>
      </c>
      <c r="C2" s="8" t="s">
        <v>55</v>
      </c>
      <c r="D2" s="7" t="s">
        <v>56</v>
      </c>
      <c r="E2" s="7" t="s">
        <v>57</v>
      </c>
      <c r="F2" s="9" t="s">
        <v>58</v>
      </c>
      <c r="G2" s="10">
        <f>SUM(C3:C1048576) - SUM(B3:B1048576)</f>
        <v>-2940910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25">
      <c r="A3" s="50">
        <v>45443</v>
      </c>
      <c r="B3" s="5">
        <v>144522</v>
      </c>
      <c r="C3" s="5"/>
      <c r="D3" s="11"/>
      <c r="E3" s="6"/>
      <c r="F3" s="6"/>
      <c r="G3" s="6"/>
      <c r="J3" s="34"/>
    </row>
    <row r="4" spans="1:26" x14ac:dyDescent="0.25">
      <c r="A4" s="50"/>
      <c r="B4" s="5"/>
      <c r="C4" s="5"/>
      <c r="D4" s="11"/>
      <c r="E4" s="6"/>
      <c r="F4" s="6"/>
      <c r="G4" s="6"/>
      <c r="J4" s="34"/>
    </row>
    <row r="5" spans="1:26" x14ac:dyDescent="0.25">
      <c r="A5" s="50">
        <v>45473</v>
      </c>
      <c r="B5" s="5">
        <v>222104</v>
      </c>
      <c r="C5" s="5"/>
      <c r="D5" s="11"/>
      <c r="E5" s="6"/>
      <c r="F5" s="6"/>
      <c r="G5" s="6"/>
      <c r="J5" s="34"/>
    </row>
    <row r="6" spans="1:26" x14ac:dyDescent="0.25">
      <c r="A6" s="50">
        <v>45493</v>
      </c>
      <c r="B6" s="5"/>
      <c r="C6" s="5">
        <v>252547</v>
      </c>
      <c r="D6" s="11" t="s">
        <v>59</v>
      </c>
      <c r="E6" s="6" t="s">
        <v>60</v>
      </c>
      <c r="F6" s="6"/>
      <c r="G6" s="6"/>
      <c r="J6" s="34"/>
    </row>
    <row r="7" spans="1:26" x14ac:dyDescent="0.25">
      <c r="A7" s="50">
        <v>45504</v>
      </c>
      <c r="B7" s="5">
        <v>702967</v>
      </c>
      <c r="C7" s="5"/>
      <c r="D7" s="6"/>
      <c r="E7" s="6"/>
      <c r="F7" s="6"/>
      <c r="G7" s="6"/>
      <c r="J7" s="34"/>
    </row>
    <row r="8" spans="1:26" x14ac:dyDescent="0.25">
      <c r="A8" s="50">
        <v>45530</v>
      </c>
      <c r="B8" s="5"/>
      <c r="C8" s="5">
        <v>702567</v>
      </c>
      <c r="D8" s="6"/>
      <c r="E8" s="6"/>
      <c r="F8" s="6"/>
      <c r="G8" s="6"/>
      <c r="J8" s="34"/>
    </row>
    <row r="9" spans="1:26" x14ac:dyDescent="0.25">
      <c r="A9" s="50">
        <v>45535</v>
      </c>
      <c r="B9" s="5">
        <v>431826</v>
      </c>
      <c r="C9" s="77"/>
      <c r="D9" s="6"/>
      <c r="E9" s="6"/>
      <c r="F9" s="6"/>
      <c r="G9" s="6"/>
      <c r="J9" s="34"/>
    </row>
    <row r="10" spans="1:26" x14ac:dyDescent="0.25">
      <c r="A10" s="50">
        <v>45565</v>
      </c>
      <c r="B10" s="5">
        <v>62841</v>
      </c>
      <c r="C10" s="5"/>
      <c r="D10" s="6"/>
      <c r="E10" s="6"/>
      <c r="F10" s="6"/>
      <c r="G10" s="6"/>
      <c r="J10" s="34"/>
    </row>
    <row r="11" spans="1:26" x14ac:dyDescent="0.25">
      <c r="A11" s="50">
        <v>45583</v>
      </c>
      <c r="B11" s="5"/>
      <c r="C11" s="5">
        <v>541070</v>
      </c>
      <c r="D11" s="6" t="s">
        <v>138</v>
      </c>
      <c r="E11" s="6"/>
      <c r="F11" s="6"/>
      <c r="G11" s="6"/>
      <c r="J11" s="34"/>
    </row>
    <row r="12" spans="1:26" x14ac:dyDescent="0.25">
      <c r="A12" s="50">
        <v>45596</v>
      </c>
      <c r="B12" s="5">
        <v>370781</v>
      </c>
      <c r="C12" s="5"/>
      <c r="D12" s="6"/>
      <c r="E12" s="6"/>
      <c r="F12" s="6"/>
      <c r="G12" s="6"/>
      <c r="J12" s="34"/>
    </row>
    <row r="13" spans="1:26" x14ac:dyDescent="0.25">
      <c r="A13" s="50"/>
      <c r="B13" s="5">
        <v>6638</v>
      </c>
      <c r="C13" s="5"/>
      <c r="D13" s="6"/>
      <c r="E13" s="6"/>
      <c r="F13" s="6"/>
      <c r="G13" s="6"/>
      <c r="J13" s="34"/>
    </row>
    <row r="14" spans="1:26" x14ac:dyDescent="0.25">
      <c r="A14" s="50">
        <v>45601</v>
      </c>
      <c r="B14" s="5"/>
      <c r="C14" s="5">
        <v>445495</v>
      </c>
      <c r="D14" s="6"/>
      <c r="E14" s="6"/>
      <c r="F14" s="6"/>
      <c r="G14" s="6"/>
      <c r="J14" s="34"/>
    </row>
    <row r="15" spans="1:26" x14ac:dyDescent="0.25">
      <c r="A15" s="50">
        <v>45626</v>
      </c>
      <c r="B15" s="5">
        <v>756622</v>
      </c>
      <c r="C15" s="5"/>
      <c r="D15" s="6"/>
      <c r="E15" s="6"/>
      <c r="F15" s="6"/>
      <c r="G15" s="6"/>
      <c r="J15" s="34"/>
    </row>
    <row r="16" spans="1:26" x14ac:dyDescent="0.25">
      <c r="A16" s="50">
        <v>45657</v>
      </c>
      <c r="B16" s="5">
        <v>189735</v>
      </c>
      <c r="C16" s="5"/>
      <c r="D16" s="6"/>
      <c r="E16" s="6"/>
      <c r="F16" s="6"/>
      <c r="G16" s="6"/>
    </row>
    <row r="17" spans="1:7" x14ac:dyDescent="0.25">
      <c r="A17" s="50">
        <v>45665</v>
      </c>
      <c r="B17" s="5"/>
      <c r="C17" s="5">
        <v>797447</v>
      </c>
      <c r="D17" s="6" t="s">
        <v>151</v>
      </c>
      <c r="E17" s="6"/>
      <c r="F17" s="6"/>
      <c r="G17" s="6"/>
    </row>
    <row r="18" spans="1:7" x14ac:dyDescent="0.25">
      <c r="A18" s="50">
        <v>45688</v>
      </c>
      <c r="B18" s="5">
        <v>1179871</v>
      </c>
      <c r="C18" s="5"/>
      <c r="D18" s="6"/>
      <c r="E18" s="6"/>
      <c r="F18" s="6"/>
      <c r="G18" s="6"/>
    </row>
    <row r="19" spans="1:7" x14ac:dyDescent="0.25">
      <c r="A19" s="50">
        <v>45692</v>
      </c>
      <c r="B19" s="5"/>
      <c r="C19" s="5">
        <v>410690</v>
      </c>
      <c r="D19" s="6" t="s">
        <v>59</v>
      </c>
      <c r="E19" s="6"/>
      <c r="F19" s="6"/>
      <c r="G19" s="6"/>
    </row>
    <row r="20" spans="1:7" x14ac:dyDescent="0.25">
      <c r="A20" s="50">
        <v>45692</v>
      </c>
      <c r="B20" s="5"/>
      <c r="C20" s="5">
        <v>500000</v>
      </c>
      <c r="D20" s="6" t="s">
        <v>59</v>
      </c>
      <c r="E20" s="6"/>
      <c r="F20" s="6"/>
      <c r="G20" s="6"/>
    </row>
    <row r="21" spans="1:7" x14ac:dyDescent="0.25">
      <c r="A21" s="50">
        <v>45716</v>
      </c>
      <c r="B21" s="5">
        <v>988379</v>
      </c>
      <c r="C21" s="5"/>
      <c r="D21" s="6"/>
      <c r="E21" s="6"/>
      <c r="F21" s="6"/>
      <c r="G21" s="6"/>
    </row>
    <row r="22" spans="1:7" ht="15.75" customHeight="1" x14ac:dyDescent="0.25">
      <c r="A22" s="50">
        <v>45747</v>
      </c>
      <c r="B22" s="5">
        <v>320135</v>
      </c>
      <c r="C22" s="5"/>
      <c r="D22" s="6"/>
      <c r="E22" s="6"/>
      <c r="F22" s="6"/>
      <c r="G22" s="6"/>
    </row>
    <row r="23" spans="1:7" ht="15.75" customHeight="1" x14ac:dyDescent="0.25">
      <c r="A23" s="50">
        <v>45763</v>
      </c>
      <c r="B23" s="5"/>
      <c r="C23" s="5">
        <v>1257388</v>
      </c>
      <c r="D23" s="6" t="s">
        <v>59</v>
      </c>
      <c r="E23" s="6"/>
      <c r="F23" s="6"/>
      <c r="G23" s="6"/>
    </row>
    <row r="24" spans="1:7" ht="15.75" customHeight="1" x14ac:dyDescent="0.25">
      <c r="A24" s="50">
        <v>45777</v>
      </c>
      <c r="B24" s="5">
        <v>865826</v>
      </c>
      <c r="C24" s="5"/>
      <c r="D24" s="6"/>
      <c r="E24" s="6"/>
      <c r="F24" s="6"/>
      <c r="G24" s="6"/>
    </row>
    <row r="25" spans="1:7" ht="15.75" customHeight="1" x14ac:dyDescent="0.25">
      <c r="A25" s="50">
        <v>45794</v>
      </c>
      <c r="B25" s="5"/>
      <c r="C25" s="5">
        <v>453680</v>
      </c>
      <c r="D25" s="6" t="s">
        <v>59</v>
      </c>
      <c r="E25" s="6"/>
      <c r="F25" s="6"/>
      <c r="G25" s="6"/>
    </row>
    <row r="26" spans="1:7" ht="15.75" customHeight="1" x14ac:dyDescent="0.25">
      <c r="A26" s="50">
        <v>45807</v>
      </c>
      <c r="B26" s="5">
        <v>429957</v>
      </c>
      <c r="C26" s="5"/>
      <c r="D26" s="6"/>
      <c r="E26" s="6"/>
      <c r="F26" s="6"/>
      <c r="G26" s="6"/>
    </row>
    <row r="27" spans="1:7" ht="15.75" customHeight="1" x14ac:dyDescent="0.25">
      <c r="A27" s="50">
        <v>45838</v>
      </c>
      <c r="B27" s="5">
        <v>204721</v>
      </c>
      <c r="C27" s="5"/>
      <c r="D27" s="6"/>
      <c r="E27" s="6"/>
      <c r="F27" s="6"/>
      <c r="G27" s="6"/>
    </row>
    <row r="28" spans="1:7" ht="15.75" customHeight="1" x14ac:dyDescent="0.25">
      <c r="A28" s="50">
        <v>45862</v>
      </c>
      <c r="B28" s="5"/>
      <c r="C28" s="5">
        <v>500000</v>
      </c>
      <c r="D28" s="6" t="s">
        <v>59</v>
      </c>
      <c r="E28" s="6"/>
      <c r="F28" s="6"/>
      <c r="G28" s="6"/>
    </row>
    <row r="29" spans="1:7" ht="15.75" customHeight="1" x14ac:dyDescent="0.25">
      <c r="A29" s="50">
        <v>45869</v>
      </c>
      <c r="B29" s="5">
        <v>312373</v>
      </c>
      <c r="C29" s="5"/>
      <c r="D29" s="6"/>
      <c r="E29" s="6"/>
      <c r="F29" s="6"/>
      <c r="G29" s="6"/>
    </row>
    <row r="30" spans="1:7" ht="15.75" customHeight="1" x14ac:dyDescent="0.25">
      <c r="A30" s="50">
        <v>45900</v>
      </c>
      <c r="B30" s="5">
        <v>346855</v>
      </c>
      <c r="C30" s="5"/>
      <c r="D30" s="6"/>
      <c r="E30" s="6"/>
      <c r="F30" s="6"/>
      <c r="G30" s="6"/>
    </row>
    <row r="31" spans="1:7" ht="15.75" customHeight="1" x14ac:dyDescent="0.25">
      <c r="A31" s="50">
        <v>45930</v>
      </c>
      <c r="B31" s="5">
        <v>557784</v>
      </c>
      <c r="C31" s="5"/>
      <c r="D31" s="6"/>
      <c r="E31" s="6"/>
      <c r="F31" s="6"/>
      <c r="G31" s="6"/>
    </row>
    <row r="32" spans="1:7" ht="15.75" customHeight="1" x14ac:dyDescent="0.25">
      <c r="A32" s="50">
        <v>45931</v>
      </c>
      <c r="B32" s="5"/>
      <c r="C32" s="5">
        <v>675269</v>
      </c>
      <c r="D32" s="6" t="s">
        <v>67</v>
      </c>
      <c r="E32" s="6"/>
      <c r="F32" s="6"/>
      <c r="G32" s="6"/>
    </row>
    <row r="33" spans="1:7" ht="15.75" customHeight="1" x14ac:dyDescent="0.25">
      <c r="A33" s="50">
        <v>45961</v>
      </c>
      <c r="B33" s="5">
        <v>493328</v>
      </c>
      <c r="C33" s="5"/>
      <c r="D33" s="6"/>
      <c r="E33" s="6"/>
      <c r="F33" s="6"/>
      <c r="G33" s="6"/>
    </row>
    <row r="34" spans="1:7" ht="15.75" customHeight="1" x14ac:dyDescent="0.25">
      <c r="A34" s="50">
        <v>45964</v>
      </c>
      <c r="B34" s="5"/>
      <c r="C34" s="5">
        <v>500000</v>
      </c>
      <c r="D34" s="6" t="s">
        <v>59</v>
      </c>
      <c r="E34" s="6"/>
      <c r="F34" s="6"/>
      <c r="G34" s="6"/>
    </row>
    <row r="35" spans="1:7" ht="15.75" customHeight="1" x14ac:dyDescent="0.25">
      <c r="A35" s="50">
        <v>45981</v>
      </c>
      <c r="B35" s="5"/>
      <c r="C35" s="5">
        <v>500000</v>
      </c>
      <c r="D35" s="6" t="s">
        <v>59</v>
      </c>
      <c r="E35" s="6"/>
      <c r="F35" s="6"/>
      <c r="G35" s="6"/>
    </row>
    <row r="36" spans="1:7" ht="15.75" customHeight="1" x14ac:dyDescent="0.25">
      <c r="A36" s="50">
        <v>45991</v>
      </c>
      <c r="B36" s="5">
        <v>531936</v>
      </c>
      <c r="C36" s="5"/>
      <c r="D36" s="6"/>
      <c r="E36" s="6"/>
      <c r="F36" s="6"/>
      <c r="G36" s="6"/>
    </row>
    <row r="37" spans="1:7" ht="15.75" customHeight="1" x14ac:dyDescent="0.25">
      <c r="A37" s="50">
        <v>45997</v>
      </c>
      <c r="B37" s="5"/>
      <c r="C37" s="5">
        <v>400000</v>
      </c>
      <c r="D37" s="6" t="s">
        <v>59</v>
      </c>
      <c r="E37" s="6"/>
      <c r="F37" s="6"/>
      <c r="G37" s="6"/>
    </row>
    <row r="38" spans="1:7" ht="15.75" customHeight="1" x14ac:dyDescent="0.25">
      <c r="A38" s="50">
        <v>46021</v>
      </c>
      <c r="B38" s="5"/>
      <c r="C38" s="5">
        <v>1703454</v>
      </c>
      <c r="D38" s="6" t="s">
        <v>165</v>
      </c>
      <c r="E38" s="6"/>
      <c r="F38" s="6"/>
      <c r="G38" s="6"/>
    </row>
    <row r="39" spans="1:7" ht="15.75" customHeight="1" x14ac:dyDescent="0.25">
      <c r="A39" s="50">
        <v>46022</v>
      </c>
      <c r="B39" s="5">
        <v>647394</v>
      </c>
      <c r="C39" s="5"/>
      <c r="D39" s="6"/>
      <c r="E39" s="6"/>
      <c r="F39" s="6"/>
      <c r="G39" s="6"/>
    </row>
    <row r="40" spans="1:7" ht="15.75" customHeight="1" x14ac:dyDescent="0.25">
      <c r="A40" s="50">
        <v>46053</v>
      </c>
      <c r="B40" s="5"/>
      <c r="C40" s="5">
        <v>474200</v>
      </c>
      <c r="D40" s="6"/>
      <c r="E40" s="6"/>
      <c r="F40" s="6"/>
      <c r="G40" s="6"/>
    </row>
    <row r="41" spans="1:7" ht="15.75" customHeight="1" x14ac:dyDescent="0.25">
      <c r="A41" s="50">
        <v>46053</v>
      </c>
      <c r="B41" s="5">
        <v>1640923</v>
      </c>
      <c r="D41" s="6"/>
      <c r="E41" s="6"/>
      <c r="F41" s="6"/>
      <c r="G41" s="6"/>
    </row>
    <row r="42" spans="1:7" ht="15.75" customHeight="1" x14ac:dyDescent="0.25">
      <c r="A42" s="50">
        <v>46081</v>
      </c>
      <c r="B42" s="5">
        <v>1647199</v>
      </c>
      <c r="C42" s="5"/>
      <c r="D42" s="6"/>
      <c r="E42" s="6"/>
      <c r="F42" s="6"/>
      <c r="G42" s="6"/>
    </row>
    <row r="43" spans="1:7" ht="15.75" customHeight="1" x14ac:dyDescent="0.25">
      <c r="A43" s="50"/>
      <c r="B43" s="5"/>
      <c r="C43" s="5"/>
      <c r="D43" s="6"/>
      <c r="E43" s="6"/>
      <c r="F43" s="6"/>
      <c r="G43" s="6"/>
    </row>
    <row r="44" spans="1:7" ht="15.75" customHeight="1" x14ac:dyDescent="0.25">
      <c r="A44" s="50"/>
      <c r="B44" s="5"/>
      <c r="C44" s="5"/>
      <c r="D44" s="6"/>
      <c r="E44" s="6"/>
      <c r="F44" s="6"/>
      <c r="G44" s="6"/>
    </row>
    <row r="45" spans="1:7" ht="15.75" customHeight="1" x14ac:dyDescent="0.25">
      <c r="A45" s="50"/>
      <c r="B45" s="5"/>
      <c r="C45" s="5"/>
      <c r="D45" s="6"/>
      <c r="E45" s="6"/>
      <c r="F45" s="6"/>
      <c r="G45" s="6"/>
    </row>
    <row r="46" spans="1:7" ht="15.75" customHeight="1" x14ac:dyDescent="0.25">
      <c r="A46" s="50"/>
      <c r="B46" s="5"/>
      <c r="C46" s="5"/>
      <c r="D46" s="6"/>
      <c r="E46" s="6"/>
      <c r="F46" s="6"/>
      <c r="G46" s="6"/>
    </row>
    <row r="47" spans="1:7" ht="15.75" customHeight="1" x14ac:dyDescent="0.25">
      <c r="A47" s="50"/>
      <c r="B47" s="5"/>
      <c r="C47" s="5"/>
      <c r="D47" s="6"/>
      <c r="E47" s="6"/>
      <c r="F47" s="6"/>
      <c r="G47" s="6"/>
    </row>
    <row r="48" spans="1:7" ht="15.75" customHeight="1" x14ac:dyDescent="0.25">
      <c r="A48" s="50"/>
      <c r="B48" s="5"/>
      <c r="C48" s="5"/>
      <c r="D48" s="6"/>
      <c r="E48" s="6"/>
      <c r="F48" s="6"/>
      <c r="G48" s="6"/>
    </row>
    <row r="49" spans="1:7" ht="15.75" customHeight="1" x14ac:dyDescent="0.25">
      <c r="A49" s="50"/>
      <c r="B49" s="5"/>
      <c r="C49" s="5"/>
      <c r="D49" s="6"/>
      <c r="E49" s="6"/>
      <c r="F49" s="6"/>
      <c r="G49" s="6"/>
    </row>
    <row r="50" spans="1:7" ht="15.75" customHeight="1" x14ac:dyDescent="0.25">
      <c r="A50" s="50"/>
      <c r="B50" s="5"/>
      <c r="C50" s="5"/>
      <c r="D50" s="6"/>
      <c r="E50" s="6"/>
      <c r="F50" s="6"/>
      <c r="G50" s="6"/>
    </row>
    <row r="51" spans="1:7" ht="15.75" customHeight="1" x14ac:dyDescent="0.25">
      <c r="A51" s="50"/>
      <c r="B51" s="5"/>
      <c r="C51" s="5"/>
      <c r="D51" s="6"/>
      <c r="E51" s="6"/>
      <c r="F51" s="6"/>
      <c r="G51" s="6"/>
    </row>
    <row r="52" spans="1:7" ht="15.75" customHeight="1" x14ac:dyDescent="0.25">
      <c r="A52" s="50"/>
      <c r="B52" s="5"/>
      <c r="C52" s="5"/>
      <c r="D52" s="6"/>
      <c r="E52" s="6"/>
      <c r="F52" s="6"/>
      <c r="G52" s="6"/>
    </row>
    <row r="53" spans="1:7" ht="15.75" customHeight="1" x14ac:dyDescent="0.25">
      <c r="A53" s="50"/>
      <c r="B53" s="5"/>
      <c r="C53" s="5"/>
      <c r="D53" s="6"/>
      <c r="E53" s="6"/>
      <c r="F53" s="6"/>
      <c r="G53" s="6"/>
    </row>
    <row r="54" spans="1:7" ht="15.75" customHeight="1" x14ac:dyDescent="0.25">
      <c r="A54" s="50"/>
      <c r="B54" s="5"/>
      <c r="C54" s="5"/>
      <c r="D54" s="6"/>
      <c r="E54" s="6"/>
      <c r="F54" s="6"/>
      <c r="G54" s="6"/>
    </row>
    <row r="55" spans="1:7" ht="15.75" customHeight="1" x14ac:dyDescent="0.25">
      <c r="A55" s="50"/>
      <c r="B55" s="5"/>
      <c r="C55" s="5"/>
      <c r="D55" s="6"/>
      <c r="E55" s="6"/>
      <c r="F55" s="6"/>
      <c r="G55" s="6"/>
    </row>
    <row r="56" spans="1:7" ht="15.75" customHeight="1" x14ac:dyDescent="0.25">
      <c r="A56" s="50"/>
      <c r="B56" s="5"/>
      <c r="C56" s="5"/>
      <c r="D56" s="6"/>
      <c r="E56" s="6"/>
      <c r="F56" s="6"/>
      <c r="G56" s="6"/>
    </row>
    <row r="57" spans="1:7" ht="15.75" customHeight="1" x14ac:dyDescent="0.25">
      <c r="A57" s="50"/>
      <c r="B57" s="5"/>
      <c r="C57" s="5"/>
      <c r="D57" s="6"/>
      <c r="E57" s="6"/>
      <c r="F57" s="6"/>
      <c r="G57" s="6"/>
    </row>
    <row r="58" spans="1:7" ht="15.75" customHeight="1" x14ac:dyDescent="0.25">
      <c r="A58" s="50"/>
      <c r="B58" s="5"/>
      <c r="C58" s="5"/>
      <c r="D58" s="6"/>
      <c r="E58" s="6"/>
      <c r="F58" s="6"/>
      <c r="G58" s="6"/>
    </row>
    <row r="59" spans="1:7" ht="15.75" customHeight="1" x14ac:dyDescent="0.25">
      <c r="A59" s="50"/>
      <c r="B59" s="5"/>
      <c r="C59" s="5"/>
      <c r="D59" s="6"/>
      <c r="E59" s="6"/>
      <c r="F59" s="6"/>
      <c r="G59" s="6"/>
    </row>
    <row r="60" spans="1:7" ht="15.75" customHeight="1" x14ac:dyDescent="0.25">
      <c r="A60" s="50"/>
      <c r="B60" s="5"/>
      <c r="C60" s="5"/>
      <c r="D60" s="6"/>
      <c r="E60" s="6"/>
      <c r="F60" s="6"/>
      <c r="G60" s="6"/>
    </row>
    <row r="61" spans="1:7" ht="15.75" customHeight="1" x14ac:dyDescent="0.25">
      <c r="A61" s="50"/>
      <c r="B61" s="5"/>
      <c r="C61" s="5"/>
      <c r="D61" s="6"/>
      <c r="E61" s="6"/>
      <c r="F61" s="6"/>
      <c r="G61" s="6"/>
    </row>
    <row r="62" spans="1:7" ht="15.75" customHeight="1" x14ac:dyDescent="0.25">
      <c r="A62" s="50"/>
      <c r="B62" s="5"/>
      <c r="C62" s="5"/>
      <c r="D62" s="6"/>
      <c r="E62" s="6"/>
      <c r="F62" s="6"/>
      <c r="G62" s="6"/>
    </row>
    <row r="63" spans="1:7" ht="15.75" customHeight="1" x14ac:dyDescent="0.25">
      <c r="A63" s="50"/>
      <c r="B63" s="5"/>
      <c r="C63" s="5"/>
      <c r="D63" s="6"/>
      <c r="E63" s="6"/>
      <c r="F63" s="6"/>
      <c r="G63" s="6"/>
    </row>
    <row r="64" spans="1:7" ht="15.75" customHeight="1" x14ac:dyDescent="0.25">
      <c r="A64" s="50"/>
      <c r="B64" s="5"/>
      <c r="C64" s="5"/>
      <c r="D64" s="6"/>
      <c r="E64" s="6"/>
      <c r="F64" s="6"/>
      <c r="G64" s="6"/>
    </row>
    <row r="65" spans="1:7" ht="15.75" customHeight="1" x14ac:dyDescent="0.25">
      <c r="A65" s="50"/>
      <c r="B65" s="5"/>
      <c r="C65" s="5"/>
      <c r="D65" s="6"/>
      <c r="E65" s="6"/>
      <c r="F65" s="6"/>
      <c r="G65" s="6"/>
    </row>
    <row r="66" spans="1:7" ht="15.75" customHeight="1" x14ac:dyDescent="0.25">
      <c r="A66" s="50"/>
      <c r="B66" s="5"/>
      <c r="C66" s="5"/>
      <c r="D66" s="6"/>
      <c r="E66" s="6"/>
      <c r="F66" s="6"/>
      <c r="G66" s="6"/>
    </row>
    <row r="67" spans="1:7" ht="15.75" customHeight="1" x14ac:dyDescent="0.25">
      <c r="A67" s="50"/>
      <c r="B67" s="5"/>
      <c r="C67" s="5"/>
      <c r="D67" s="6"/>
      <c r="E67" s="6"/>
      <c r="F67" s="6"/>
      <c r="G67" s="6"/>
    </row>
    <row r="68" spans="1:7" ht="15.75" customHeight="1" x14ac:dyDescent="0.25">
      <c r="A68" s="50"/>
      <c r="B68" s="5"/>
      <c r="C68" s="5"/>
      <c r="D68" s="6"/>
      <c r="E68" s="6"/>
      <c r="F68" s="6"/>
      <c r="G68" s="6"/>
    </row>
    <row r="69" spans="1:7" ht="15.75" customHeight="1" x14ac:dyDescent="0.25">
      <c r="A69" s="50"/>
      <c r="B69" s="5"/>
      <c r="C69" s="5"/>
      <c r="D69" s="6"/>
      <c r="E69" s="6"/>
      <c r="F69" s="6"/>
      <c r="G69" s="6"/>
    </row>
    <row r="70" spans="1:7" ht="15.75" customHeight="1" x14ac:dyDescent="0.25">
      <c r="A70" s="50"/>
      <c r="B70" s="5"/>
      <c r="C70" s="5"/>
      <c r="D70" s="6"/>
      <c r="E70" s="6"/>
      <c r="F70" s="6"/>
      <c r="G70" s="6"/>
    </row>
    <row r="71" spans="1:7" ht="15.75" customHeight="1" x14ac:dyDescent="0.25">
      <c r="A71" s="50"/>
      <c r="B71" s="5"/>
      <c r="C71" s="5"/>
      <c r="D71" s="6"/>
      <c r="E71" s="6"/>
      <c r="F71" s="6"/>
      <c r="G71" s="6"/>
    </row>
    <row r="72" spans="1:7" ht="15.75" customHeight="1" x14ac:dyDescent="0.25">
      <c r="A72" s="50"/>
      <c r="B72" s="5"/>
      <c r="C72" s="5"/>
      <c r="D72" s="6"/>
      <c r="E72" s="6"/>
      <c r="F72" s="6"/>
      <c r="G72" s="6"/>
    </row>
    <row r="73" spans="1:7" ht="15.75" customHeight="1" x14ac:dyDescent="0.25">
      <c r="A73" s="50"/>
      <c r="B73" s="5"/>
      <c r="C73" s="5"/>
      <c r="D73" s="6"/>
      <c r="E73" s="6"/>
      <c r="F73" s="6"/>
      <c r="G73" s="6"/>
    </row>
    <row r="74" spans="1:7" ht="15.75" customHeight="1" x14ac:dyDescent="0.25">
      <c r="A74" s="50"/>
      <c r="B74" s="5"/>
      <c r="C74" s="5"/>
      <c r="D74" s="6"/>
      <c r="E74" s="6"/>
      <c r="F74" s="6"/>
      <c r="G74" s="6"/>
    </row>
    <row r="75" spans="1:7" ht="15.75" customHeight="1" x14ac:dyDescent="0.25">
      <c r="A75" s="50"/>
      <c r="B75" s="5"/>
      <c r="C75" s="5"/>
      <c r="D75" s="6"/>
      <c r="E75" s="6"/>
      <c r="F75" s="6"/>
      <c r="G75" s="6"/>
    </row>
    <row r="76" spans="1:7" ht="15.75" customHeight="1" x14ac:dyDescent="0.25">
      <c r="A76" s="50"/>
      <c r="B76" s="5"/>
      <c r="C76" s="5"/>
      <c r="D76" s="6"/>
      <c r="E76" s="6"/>
      <c r="F76" s="6"/>
      <c r="G76" s="6"/>
    </row>
    <row r="77" spans="1:7" ht="15.75" customHeight="1" x14ac:dyDescent="0.25">
      <c r="A77" s="50"/>
      <c r="B77" s="5"/>
      <c r="C77" s="5"/>
      <c r="D77" s="6"/>
      <c r="E77" s="6"/>
      <c r="F77" s="6"/>
      <c r="G77" s="6"/>
    </row>
    <row r="78" spans="1:7" ht="15.75" customHeight="1" x14ac:dyDescent="0.25">
      <c r="A78" s="50"/>
      <c r="B78" s="5"/>
      <c r="C78" s="5"/>
      <c r="D78" s="6"/>
      <c r="E78" s="6"/>
      <c r="F78" s="6"/>
      <c r="G78" s="6"/>
    </row>
    <row r="79" spans="1:7" ht="15.75" customHeight="1" x14ac:dyDescent="0.25">
      <c r="A79" s="50"/>
      <c r="B79" s="5"/>
      <c r="C79" s="5"/>
      <c r="D79" s="6"/>
      <c r="E79" s="6"/>
      <c r="F79" s="6"/>
      <c r="G79" s="6"/>
    </row>
    <row r="80" spans="1:7" ht="15.75" customHeight="1" x14ac:dyDescent="0.25">
      <c r="A80" s="50"/>
      <c r="B80" s="5"/>
      <c r="C80" s="5"/>
      <c r="D80" s="6"/>
      <c r="E80" s="6"/>
      <c r="F80" s="6"/>
      <c r="G80" s="6"/>
    </row>
    <row r="81" spans="1:7" ht="15.75" customHeight="1" x14ac:dyDescent="0.25">
      <c r="A81" s="50"/>
      <c r="B81" s="5"/>
      <c r="C81" s="5"/>
      <c r="D81" s="6"/>
      <c r="E81" s="6"/>
      <c r="F81" s="6"/>
      <c r="G81" s="6"/>
    </row>
    <row r="82" spans="1:7" ht="15.75" customHeight="1" x14ac:dyDescent="0.25">
      <c r="A82" s="50"/>
      <c r="B82" s="5"/>
      <c r="C82" s="5"/>
      <c r="D82" s="6"/>
      <c r="E82" s="6"/>
      <c r="F82" s="6"/>
      <c r="G82" s="6"/>
    </row>
    <row r="83" spans="1:7" ht="15.75" customHeight="1" x14ac:dyDescent="0.25">
      <c r="A83" s="50"/>
      <c r="B83" s="5"/>
      <c r="C83" s="5"/>
      <c r="D83" s="6"/>
      <c r="E83" s="6"/>
      <c r="F83" s="6"/>
      <c r="G83" s="6"/>
    </row>
    <row r="84" spans="1:7" ht="15.75" customHeight="1" x14ac:dyDescent="0.25">
      <c r="A84" s="50"/>
      <c r="B84" s="5"/>
      <c r="C84" s="5"/>
      <c r="D84" s="6"/>
      <c r="E84" s="6"/>
      <c r="F84" s="6"/>
      <c r="G84" s="6"/>
    </row>
    <row r="85" spans="1:7" ht="15.75" customHeight="1" x14ac:dyDescent="0.25">
      <c r="A85" s="50"/>
      <c r="B85" s="5"/>
      <c r="C85" s="5"/>
      <c r="D85" s="6"/>
      <c r="E85" s="6"/>
      <c r="F85" s="6"/>
      <c r="G85" s="6"/>
    </row>
    <row r="86" spans="1:7" ht="15.75" customHeight="1" x14ac:dyDescent="0.25">
      <c r="A86" s="50"/>
      <c r="B86" s="5"/>
      <c r="C86" s="5"/>
      <c r="D86" s="6"/>
      <c r="E86" s="6"/>
      <c r="F86" s="6"/>
      <c r="G86" s="6"/>
    </row>
    <row r="87" spans="1:7" ht="15.75" customHeight="1" x14ac:dyDescent="0.25">
      <c r="A87" s="50"/>
      <c r="B87" s="5"/>
      <c r="C87" s="5"/>
      <c r="D87" s="6"/>
      <c r="E87" s="6"/>
      <c r="F87" s="6"/>
      <c r="G87" s="6"/>
    </row>
    <row r="88" spans="1:7" ht="15.75" customHeight="1" x14ac:dyDescent="0.25">
      <c r="A88" s="50"/>
      <c r="B88" s="5"/>
      <c r="C88" s="5"/>
      <c r="D88" s="6"/>
      <c r="E88" s="6"/>
      <c r="F88" s="6"/>
      <c r="G88" s="6"/>
    </row>
    <row r="89" spans="1:7" ht="15.75" customHeight="1" x14ac:dyDescent="0.25">
      <c r="A89" s="50"/>
      <c r="B89" s="5"/>
      <c r="C89" s="5"/>
      <c r="D89" s="6"/>
      <c r="E89" s="6"/>
      <c r="F89" s="6"/>
      <c r="G89" s="6"/>
    </row>
    <row r="90" spans="1:7" ht="15.75" customHeight="1" x14ac:dyDescent="0.25">
      <c r="A90" s="50"/>
      <c r="B90" s="5"/>
      <c r="C90" s="5"/>
      <c r="D90" s="6"/>
      <c r="E90" s="6"/>
      <c r="F90" s="6"/>
      <c r="G90" s="6"/>
    </row>
    <row r="91" spans="1:7" ht="15.75" customHeight="1" x14ac:dyDescent="0.25">
      <c r="A91" s="50"/>
      <c r="B91" s="5"/>
      <c r="C91" s="5"/>
      <c r="D91" s="6"/>
      <c r="E91" s="6"/>
      <c r="F91" s="6"/>
      <c r="G91" s="6"/>
    </row>
    <row r="92" spans="1:7" ht="15.75" customHeight="1" x14ac:dyDescent="0.25">
      <c r="A92" s="50"/>
      <c r="B92" s="5"/>
      <c r="C92" s="5"/>
      <c r="D92" s="6"/>
      <c r="E92" s="6"/>
      <c r="F92" s="6"/>
      <c r="G92" s="6"/>
    </row>
    <row r="93" spans="1:7" ht="15.75" customHeight="1" x14ac:dyDescent="0.25">
      <c r="A93" s="50"/>
      <c r="B93" s="5"/>
      <c r="C93" s="5"/>
      <c r="D93" s="6"/>
      <c r="E93" s="6"/>
      <c r="F93" s="6"/>
      <c r="G93" s="6"/>
    </row>
    <row r="94" spans="1:7" ht="15.75" customHeight="1" x14ac:dyDescent="0.25">
      <c r="A94" s="50"/>
      <c r="B94" s="5"/>
      <c r="C94" s="5"/>
      <c r="D94" s="6"/>
      <c r="E94" s="6"/>
      <c r="F94" s="6"/>
      <c r="G94" s="6"/>
    </row>
    <row r="95" spans="1:7" ht="15.75" customHeight="1" x14ac:dyDescent="0.25">
      <c r="A95" s="50"/>
      <c r="B95" s="5"/>
      <c r="C95" s="5"/>
      <c r="D95" s="6"/>
      <c r="E95" s="6"/>
      <c r="F95" s="6"/>
      <c r="G95" s="6"/>
    </row>
    <row r="96" spans="1:7" ht="15.75" customHeight="1" x14ac:dyDescent="0.25">
      <c r="A96" s="50"/>
      <c r="B96" s="5"/>
      <c r="C96" s="5"/>
      <c r="D96" s="6"/>
      <c r="E96" s="6"/>
      <c r="F96" s="6"/>
      <c r="G96" s="6"/>
    </row>
    <row r="97" spans="1:7" ht="15.75" customHeight="1" x14ac:dyDescent="0.25">
      <c r="A97" s="50"/>
      <c r="B97" s="5"/>
      <c r="C97" s="5"/>
      <c r="D97" s="6"/>
      <c r="E97" s="6"/>
      <c r="F97" s="6"/>
      <c r="G97" s="6"/>
    </row>
    <row r="98" spans="1:7" ht="15.75" customHeight="1" x14ac:dyDescent="0.25">
      <c r="A98" s="50"/>
      <c r="B98" s="5"/>
      <c r="C98" s="5"/>
      <c r="D98" s="6"/>
      <c r="E98" s="6"/>
      <c r="F98" s="6"/>
      <c r="G98" s="6"/>
    </row>
    <row r="99" spans="1:7" ht="15.75" customHeight="1" x14ac:dyDescent="0.25">
      <c r="A99" s="50"/>
      <c r="B99" s="5"/>
      <c r="C99" s="5"/>
      <c r="D99" s="6"/>
      <c r="E99" s="6"/>
      <c r="F99" s="6"/>
      <c r="G99" s="6"/>
    </row>
    <row r="100" spans="1:7" ht="15.75" customHeight="1" x14ac:dyDescent="0.25">
      <c r="A100" s="50"/>
      <c r="B100" s="5"/>
      <c r="C100" s="5"/>
      <c r="D100" s="6"/>
      <c r="E100" s="6"/>
      <c r="F100" s="6"/>
      <c r="G100" s="6"/>
    </row>
    <row r="101" spans="1:7" ht="15.75" customHeight="1" x14ac:dyDescent="0.25">
      <c r="A101" s="50"/>
      <c r="B101" s="5"/>
      <c r="C101" s="5"/>
      <c r="D101" s="6"/>
      <c r="E101" s="6"/>
      <c r="F101" s="6"/>
      <c r="G101" s="6"/>
    </row>
    <row r="102" spans="1:7" ht="15.75" customHeight="1" x14ac:dyDescent="0.25">
      <c r="A102" s="50"/>
      <c r="B102" s="5"/>
      <c r="C102" s="5"/>
      <c r="D102" s="6"/>
      <c r="E102" s="6"/>
      <c r="F102" s="6"/>
      <c r="G102" s="6"/>
    </row>
    <row r="103" spans="1:7" ht="15.75" customHeight="1" x14ac:dyDescent="0.25">
      <c r="A103" s="50"/>
      <c r="B103" s="5"/>
      <c r="C103" s="5"/>
      <c r="D103" s="6"/>
      <c r="E103" s="6"/>
      <c r="F103" s="6"/>
      <c r="G103" s="6"/>
    </row>
    <row r="104" spans="1:7" ht="15.75" customHeight="1" x14ac:dyDescent="0.25">
      <c r="A104" s="50"/>
      <c r="B104" s="5"/>
      <c r="C104" s="5"/>
      <c r="D104" s="6"/>
      <c r="E104" s="6"/>
      <c r="F104" s="6"/>
      <c r="G104" s="6"/>
    </row>
    <row r="105" spans="1:7" ht="15.75" customHeight="1" x14ac:dyDescent="0.25">
      <c r="A105" s="50"/>
      <c r="B105" s="5"/>
      <c r="C105" s="5"/>
      <c r="D105" s="6"/>
      <c r="E105" s="6"/>
      <c r="F105" s="6"/>
      <c r="G105" s="6"/>
    </row>
    <row r="106" spans="1:7" ht="15.75" customHeight="1" x14ac:dyDescent="0.25">
      <c r="A106" s="50"/>
      <c r="B106" s="5"/>
      <c r="C106" s="5"/>
      <c r="D106" s="6"/>
      <c r="E106" s="6"/>
      <c r="F106" s="6"/>
      <c r="G106" s="6"/>
    </row>
    <row r="107" spans="1:7" ht="15.75" customHeight="1" x14ac:dyDescent="0.25">
      <c r="A107" s="50"/>
      <c r="B107" s="5"/>
      <c r="C107" s="5"/>
      <c r="D107" s="6"/>
      <c r="E107" s="6"/>
      <c r="F107" s="6"/>
      <c r="G107" s="6"/>
    </row>
    <row r="108" spans="1:7" ht="15.75" customHeight="1" x14ac:dyDescent="0.25">
      <c r="A108" s="50"/>
      <c r="B108" s="5"/>
      <c r="C108" s="5"/>
      <c r="D108" s="6"/>
      <c r="E108" s="6"/>
      <c r="F108" s="6"/>
      <c r="G108" s="6"/>
    </row>
    <row r="109" spans="1:7" ht="15.75" customHeight="1" x14ac:dyDescent="0.25">
      <c r="A109" s="50"/>
      <c r="B109" s="5"/>
      <c r="C109" s="5"/>
      <c r="D109" s="6"/>
      <c r="E109" s="6"/>
      <c r="F109" s="6"/>
      <c r="G109" s="6"/>
    </row>
    <row r="110" spans="1:7" ht="15.75" customHeight="1" x14ac:dyDescent="0.25">
      <c r="A110" s="50"/>
      <c r="B110" s="5"/>
      <c r="C110" s="5"/>
      <c r="D110" s="6"/>
      <c r="E110" s="6"/>
      <c r="F110" s="6"/>
      <c r="G110" s="6"/>
    </row>
    <row r="111" spans="1:7" ht="15.75" customHeight="1" x14ac:dyDescent="0.25">
      <c r="A111" s="50"/>
      <c r="B111" s="5"/>
      <c r="C111" s="5"/>
      <c r="D111" s="6"/>
      <c r="E111" s="6"/>
      <c r="F111" s="6"/>
      <c r="G111" s="6"/>
    </row>
    <row r="112" spans="1:7" ht="15.75" customHeight="1" x14ac:dyDescent="0.25">
      <c r="A112" s="50"/>
      <c r="B112" s="5"/>
      <c r="C112" s="5"/>
      <c r="D112" s="6"/>
      <c r="E112" s="6"/>
      <c r="F112" s="6"/>
      <c r="G112" s="6"/>
    </row>
    <row r="113" spans="1:7" ht="15.75" customHeight="1" x14ac:dyDescent="0.25">
      <c r="A113" s="50"/>
      <c r="B113" s="5"/>
      <c r="C113" s="5"/>
      <c r="D113" s="6"/>
      <c r="E113" s="6"/>
      <c r="F113" s="6"/>
      <c r="G113" s="6"/>
    </row>
    <row r="114" spans="1:7" ht="15.75" customHeight="1" x14ac:dyDescent="0.25">
      <c r="A114" s="50"/>
      <c r="B114" s="5"/>
      <c r="C114" s="5"/>
      <c r="D114" s="6"/>
      <c r="E114" s="6"/>
      <c r="F114" s="6"/>
      <c r="G114" s="6"/>
    </row>
    <row r="115" spans="1:7" ht="15.75" customHeight="1" x14ac:dyDescent="0.25">
      <c r="A115" s="50"/>
      <c r="B115" s="5"/>
      <c r="C115" s="5"/>
      <c r="D115" s="6"/>
      <c r="E115" s="6"/>
      <c r="F115" s="6"/>
      <c r="G115" s="6"/>
    </row>
    <row r="116" spans="1:7" ht="15.75" customHeight="1" x14ac:dyDescent="0.25">
      <c r="A116" s="50"/>
      <c r="B116" s="5"/>
      <c r="C116" s="5"/>
      <c r="D116" s="6"/>
      <c r="E116" s="6"/>
      <c r="F116" s="6"/>
      <c r="G116" s="6"/>
    </row>
    <row r="117" spans="1:7" ht="15.75" customHeight="1" x14ac:dyDescent="0.25">
      <c r="A117" s="50"/>
      <c r="B117" s="5"/>
      <c r="C117" s="5"/>
      <c r="D117" s="6"/>
      <c r="E117" s="6"/>
      <c r="F117" s="6"/>
      <c r="G117" s="6"/>
    </row>
    <row r="118" spans="1:7" ht="15.75" customHeight="1" x14ac:dyDescent="0.25">
      <c r="A118" s="50"/>
      <c r="B118" s="5"/>
      <c r="C118" s="5"/>
      <c r="D118" s="6"/>
      <c r="E118" s="6"/>
      <c r="F118" s="6"/>
      <c r="G118" s="6"/>
    </row>
    <row r="119" spans="1:7" ht="15.75" customHeight="1" x14ac:dyDescent="0.25">
      <c r="A119" s="50"/>
      <c r="B119" s="5"/>
      <c r="C119" s="5"/>
      <c r="D119" s="6"/>
      <c r="E119" s="6"/>
      <c r="F119" s="6"/>
      <c r="G119" s="6"/>
    </row>
    <row r="120" spans="1:7" ht="15.75" customHeight="1" x14ac:dyDescent="0.25">
      <c r="A120" s="50"/>
      <c r="B120" s="5"/>
      <c r="C120" s="5"/>
      <c r="D120" s="6"/>
      <c r="E120" s="6"/>
      <c r="F120" s="6"/>
      <c r="G120" s="6"/>
    </row>
    <row r="121" spans="1:7" ht="15.75" customHeight="1" x14ac:dyDescent="0.25">
      <c r="A121" s="50"/>
      <c r="B121" s="5"/>
      <c r="C121" s="5"/>
      <c r="D121" s="6"/>
      <c r="E121" s="6"/>
      <c r="F121" s="6"/>
      <c r="G121" s="6"/>
    </row>
    <row r="122" spans="1:7" ht="15.75" customHeight="1" x14ac:dyDescent="0.25">
      <c r="A122" s="50"/>
      <c r="B122" s="5"/>
      <c r="C122" s="5"/>
      <c r="D122" s="6"/>
      <c r="E122" s="6"/>
      <c r="F122" s="6"/>
      <c r="G122" s="6"/>
    </row>
    <row r="123" spans="1:7" ht="15.75" customHeight="1" x14ac:dyDescent="0.25">
      <c r="A123" s="50"/>
      <c r="B123" s="5"/>
      <c r="C123" s="5"/>
      <c r="D123" s="6"/>
      <c r="E123" s="6"/>
      <c r="F123" s="6"/>
      <c r="G123" s="6"/>
    </row>
    <row r="124" spans="1:7" ht="15.75" customHeight="1" x14ac:dyDescent="0.25">
      <c r="A124" s="50"/>
      <c r="B124" s="5"/>
      <c r="C124" s="5"/>
      <c r="D124" s="6"/>
      <c r="E124" s="6"/>
      <c r="F124" s="6"/>
      <c r="G124" s="6"/>
    </row>
    <row r="125" spans="1:7" ht="15.75" customHeight="1" x14ac:dyDescent="0.25">
      <c r="A125" s="50"/>
      <c r="B125" s="5"/>
      <c r="C125" s="5"/>
      <c r="D125" s="6"/>
      <c r="E125" s="6"/>
      <c r="F125" s="6"/>
      <c r="G125" s="6"/>
    </row>
    <row r="126" spans="1:7" ht="15.75" customHeight="1" x14ac:dyDescent="0.25">
      <c r="A126" s="50"/>
      <c r="B126" s="5"/>
      <c r="C126" s="5"/>
      <c r="D126" s="6"/>
      <c r="E126" s="6"/>
      <c r="F126" s="6"/>
      <c r="G126" s="6"/>
    </row>
    <row r="127" spans="1:7" ht="15.75" customHeight="1" x14ac:dyDescent="0.25">
      <c r="A127" s="50"/>
      <c r="B127" s="5"/>
      <c r="C127" s="5"/>
      <c r="D127" s="6"/>
      <c r="E127" s="6"/>
      <c r="F127" s="6"/>
      <c r="G127" s="6"/>
    </row>
    <row r="128" spans="1:7" ht="15.75" customHeight="1" x14ac:dyDescent="0.25">
      <c r="A128" s="50"/>
      <c r="B128" s="5"/>
      <c r="C128" s="5"/>
      <c r="D128" s="6"/>
      <c r="E128" s="6"/>
      <c r="F128" s="6"/>
      <c r="G128" s="6"/>
    </row>
    <row r="129" spans="1:7" ht="15.75" customHeight="1" x14ac:dyDescent="0.25">
      <c r="A129" s="50"/>
      <c r="B129" s="5"/>
      <c r="C129" s="5"/>
      <c r="D129" s="6"/>
      <c r="E129" s="6"/>
      <c r="F129" s="6"/>
      <c r="G129" s="6"/>
    </row>
    <row r="130" spans="1:7" ht="15.75" customHeight="1" x14ac:dyDescent="0.25">
      <c r="A130" s="50"/>
      <c r="B130" s="5"/>
      <c r="C130" s="5"/>
      <c r="D130" s="6"/>
      <c r="E130" s="6"/>
      <c r="F130" s="6"/>
      <c r="G130" s="6"/>
    </row>
    <row r="131" spans="1:7" ht="15.75" customHeight="1" x14ac:dyDescent="0.25">
      <c r="A131" s="50"/>
      <c r="B131" s="5"/>
      <c r="C131" s="5"/>
      <c r="D131" s="6"/>
      <c r="E131" s="6"/>
      <c r="F131" s="6"/>
      <c r="G131" s="6"/>
    </row>
    <row r="132" spans="1:7" ht="15.75" customHeight="1" x14ac:dyDescent="0.25">
      <c r="A132" s="50"/>
      <c r="B132" s="5"/>
      <c r="C132" s="5"/>
      <c r="D132" s="6"/>
      <c r="E132" s="6"/>
      <c r="F132" s="6"/>
      <c r="G132" s="6"/>
    </row>
    <row r="133" spans="1:7" ht="15.75" customHeight="1" x14ac:dyDescent="0.25">
      <c r="A133" s="50"/>
      <c r="B133" s="5"/>
      <c r="C133" s="5"/>
      <c r="D133" s="6"/>
      <c r="E133" s="6"/>
      <c r="F133" s="6"/>
      <c r="G133" s="6"/>
    </row>
    <row r="134" spans="1:7" ht="15.75" customHeight="1" x14ac:dyDescent="0.25">
      <c r="A134" s="50"/>
      <c r="B134" s="5"/>
      <c r="C134" s="5"/>
      <c r="D134" s="6"/>
      <c r="E134" s="6"/>
      <c r="F134" s="6"/>
      <c r="G134" s="6"/>
    </row>
    <row r="135" spans="1:7" ht="15.75" customHeight="1" x14ac:dyDescent="0.25">
      <c r="A135" s="50"/>
      <c r="B135" s="5"/>
      <c r="C135" s="5"/>
      <c r="D135" s="6"/>
      <c r="E135" s="6"/>
      <c r="F135" s="6"/>
      <c r="G135" s="6"/>
    </row>
    <row r="136" spans="1:7" ht="15.75" customHeight="1" x14ac:dyDescent="0.25">
      <c r="A136" s="50"/>
      <c r="B136" s="5"/>
      <c r="C136" s="5"/>
      <c r="D136" s="6"/>
      <c r="E136" s="6"/>
      <c r="F136" s="6"/>
      <c r="G136" s="6"/>
    </row>
    <row r="137" spans="1:7" ht="15.75" customHeight="1" x14ac:dyDescent="0.25">
      <c r="A137" s="50"/>
      <c r="B137" s="5"/>
      <c r="C137" s="5"/>
      <c r="D137" s="6"/>
      <c r="E137" s="6"/>
      <c r="F137" s="6"/>
      <c r="G137" s="6"/>
    </row>
    <row r="138" spans="1:7" ht="15.75" customHeight="1" x14ac:dyDescent="0.25">
      <c r="A138" s="50"/>
      <c r="B138" s="5"/>
      <c r="C138" s="5"/>
      <c r="D138" s="6"/>
      <c r="E138" s="6"/>
      <c r="F138" s="6"/>
      <c r="G138" s="6"/>
    </row>
    <row r="139" spans="1:7" ht="15.75" customHeight="1" x14ac:dyDescent="0.25">
      <c r="A139" s="50"/>
      <c r="B139" s="5"/>
      <c r="C139" s="5"/>
      <c r="D139" s="6"/>
      <c r="E139" s="6"/>
      <c r="F139" s="6"/>
      <c r="G139" s="6"/>
    </row>
    <row r="140" spans="1:7" ht="15.75" customHeight="1" x14ac:dyDescent="0.25">
      <c r="A140" s="50"/>
      <c r="B140" s="5"/>
      <c r="C140" s="5"/>
      <c r="D140" s="6"/>
      <c r="E140" s="6"/>
      <c r="F140" s="6"/>
      <c r="G140" s="6"/>
    </row>
    <row r="141" spans="1:7" ht="15.75" customHeight="1" x14ac:dyDescent="0.25">
      <c r="A141" s="50"/>
      <c r="B141" s="5"/>
      <c r="C141" s="5"/>
      <c r="D141" s="6"/>
      <c r="E141" s="6"/>
      <c r="F141" s="6"/>
      <c r="G141" s="6"/>
    </row>
    <row r="142" spans="1:7" ht="15.75" customHeight="1" x14ac:dyDescent="0.25">
      <c r="A142" s="50"/>
      <c r="B142" s="5"/>
      <c r="C142" s="5"/>
      <c r="D142" s="6"/>
      <c r="E142" s="6"/>
      <c r="F142" s="6"/>
      <c r="G142" s="6"/>
    </row>
    <row r="143" spans="1:7" ht="15.75" customHeight="1" x14ac:dyDescent="0.25">
      <c r="A143" s="50"/>
      <c r="B143" s="5"/>
      <c r="C143" s="5"/>
      <c r="D143" s="6"/>
      <c r="E143" s="6"/>
      <c r="F143" s="6"/>
      <c r="G143" s="6"/>
    </row>
    <row r="144" spans="1:7" ht="15.75" customHeight="1" x14ac:dyDescent="0.25">
      <c r="A144" s="50"/>
      <c r="B144" s="5"/>
      <c r="C144" s="5"/>
      <c r="D144" s="6"/>
      <c r="E144" s="6"/>
      <c r="F144" s="6"/>
      <c r="G144" s="6"/>
    </row>
    <row r="145" spans="1:7" ht="15.75" customHeight="1" x14ac:dyDescent="0.25">
      <c r="A145" s="50"/>
      <c r="B145" s="5"/>
      <c r="C145" s="5"/>
      <c r="D145" s="6"/>
      <c r="E145" s="6"/>
      <c r="F145" s="6"/>
      <c r="G145" s="6"/>
    </row>
    <row r="146" spans="1:7" ht="15.75" customHeight="1" x14ac:dyDescent="0.25">
      <c r="A146" s="50"/>
      <c r="B146" s="5"/>
      <c r="C146" s="5"/>
      <c r="D146" s="6"/>
      <c r="E146" s="6"/>
      <c r="F146" s="6"/>
      <c r="G146" s="6"/>
    </row>
    <row r="147" spans="1:7" ht="15.75" customHeight="1" x14ac:dyDescent="0.25">
      <c r="A147" s="50"/>
      <c r="B147" s="5"/>
      <c r="C147" s="5"/>
      <c r="D147" s="6"/>
      <c r="E147" s="6"/>
      <c r="F147" s="6"/>
      <c r="G147" s="6"/>
    </row>
    <row r="148" spans="1:7" ht="15.75" customHeight="1" x14ac:dyDescent="0.25">
      <c r="A148" s="50"/>
      <c r="B148" s="5"/>
      <c r="C148" s="5"/>
      <c r="D148" s="6"/>
      <c r="E148" s="6"/>
      <c r="F148" s="6"/>
      <c r="G148" s="6"/>
    </row>
    <row r="149" spans="1:7" ht="15.75" customHeight="1" x14ac:dyDescent="0.25">
      <c r="A149" s="50"/>
      <c r="B149" s="5"/>
      <c r="C149" s="5"/>
      <c r="D149" s="6"/>
      <c r="E149" s="6"/>
      <c r="F149" s="6"/>
      <c r="G149" s="6"/>
    </row>
    <row r="150" spans="1:7" ht="15.75" customHeight="1" x14ac:dyDescent="0.25">
      <c r="A150" s="50"/>
      <c r="B150" s="5"/>
      <c r="C150" s="5"/>
      <c r="D150" s="6"/>
      <c r="E150" s="6"/>
      <c r="F150" s="6"/>
      <c r="G150" s="6"/>
    </row>
    <row r="151" spans="1:7" ht="15.75" customHeight="1" x14ac:dyDescent="0.25">
      <c r="A151" s="50"/>
      <c r="B151" s="5"/>
      <c r="C151" s="5"/>
      <c r="D151" s="6"/>
      <c r="E151" s="6"/>
      <c r="F151" s="6"/>
      <c r="G151" s="6"/>
    </row>
    <row r="152" spans="1:7" ht="15.75" customHeight="1" x14ac:dyDescent="0.25">
      <c r="A152" s="50"/>
      <c r="B152" s="5"/>
      <c r="C152" s="5"/>
      <c r="D152" s="6"/>
      <c r="E152" s="6"/>
      <c r="F152" s="6"/>
      <c r="G152" s="6"/>
    </row>
    <row r="153" spans="1:7" ht="15.75" customHeight="1" x14ac:dyDescent="0.25">
      <c r="A153" s="50"/>
      <c r="B153" s="5"/>
      <c r="C153" s="5"/>
      <c r="D153" s="6"/>
      <c r="E153" s="6"/>
      <c r="F153" s="6"/>
      <c r="G153" s="6"/>
    </row>
    <row r="154" spans="1:7" ht="15.75" customHeight="1" x14ac:dyDescent="0.25">
      <c r="A154" s="50"/>
      <c r="B154" s="5"/>
      <c r="C154" s="5"/>
      <c r="D154" s="6"/>
      <c r="E154" s="6"/>
      <c r="F154" s="6"/>
      <c r="G154" s="6"/>
    </row>
    <row r="155" spans="1:7" ht="15.75" customHeight="1" x14ac:dyDescent="0.25">
      <c r="A155" s="50"/>
      <c r="B155" s="5"/>
      <c r="C155" s="5"/>
      <c r="D155" s="6"/>
      <c r="E155" s="6"/>
      <c r="F155" s="6"/>
      <c r="G155" s="6"/>
    </row>
    <row r="156" spans="1:7" ht="15.75" customHeight="1" x14ac:dyDescent="0.25">
      <c r="A156" s="50"/>
      <c r="B156" s="5"/>
      <c r="C156" s="5"/>
      <c r="D156" s="6"/>
      <c r="E156" s="6"/>
      <c r="F156" s="6"/>
      <c r="G156" s="6"/>
    </row>
    <row r="157" spans="1:7" ht="15.75" customHeight="1" x14ac:dyDescent="0.25">
      <c r="A157" s="50"/>
      <c r="B157" s="5"/>
      <c r="C157" s="5"/>
      <c r="D157" s="6"/>
      <c r="E157" s="6"/>
      <c r="F157" s="6"/>
      <c r="G157" s="6"/>
    </row>
    <row r="158" spans="1:7" ht="15.75" customHeight="1" x14ac:dyDescent="0.25">
      <c r="A158" s="50"/>
      <c r="B158" s="5"/>
      <c r="C158" s="5"/>
      <c r="D158" s="6"/>
      <c r="E158" s="6"/>
      <c r="F158" s="6"/>
      <c r="G158" s="6"/>
    </row>
    <row r="159" spans="1:7" ht="15.75" customHeight="1" x14ac:dyDescent="0.25">
      <c r="A159" s="50"/>
      <c r="B159" s="5"/>
      <c r="C159" s="5"/>
      <c r="D159" s="6"/>
      <c r="E159" s="6"/>
      <c r="F159" s="6"/>
      <c r="G159" s="6"/>
    </row>
    <row r="160" spans="1:7" ht="15.75" customHeight="1" x14ac:dyDescent="0.25">
      <c r="A160" s="50"/>
      <c r="B160" s="5"/>
      <c r="C160" s="5"/>
      <c r="D160" s="6"/>
      <c r="E160" s="6"/>
      <c r="F160" s="6"/>
      <c r="G160" s="6"/>
    </row>
    <row r="161" spans="1:7" ht="15.75" customHeight="1" x14ac:dyDescent="0.25">
      <c r="A161" s="50"/>
      <c r="B161" s="5"/>
      <c r="C161" s="5"/>
      <c r="D161" s="6"/>
      <c r="E161" s="6"/>
      <c r="F161" s="6"/>
      <c r="G161" s="6"/>
    </row>
    <row r="162" spans="1:7" ht="15.75" customHeight="1" x14ac:dyDescent="0.25">
      <c r="A162" s="50"/>
      <c r="B162" s="5"/>
      <c r="C162" s="5"/>
      <c r="D162" s="6"/>
      <c r="E162" s="6"/>
      <c r="F162" s="6"/>
      <c r="G162" s="6"/>
    </row>
    <row r="163" spans="1:7" ht="15.75" customHeight="1" x14ac:dyDescent="0.25">
      <c r="A163" s="50"/>
      <c r="B163" s="5"/>
      <c r="C163" s="5"/>
      <c r="D163" s="6"/>
      <c r="E163" s="6"/>
      <c r="F163" s="6"/>
      <c r="G163" s="6"/>
    </row>
    <row r="164" spans="1:7" ht="15.75" customHeight="1" x14ac:dyDescent="0.25">
      <c r="A164" s="50"/>
      <c r="B164" s="5"/>
      <c r="C164" s="5"/>
      <c r="D164" s="6"/>
      <c r="E164" s="6"/>
      <c r="F164" s="6"/>
      <c r="G164" s="6"/>
    </row>
    <row r="165" spans="1:7" ht="15.75" customHeight="1" x14ac:dyDescent="0.25">
      <c r="A165" s="50"/>
      <c r="B165" s="5"/>
      <c r="C165" s="5"/>
      <c r="D165" s="6"/>
      <c r="E165" s="6"/>
      <c r="F165" s="6"/>
      <c r="G165" s="6"/>
    </row>
    <row r="166" spans="1:7" ht="15.75" customHeight="1" x14ac:dyDescent="0.25">
      <c r="A166" s="50"/>
      <c r="B166" s="5"/>
      <c r="C166" s="5"/>
      <c r="D166" s="6"/>
      <c r="E166" s="6"/>
      <c r="F166" s="6"/>
      <c r="G166" s="6"/>
    </row>
    <row r="167" spans="1:7" ht="15.75" customHeight="1" x14ac:dyDescent="0.25">
      <c r="A167" s="50"/>
      <c r="B167" s="5"/>
      <c r="C167" s="5"/>
      <c r="D167" s="6"/>
      <c r="E167" s="6"/>
      <c r="F167" s="6"/>
      <c r="G167" s="6"/>
    </row>
    <row r="168" spans="1:7" ht="15.75" customHeight="1" x14ac:dyDescent="0.25">
      <c r="A168" s="50"/>
      <c r="B168" s="5"/>
      <c r="C168" s="5"/>
      <c r="D168" s="6"/>
      <c r="E168" s="6"/>
      <c r="F168" s="6"/>
      <c r="G168" s="6"/>
    </row>
    <row r="169" spans="1:7" ht="15.75" customHeight="1" x14ac:dyDescent="0.25">
      <c r="A169" s="50"/>
      <c r="B169" s="5"/>
      <c r="C169" s="5"/>
      <c r="D169" s="6"/>
      <c r="E169" s="6"/>
      <c r="F169" s="6"/>
      <c r="G169" s="6"/>
    </row>
    <row r="170" spans="1:7" ht="15.75" customHeight="1" x14ac:dyDescent="0.25">
      <c r="A170" s="50"/>
      <c r="B170" s="5"/>
      <c r="C170" s="5"/>
      <c r="D170" s="6"/>
      <c r="E170" s="6"/>
      <c r="F170" s="6"/>
      <c r="G170" s="6"/>
    </row>
    <row r="171" spans="1:7" ht="15.75" customHeight="1" x14ac:dyDescent="0.25">
      <c r="A171" s="50"/>
      <c r="B171" s="5"/>
      <c r="C171" s="5"/>
      <c r="D171" s="6"/>
      <c r="E171" s="6"/>
      <c r="F171" s="6"/>
      <c r="G171" s="6"/>
    </row>
    <row r="172" spans="1:7" ht="15.75" customHeight="1" x14ac:dyDescent="0.25">
      <c r="A172" s="50"/>
      <c r="B172" s="5"/>
      <c r="C172" s="5"/>
      <c r="D172" s="6"/>
      <c r="E172" s="6"/>
      <c r="F172" s="6"/>
      <c r="G172" s="6"/>
    </row>
    <row r="173" spans="1:7" ht="15.75" customHeight="1" x14ac:dyDescent="0.25">
      <c r="A173" s="50"/>
      <c r="B173" s="5"/>
      <c r="C173" s="5"/>
      <c r="D173" s="6"/>
      <c r="E173" s="6"/>
      <c r="F173" s="6"/>
      <c r="G173" s="6"/>
    </row>
    <row r="174" spans="1:7" ht="15.75" customHeight="1" x14ac:dyDescent="0.25">
      <c r="A174" s="50"/>
      <c r="B174" s="5"/>
      <c r="C174" s="5"/>
      <c r="D174" s="6"/>
      <c r="E174" s="6"/>
      <c r="F174" s="6"/>
      <c r="G174" s="6"/>
    </row>
    <row r="175" spans="1:7" ht="15.75" customHeight="1" x14ac:dyDescent="0.25">
      <c r="A175" s="50"/>
      <c r="B175" s="5"/>
      <c r="C175" s="5"/>
      <c r="D175" s="6"/>
      <c r="E175" s="6"/>
      <c r="F175" s="6"/>
      <c r="G175" s="6"/>
    </row>
    <row r="176" spans="1:7" ht="15.75" customHeight="1" x14ac:dyDescent="0.25">
      <c r="A176" s="50"/>
      <c r="B176" s="5"/>
      <c r="C176" s="5"/>
      <c r="D176" s="6"/>
      <c r="E176" s="6"/>
      <c r="F176" s="6"/>
      <c r="G176" s="6"/>
    </row>
    <row r="177" spans="1:7" ht="15.75" customHeight="1" x14ac:dyDescent="0.25">
      <c r="A177" s="50"/>
      <c r="B177" s="5"/>
      <c r="C177" s="5"/>
      <c r="D177" s="6"/>
      <c r="E177" s="6"/>
      <c r="F177" s="6"/>
      <c r="G177" s="6"/>
    </row>
    <row r="178" spans="1:7" ht="15.75" customHeight="1" x14ac:dyDescent="0.25">
      <c r="A178" s="50"/>
      <c r="B178" s="5"/>
      <c r="C178" s="5"/>
      <c r="D178" s="6"/>
      <c r="E178" s="6"/>
      <c r="F178" s="6"/>
      <c r="G178" s="6"/>
    </row>
    <row r="179" spans="1:7" ht="15.75" customHeight="1" x14ac:dyDescent="0.25">
      <c r="A179" s="50"/>
      <c r="B179" s="5"/>
      <c r="C179" s="5"/>
      <c r="D179" s="6"/>
      <c r="E179" s="6"/>
      <c r="F179" s="6"/>
      <c r="G179" s="6"/>
    </row>
    <row r="180" spans="1:7" ht="15.75" customHeight="1" x14ac:dyDescent="0.25">
      <c r="A180" s="50"/>
      <c r="B180" s="5"/>
      <c r="C180" s="5"/>
      <c r="D180" s="6"/>
      <c r="E180" s="6"/>
      <c r="F180" s="6"/>
      <c r="G180" s="6"/>
    </row>
    <row r="181" spans="1:7" ht="15.75" customHeight="1" x14ac:dyDescent="0.25">
      <c r="A181" s="50"/>
      <c r="B181" s="5"/>
      <c r="C181" s="5"/>
      <c r="D181" s="6"/>
      <c r="E181" s="6"/>
      <c r="F181" s="6"/>
      <c r="G181" s="6"/>
    </row>
    <row r="182" spans="1:7" ht="15.75" customHeight="1" x14ac:dyDescent="0.25">
      <c r="A182" s="50"/>
      <c r="B182" s="5"/>
      <c r="C182" s="5"/>
      <c r="D182" s="6"/>
      <c r="E182" s="6"/>
      <c r="F182" s="6"/>
      <c r="G182" s="6"/>
    </row>
    <row r="183" spans="1:7" ht="15.75" customHeight="1" x14ac:dyDescent="0.25">
      <c r="A183" s="50"/>
      <c r="B183" s="5"/>
      <c r="C183" s="5"/>
      <c r="D183" s="6"/>
      <c r="E183" s="6"/>
      <c r="F183" s="6"/>
      <c r="G183" s="6"/>
    </row>
    <row r="184" spans="1:7" ht="15.75" customHeight="1" x14ac:dyDescent="0.25">
      <c r="A184" s="50"/>
      <c r="B184" s="5"/>
      <c r="C184" s="5"/>
      <c r="D184" s="6"/>
      <c r="E184" s="6"/>
      <c r="F184" s="6"/>
      <c r="G184" s="6"/>
    </row>
    <row r="185" spans="1:7" ht="15.75" customHeight="1" x14ac:dyDescent="0.25">
      <c r="A185" s="50"/>
      <c r="B185" s="5"/>
      <c r="C185" s="5"/>
      <c r="D185" s="6"/>
      <c r="E185" s="6"/>
      <c r="F185" s="6"/>
      <c r="G185" s="6"/>
    </row>
    <row r="186" spans="1:7" ht="15.75" customHeight="1" x14ac:dyDescent="0.25">
      <c r="A186" s="50"/>
      <c r="B186" s="5"/>
      <c r="C186" s="5"/>
      <c r="D186" s="6"/>
      <c r="E186" s="6"/>
      <c r="F186" s="6"/>
      <c r="G186" s="6"/>
    </row>
    <row r="187" spans="1:7" ht="15.75" customHeight="1" x14ac:dyDescent="0.25">
      <c r="A187" s="50"/>
      <c r="B187" s="5"/>
      <c r="C187" s="5"/>
      <c r="D187" s="6"/>
      <c r="E187" s="6"/>
      <c r="F187" s="6"/>
      <c r="G187" s="6"/>
    </row>
    <row r="188" spans="1:7" ht="15.75" customHeight="1" x14ac:dyDescent="0.25">
      <c r="A188" s="50"/>
      <c r="B188" s="5"/>
      <c r="C188" s="5"/>
      <c r="D188" s="6"/>
      <c r="E188" s="6"/>
      <c r="F188" s="6"/>
      <c r="G188" s="6"/>
    </row>
    <row r="189" spans="1:7" ht="15.75" customHeight="1" x14ac:dyDescent="0.25">
      <c r="A189" s="50"/>
      <c r="B189" s="5"/>
      <c r="C189" s="5"/>
      <c r="D189" s="6"/>
      <c r="E189" s="6"/>
      <c r="F189" s="6"/>
      <c r="G189" s="6"/>
    </row>
    <row r="190" spans="1:7" ht="15.75" customHeight="1" x14ac:dyDescent="0.25">
      <c r="A190" s="50"/>
      <c r="B190" s="5"/>
      <c r="C190" s="5"/>
      <c r="D190" s="6"/>
      <c r="E190" s="6"/>
      <c r="F190" s="6"/>
      <c r="G190" s="6"/>
    </row>
    <row r="191" spans="1:7" ht="15.75" customHeight="1" x14ac:dyDescent="0.25">
      <c r="A191" s="50"/>
      <c r="B191" s="5"/>
      <c r="C191" s="5"/>
      <c r="D191" s="6"/>
      <c r="E191" s="6"/>
      <c r="F191" s="6"/>
      <c r="G191" s="6"/>
    </row>
    <row r="192" spans="1:7" ht="15.75" customHeight="1" x14ac:dyDescent="0.25">
      <c r="A192" s="50"/>
      <c r="B192" s="5"/>
      <c r="C192" s="5"/>
      <c r="D192" s="6"/>
      <c r="E192" s="6"/>
      <c r="F192" s="6"/>
      <c r="G192" s="6"/>
    </row>
    <row r="193" spans="1:7" ht="15.75" customHeight="1" x14ac:dyDescent="0.25">
      <c r="A193" s="50"/>
      <c r="B193" s="5"/>
      <c r="C193" s="5"/>
      <c r="D193" s="6"/>
      <c r="E193" s="6"/>
      <c r="F193" s="6"/>
      <c r="G193" s="6"/>
    </row>
    <row r="194" spans="1:7" ht="15.75" customHeight="1" x14ac:dyDescent="0.25">
      <c r="A194" s="50"/>
      <c r="B194" s="5"/>
      <c r="C194" s="5"/>
      <c r="D194" s="6"/>
      <c r="E194" s="6"/>
      <c r="F194" s="6"/>
      <c r="G194" s="6"/>
    </row>
    <row r="195" spans="1:7" ht="15.75" customHeight="1" x14ac:dyDescent="0.25">
      <c r="A195" s="50"/>
      <c r="B195" s="5"/>
      <c r="C195" s="5"/>
      <c r="D195" s="6"/>
      <c r="E195" s="6"/>
      <c r="F195" s="6"/>
      <c r="G195" s="6"/>
    </row>
    <row r="196" spans="1:7" ht="15.75" customHeight="1" x14ac:dyDescent="0.25">
      <c r="A196" s="50"/>
      <c r="B196" s="5"/>
      <c r="C196" s="5"/>
      <c r="D196" s="6"/>
      <c r="E196" s="6"/>
      <c r="F196" s="6"/>
      <c r="G196" s="6"/>
    </row>
    <row r="197" spans="1:7" ht="15.75" customHeight="1" x14ac:dyDescent="0.25">
      <c r="A197" s="50"/>
      <c r="B197" s="5"/>
      <c r="C197" s="5"/>
      <c r="D197" s="6"/>
      <c r="E197" s="6"/>
      <c r="F197" s="6"/>
      <c r="G197" s="6"/>
    </row>
    <row r="198" spans="1:7" ht="15.75" customHeight="1" x14ac:dyDescent="0.25">
      <c r="A198" s="50"/>
      <c r="B198" s="5"/>
      <c r="C198" s="5"/>
      <c r="D198" s="6"/>
      <c r="E198" s="6"/>
      <c r="F198" s="6"/>
      <c r="G198" s="6"/>
    </row>
    <row r="199" spans="1:7" ht="15.75" customHeight="1" x14ac:dyDescent="0.25">
      <c r="A199" s="50"/>
      <c r="B199" s="5"/>
      <c r="C199" s="5"/>
      <c r="D199" s="6"/>
      <c r="E199" s="6"/>
      <c r="F199" s="6"/>
      <c r="G199" s="6"/>
    </row>
    <row r="200" spans="1:7" ht="15.75" customHeight="1" x14ac:dyDescent="0.25">
      <c r="A200" s="50"/>
      <c r="B200" s="5"/>
      <c r="C200" s="5"/>
      <c r="D200" s="6"/>
      <c r="E200" s="6"/>
      <c r="F200" s="6"/>
      <c r="G200" s="6"/>
    </row>
    <row r="201" spans="1:7" ht="15.75" customHeight="1" x14ac:dyDescent="0.25">
      <c r="A201" s="50"/>
      <c r="B201" s="5"/>
      <c r="C201" s="5"/>
      <c r="D201" s="6"/>
      <c r="E201" s="6"/>
      <c r="F201" s="6"/>
      <c r="G201" s="6"/>
    </row>
    <row r="202" spans="1:7" ht="15.75" customHeight="1" x14ac:dyDescent="0.25">
      <c r="A202" s="50"/>
      <c r="B202" s="5"/>
      <c r="C202" s="5"/>
      <c r="D202" s="6"/>
      <c r="E202" s="6"/>
      <c r="F202" s="6"/>
      <c r="G202" s="6"/>
    </row>
    <row r="203" spans="1:7" ht="15.75" customHeight="1" x14ac:dyDescent="0.25">
      <c r="A203" s="50"/>
      <c r="B203" s="5"/>
      <c r="C203" s="5"/>
      <c r="D203" s="6"/>
      <c r="E203" s="6"/>
      <c r="F203" s="6"/>
      <c r="G203" s="6"/>
    </row>
    <row r="204" spans="1:7" ht="15.75" customHeight="1" x14ac:dyDescent="0.25">
      <c r="A204" s="50"/>
      <c r="B204" s="5"/>
      <c r="C204" s="5"/>
      <c r="D204" s="6"/>
      <c r="E204" s="6"/>
      <c r="F204" s="6"/>
      <c r="G204" s="6"/>
    </row>
    <row r="205" spans="1:7" ht="15.75" customHeight="1" x14ac:dyDescent="0.25">
      <c r="A205" s="50"/>
      <c r="B205" s="5"/>
      <c r="C205" s="5"/>
      <c r="D205" s="6"/>
      <c r="E205" s="6"/>
      <c r="F205" s="6"/>
      <c r="G205" s="6"/>
    </row>
    <row r="206" spans="1:7" ht="15.75" customHeight="1" x14ac:dyDescent="0.25">
      <c r="A206" s="50"/>
      <c r="B206" s="5"/>
      <c r="C206" s="5"/>
      <c r="D206" s="6"/>
      <c r="E206" s="6"/>
      <c r="F206" s="6"/>
      <c r="G206" s="6"/>
    </row>
    <row r="207" spans="1:7" ht="15.75" customHeight="1" x14ac:dyDescent="0.25">
      <c r="A207" s="50"/>
      <c r="B207" s="5"/>
      <c r="C207" s="5"/>
      <c r="D207" s="6"/>
      <c r="E207" s="6"/>
      <c r="F207" s="6"/>
      <c r="G207" s="6"/>
    </row>
    <row r="208" spans="1:7" ht="15.75" customHeight="1" x14ac:dyDescent="0.25">
      <c r="A208" s="50"/>
      <c r="B208" s="5"/>
      <c r="C208" s="5"/>
      <c r="D208" s="6"/>
      <c r="E208" s="6"/>
      <c r="F208" s="6"/>
      <c r="G208" s="6"/>
    </row>
    <row r="209" spans="1:7" ht="15.75" customHeight="1" x14ac:dyDescent="0.25">
      <c r="A209" s="50"/>
      <c r="B209" s="5"/>
      <c r="C209" s="5"/>
      <c r="D209" s="6"/>
      <c r="E209" s="6"/>
      <c r="F209" s="6"/>
      <c r="G209" s="6"/>
    </row>
    <row r="210" spans="1:7" ht="15.75" customHeight="1" x14ac:dyDescent="0.25">
      <c r="A210" s="50"/>
      <c r="B210" s="5"/>
      <c r="C210" s="5"/>
      <c r="D210" s="6"/>
      <c r="E210" s="6"/>
      <c r="F210" s="6"/>
      <c r="G210" s="6"/>
    </row>
    <row r="211" spans="1:7" ht="15.75" customHeight="1" x14ac:dyDescent="0.25">
      <c r="A211" s="50"/>
      <c r="B211" s="5"/>
      <c r="C211" s="5"/>
      <c r="D211" s="6"/>
      <c r="E211" s="6"/>
      <c r="F211" s="6"/>
      <c r="G211" s="6"/>
    </row>
    <row r="212" spans="1:7" ht="15.75" customHeight="1" x14ac:dyDescent="0.25">
      <c r="A212" s="50"/>
      <c r="B212" s="5"/>
      <c r="C212" s="5"/>
      <c r="D212" s="6"/>
      <c r="E212" s="6"/>
      <c r="F212" s="6"/>
      <c r="G212" s="6"/>
    </row>
    <row r="213" spans="1:7" ht="15.75" customHeight="1" x14ac:dyDescent="0.25">
      <c r="A213" s="50"/>
      <c r="B213" s="5"/>
      <c r="C213" s="5"/>
      <c r="D213" s="6"/>
      <c r="E213" s="6"/>
      <c r="F213" s="6"/>
      <c r="G213" s="6"/>
    </row>
    <row r="214" spans="1:7" ht="15.75" customHeight="1" x14ac:dyDescent="0.25">
      <c r="A214" s="50"/>
      <c r="B214" s="5"/>
      <c r="C214" s="5"/>
      <c r="D214" s="6"/>
      <c r="E214" s="6"/>
      <c r="F214" s="6"/>
      <c r="G214" s="6"/>
    </row>
    <row r="215" spans="1:7" ht="15.75" customHeight="1" x14ac:dyDescent="0.25">
      <c r="A215" s="50"/>
      <c r="B215" s="5"/>
      <c r="C215" s="5"/>
      <c r="D215" s="6"/>
      <c r="E215" s="6"/>
      <c r="F215" s="6"/>
      <c r="G215" s="6"/>
    </row>
    <row r="216" spans="1:7" ht="15.75" customHeight="1" x14ac:dyDescent="0.25">
      <c r="A216" s="50"/>
      <c r="B216" s="5"/>
      <c r="C216" s="5"/>
      <c r="D216" s="6"/>
      <c r="E216" s="6"/>
      <c r="F216" s="6"/>
      <c r="G216" s="6"/>
    </row>
    <row r="217" spans="1:7" ht="15.75" customHeight="1" x14ac:dyDescent="0.25">
      <c r="A217" s="50"/>
      <c r="B217" s="5"/>
      <c r="C217" s="5"/>
      <c r="D217" s="6"/>
      <c r="E217" s="6"/>
      <c r="F217" s="6"/>
      <c r="G217" s="6"/>
    </row>
    <row r="218" spans="1:7" ht="15.75" customHeight="1" x14ac:dyDescent="0.25">
      <c r="A218" s="50"/>
      <c r="B218" s="5"/>
      <c r="C218" s="5"/>
      <c r="D218" s="6"/>
      <c r="E218" s="6"/>
      <c r="F218" s="6"/>
      <c r="G218" s="6"/>
    </row>
    <row r="219" spans="1:7" ht="15.75" customHeight="1" x14ac:dyDescent="0.25">
      <c r="A219" s="50"/>
      <c r="B219" s="5"/>
      <c r="C219" s="5"/>
      <c r="D219" s="6"/>
      <c r="E219" s="6"/>
      <c r="F219" s="6"/>
      <c r="G219" s="6"/>
    </row>
    <row r="220" spans="1:7" ht="15.75" customHeight="1" x14ac:dyDescent="0.25">
      <c r="A220" s="50"/>
      <c r="B220" s="5"/>
      <c r="C220" s="5"/>
      <c r="D220" s="6"/>
      <c r="E220" s="6"/>
      <c r="F220" s="6"/>
      <c r="G220" s="6"/>
    </row>
    <row r="221" spans="1:7" ht="15.75" customHeight="1" x14ac:dyDescent="0.25">
      <c r="A221" s="50"/>
      <c r="B221" s="5"/>
      <c r="C221" s="5"/>
      <c r="D221" s="6"/>
      <c r="E221" s="6"/>
      <c r="F221" s="6"/>
      <c r="G221" s="6"/>
    </row>
    <row r="222" spans="1:7" ht="15.75" customHeight="1" x14ac:dyDescent="0.25">
      <c r="A222" s="50"/>
      <c r="B222" s="5"/>
      <c r="C222" s="5"/>
      <c r="D222" s="6"/>
      <c r="E222" s="6"/>
      <c r="F222" s="6"/>
      <c r="G222" s="6"/>
    </row>
    <row r="223" spans="1:7" ht="15.75" customHeight="1" x14ac:dyDescent="0.25">
      <c r="A223" s="50"/>
      <c r="B223" s="5"/>
      <c r="C223" s="5"/>
      <c r="D223" s="6"/>
      <c r="E223" s="6"/>
      <c r="F223" s="6"/>
      <c r="G223" s="6"/>
    </row>
    <row r="224" spans="1:7" ht="15.75" customHeight="1" x14ac:dyDescent="0.25">
      <c r="A224" s="50"/>
      <c r="B224" s="5"/>
      <c r="C224" s="5"/>
      <c r="D224" s="6"/>
      <c r="E224" s="6"/>
      <c r="F224" s="6"/>
      <c r="G224" s="6"/>
    </row>
    <row r="225" spans="1:7" ht="15.75" customHeight="1" x14ac:dyDescent="0.25">
      <c r="A225" s="50"/>
      <c r="B225" s="5"/>
      <c r="C225" s="5"/>
      <c r="D225" s="6"/>
      <c r="E225" s="6"/>
      <c r="F225" s="6"/>
      <c r="G225" s="6"/>
    </row>
    <row r="226" spans="1:7" ht="15.75" customHeight="1" x14ac:dyDescent="0.25">
      <c r="A226" s="50"/>
      <c r="B226" s="5"/>
      <c r="C226" s="5"/>
      <c r="D226" s="6"/>
      <c r="E226" s="6"/>
      <c r="F226" s="6"/>
      <c r="G226" s="6"/>
    </row>
    <row r="227" spans="1:7" ht="15.75" customHeight="1" x14ac:dyDescent="0.25">
      <c r="A227" s="50"/>
      <c r="B227" s="5"/>
      <c r="C227" s="5"/>
      <c r="D227" s="6"/>
      <c r="E227" s="6"/>
      <c r="F227" s="6"/>
      <c r="G227" s="6"/>
    </row>
    <row r="228" spans="1:7" ht="15.75" customHeight="1" x14ac:dyDescent="0.25">
      <c r="A228" s="50"/>
      <c r="B228" s="5"/>
      <c r="C228" s="5"/>
      <c r="D228" s="6"/>
      <c r="E228" s="6"/>
      <c r="F228" s="6"/>
      <c r="G228" s="6"/>
    </row>
    <row r="229" spans="1:7" ht="15.75" customHeight="1" x14ac:dyDescent="0.25">
      <c r="A229" s="50"/>
      <c r="B229" s="5"/>
      <c r="C229" s="5"/>
      <c r="D229" s="6"/>
      <c r="E229" s="6"/>
      <c r="F229" s="6"/>
      <c r="G229" s="6"/>
    </row>
    <row r="230" spans="1:7" ht="15.75" customHeight="1" x14ac:dyDescent="0.25">
      <c r="A230" s="50"/>
      <c r="B230" s="5"/>
      <c r="C230" s="5"/>
      <c r="D230" s="6"/>
      <c r="E230" s="6"/>
      <c r="F230" s="6"/>
      <c r="G230" s="6"/>
    </row>
    <row r="231" spans="1:7" ht="15.75" customHeight="1" x14ac:dyDescent="0.25">
      <c r="A231" s="50"/>
      <c r="B231" s="5"/>
      <c r="C231" s="5"/>
      <c r="D231" s="6"/>
      <c r="E231" s="6"/>
      <c r="F231" s="6"/>
      <c r="G231" s="6"/>
    </row>
    <row r="232" spans="1:7" ht="15.75" customHeight="1" x14ac:dyDescent="0.25">
      <c r="A232" s="50"/>
      <c r="B232" s="5"/>
      <c r="C232" s="5"/>
      <c r="D232" s="6"/>
      <c r="E232" s="6"/>
      <c r="F232" s="6"/>
      <c r="G232" s="6"/>
    </row>
    <row r="233" spans="1:7" ht="15.75" customHeight="1" x14ac:dyDescent="0.25">
      <c r="A233" s="50"/>
      <c r="B233" s="5"/>
      <c r="C233" s="5"/>
      <c r="D233" s="6"/>
      <c r="E233" s="6"/>
      <c r="F233" s="6"/>
      <c r="G233" s="6"/>
    </row>
    <row r="234" spans="1:7" ht="15.75" customHeight="1" x14ac:dyDescent="0.25">
      <c r="A234" s="50"/>
      <c r="B234" s="5"/>
      <c r="C234" s="5"/>
      <c r="D234" s="6"/>
      <c r="E234" s="6"/>
      <c r="F234" s="6"/>
      <c r="G234" s="6"/>
    </row>
    <row r="235" spans="1:7" ht="15.75" customHeight="1" x14ac:dyDescent="0.25">
      <c r="A235" s="50"/>
      <c r="B235" s="5"/>
      <c r="C235" s="5"/>
      <c r="D235" s="6"/>
      <c r="E235" s="6"/>
      <c r="F235" s="6"/>
      <c r="G235" s="6"/>
    </row>
    <row r="236" spans="1:7" ht="15.75" customHeight="1" x14ac:dyDescent="0.25">
      <c r="A236" s="50"/>
      <c r="B236" s="5"/>
      <c r="C236" s="5"/>
      <c r="D236" s="6"/>
      <c r="E236" s="6"/>
      <c r="F236" s="6"/>
      <c r="G236" s="6"/>
    </row>
    <row r="237" spans="1:7" ht="15.75" customHeight="1" x14ac:dyDescent="0.25">
      <c r="A237" s="50"/>
      <c r="B237" s="5"/>
      <c r="C237" s="5"/>
      <c r="D237" s="6"/>
      <c r="E237" s="6"/>
      <c r="F237" s="6"/>
      <c r="G237" s="6"/>
    </row>
    <row r="238" spans="1:7" ht="15.75" customHeight="1" x14ac:dyDescent="0.25">
      <c r="A238" s="50"/>
      <c r="B238" s="5"/>
      <c r="C238" s="5"/>
      <c r="D238" s="6"/>
      <c r="E238" s="6"/>
      <c r="F238" s="6"/>
      <c r="G238" s="6"/>
    </row>
    <row r="239" spans="1:7" ht="15.75" customHeight="1" x14ac:dyDescent="0.25">
      <c r="A239" s="50"/>
      <c r="B239" s="5"/>
      <c r="C239" s="5"/>
      <c r="D239" s="6"/>
      <c r="E239" s="6"/>
      <c r="F239" s="6"/>
      <c r="G239" s="6"/>
    </row>
    <row r="240" spans="1:7" ht="15.75" customHeight="1" x14ac:dyDescent="0.25">
      <c r="A240" s="50"/>
      <c r="B240" s="5"/>
      <c r="C240" s="5"/>
      <c r="D240" s="6"/>
      <c r="E240" s="6"/>
      <c r="F240" s="6"/>
      <c r="G240" s="6"/>
    </row>
    <row r="241" spans="1:7" ht="15.75" customHeight="1" x14ac:dyDescent="0.25">
      <c r="A241" s="50"/>
      <c r="B241" s="5"/>
      <c r="C241" s="5"/>
      <c r="D241" s="6"/>
      <c r="E241" s="6"/>
      <c r="F241" s="6"/>
      <c r="G241" s="6"/>
    </row>
    <row r="242" spans="1:7" ht="15.75" customHeight="1" x14ac:dyDescent="0.25">
      <c r="A242" s="50"/>
      <c r="B242" s="5"/>
      <c r="C242" s="5"/>
      <c r="D242" s="6"/>
      <c r="E242" s="6"/>
      <c r="F242" s="6"/>
      <c r="G242" s="6"/>
    </row>
    <row r="243" spans="1:7" ht="15.75" customHeight="1" x14ac:dyDescent="0.25">
      <c r="A243" s="50"/>
      <c r="B243" s="5"/>
      <c r="C243" s="5"/>
      <c r="D243" s="6"/>
      <c r="E243" s="6"/>
      <c r="F243" s="6"/>
      <c r="G243" s="6"/>
    </row>
    <row r="244" spans="1:7" ht="15.75" customHeight="1" x14ac:dyDescent="0.25">
      <c r="A244" s="50"/>
      <c r="B244" s="5"/>
      <c r="C244" s="5"/>
      <c r="D244" s="6"/>
      <c r="E244" s="6"/>
      <c r="F244" s="6"/>
      <c r="G244" s="6"/>
    </row>
    <row r="245" spans="1:7" ht="15.75" customHeight="1" x14ac:dyDescent="0.25">
      <c r="A245" s="50"/>
      <c r="B245" s="5"/>
      <c r="C245" s="5"/>
      <c r="D245" s="6"/>
      <c r="E245" s="6"/>
      <c r="F245" s="6"/>
      <c r="G245" s="6"/>
    </row>
    <row r="246" spans="1:7" ht="15.75" customHeight="1" x14ac:dyDescent="0.25">
      <c r="A246" s="50"/>
      <c r="B246" s="5"/>
      <c r="C246" s="5"/>
      <c r="D246" s="6"/>
      <c r="E246" s="6"/>
      <c r="F246" s="6"/>
      <c r="G246" s="6"/>
    </row>
    <row r="247" spans="1:7" ht="15.75" customHeight="1" x14ac:dyDescent="0.25">
      <c r="A247" s="50"/>
      <c r="B247" s="5"/>
      <c r="C247" s="5"/>
      <c r="D247" s="6"/>
      <c r="E247" s="6"/>
      <c r="F247" s="6"/>
      <c r="G247" s="6"/>
    </row>
    <row r="248" spans="1:7" ht="15.75" customHeight="1" x14ac:dyDescent="0.25">
      <c r="A248" s="50"/>
      <c r="B248" s="5"/>
      <c r="C248" s="5"/>
      <c r="D248" s="6"/>
      <c r="E248" s="6"/>
      <c r="F248" s="6"/>
      <c r="G248" s="6"/>
    </row>
    <row r="249" spans="1:7" ht="15.75" customHeight="1" x14ac:dyDescent="0.25">
      <c r="A249" s="50"/>
      <c r="B249" s="5"/>
      <c r="C249" s="5"/>
      <c r="D249" s="6"/>
      <c r="E249" s="6"/>
      <c r="F249" s="6"/>
      <c r="G249" s="6"/>
    </row>
    <row r="250" spans="1:7" ht="15.75" customHeight="1" x14ac:dyDescent="0.25">
      <c r="A250" s="50"/>
      <c r="B250" s="5"/>
      <c r="C250" s="5"/>
      <c r="D250" s="6"/>
      <c r="E250" s="6"/>
      <c r="F250" s="6"/>
      <c r="G250" s="6"/>
    </row>
    <row r="251" spans="1:7" ht="15.75" customHeight="1" x14ac:dyDescent="0.25">
      <c r="A251" s="50"/>
      <c r="B251" s="5"/>
      <c r="C251" s="5"/>
      <c r="D251" s="6"/>
      <c r="E251" s="6"/>
      <c r="F251" s="6"/>
      <c r="G251" s="6"/>
    </row>
    <row r="252" spans="1:7" ht="15.75" customHeight="1" x14ac:dyDescent="0.25">
      <c r="A252" s="50"/>
      <c r="B252" s="5"/>
      <c r="C252" s="5"/>
      <c r="D252" s="6"/>
      <c r="E252" s="6"/>
      <c r="F252" s="6"/>
      <c r="G252" s="6"/>
    </row>
    <row r="253" spans="1:7" ht="15.75" customHeight="1" x14ac:dyDescent="0.25">
      <c r="A253" s="50"/>
      <c r="B253" s="5"/>
      <c r="C253" s="5"/>
      <c r="D253" s="6"/>
      <c r="E253" s="6"/>
      <c r="F253" s="6"/>
      <c r="G253" s="6"/>
    </row>
    <row r="254" spans="1:7" ht="15.75" customHeight="1" x14ac:dyDescent="0.25">
      <c r="A254" s="50"/>
      <c r="B254" s="5"/>
      <c r="C254" s="5"/>
      <c r="D254" s="6"/>
      <c r="E254" s="6"/>
      <c r="F254" s="6"/>
      <c r="G254" s="6"/>
    </row>
    <row r="255" spans="1:7" ht="15.75" customHeight="1" x14ac:dyDescent="0.25">
      <c r="A255" s="50"/>
      <c r="B255" s="5"/>
      <c r="C255" s="5"/>
      <c r="D255" s="6"/>
      <c r="E255" s="6"/>
      <c r="F255" s="6"/>
      <c r="G255" s="6"/>
    </row>
    <row r="256" spans="1:7" ht="15.75" customHeight="1" x14ac:dyDescent="0.25">
      <c r="A256" s="50"/>
      <c r="B256" s="5"/>
      <c r="C256" s="5"/>
      <c r="D256" s="6"/>
      <c r="E256" s="6"/>
      <c r="F256" s="6"/>
      <c r="G256" s="6"/>
    </row>
    <row r="257" spans="1:7" ht="15.75" customHeight="1" x14ac:dyDescent="0.25">
      <c r="A257" s="50"/>
      <c r="B257" s="5"/>
      <c r="C257" s="5"/>
      <c r="D257" s="6"/>
      <c r="E257" s="6"/>
      <c r="F257" s="6"/>
      <c r="G257" s="6"/>
    </row>
    <row r="258" spans="1:7" ht="15.75" customHeight="1" x14ac:dyDescent="0.25">
      <c r="A258" s="50"/>
      <c r="B258" s="5"/>
      <c r="C258" s="5"/>
      <c r="D258" s="6"/>
      <c r="E258" s="6"/>
      <c r="F258" s="6"/>
      <c r="G258" s="6"/>
    </row>
    <row r="259" spans="1:7" ht="15.75" customHeight="1" x14ac:dyDescent="0.25">
      <c r="A259" s="50"/>
      <c r="B259" s="5"/>
      <c r="C259" s="5"/>
      <c r="D259" s="6"/>
      <c r="E259" s="6"/>
      <c r="F259" s="6"/>
      <c r="G259" s="6"/>
    </row>
    <row r="260" spans="1:7" ht="15.75" customHeight="1" x14ac:dyDescent="0.25">
      <c r="A260" s="50"/>
      <c r="B260" s="5"/>
      <c r="C260" s="5"/>
      <c r="D260" s="6"/>
      <c r="E260" s="6"/>
      <c r="F260" s="6"/>
      <c r="G260" s="6"/>
    </row>
    <row r="261" spans="1:7" ht="15.75" customHeight="1" x14ac:dyDescent="0.25">
      <c r="A261" s="50"/>
      <c r="B261" s="5"/>
      <c r="C261" s="5"/>
      <c r="D261" s="6"/>
      <c r="E261" s="6"/>
      <c r="F261" s="6"/>
      <c r="G261" s="6"/>
    </row>
    <row r="262" spans="1:7" ht="15.75" customHeight="1" x14ac:dyDescent="0.25">
      <c r="A262" s="50"/>
      <c r="B262" s="5"/>
      <c r="C262" s="5"/>
      <c r="D262" s="6"/>
      <c r="E262" s="6"/>
      <c r="F262" s="6"/>
      <c r="G262" s="6"/>
    </row>
    <row r="263" spans="1:7" ht="15.75" customHeight="1" x14ac:dyDescent="0.25">
      <c r="A263" s="50"/>
      <c r="B263" s="5"/>
      <c r="C263" s="5"/>
      <c r="D263" s="6"/>
      <c r="E263" s="6"/>
      <c r="F263" s="6"/>
      <c r="G263" s="6"/>
    </row>
    <row r="264" spans="1:7" ht="15.75" customHeight="1" x14ac:dyDescent="0.25">
      <c r="A264" s="50"/>
      <c r="B264" s="5"/>
      <c r="C264" s="5"/>
      <c r="D264" s="6"/>
      <c r="E264" s="6"/>
      <c r="F264" s="6"/>
      <c r="G264" s="6"/>
    </row>
    <row r="265" spans="1:7" ht="15.75" customHeight="1" x14ac:dyDescent="0.25">
      <c r="A265" s="50"/>
      <c r="B265" s="5"/>
      <c r="C265" s="5"/>
      <c r="D265" s="6"/>
      <c r="E265" s="6"/>
      <c r="F265" s="6"/>
      <c r="G265" s="6"/>
    </row>
    <row r="266" spans="1:7" ht="15.75" customHeight="1" x14ac:dyDescent="0.25">
      <c r="A266" s="50"/>
      <c r="B266" s="5"/>
      <c r="C266" s="5"/>
      <c r="D266" s="6"/>
      <c r="E266" s="6"/>
      <c r="F266" s="6"/>
      <c r="G266" s="6"/>
    </row>
    <row r="267" spans="1:7" ht="15.75" customHeight="1" x14ac:dyDescent="0.25">
      <c r="A267" s="50"/>
      <c r="B267" s="5"/>
      <c r="C267" s="5"/>
      <c r="D267" s="6"/>
      <c r="E267" s="6"/>
      <c r="F267" s="6"/>
      <c r="G267" s="6"/>
    </row>
    <row r="268" spans="1:7" ht="15.75" customHeight="1" x14ac:dyDescent="0.25">
      <c r="A268" s="50"/>
      <c r="B268" s="5"/>
      <c r="C268" s="5"/>
      <c r="D268" s="6"/>
      <c r="E268" s="6"/>
      <c r="F268" s="6"/>
      <c r="G268" s="6"/>
    </row>
    <row r="269" spans="1:7" ht="15.75" customHeight="1" x14ac:dyDescent="0.25">
      <c r="A269" s="50"/>
      <c r="B269" s="5"/>
      <c r="C269" s="5"/>
      <c r="D269" s="6"/>
      <c r="E269" s="6"/>
      <c r="F269" s="6"/>
      <c r="G269" s="6"/>
    </row>
    <row r="270" spans="1:7" ht="15.75" customHeight="1" x14ac:dyDescent="0.25">
      <c r="A270" s="50"/>
      <c r="B270" s="5"/>
      <c r="C270" s="5"/>
      <c r="D270" s="6"/>
      <c r="E270" s="6"/>
      <c r="F270" s="6"/>
      <c r="G270" s="6"/>
    </row>
    <row r="271" spans="1:7" ht="15.75" customHeight="1" x14ac:dyDescent="0.25">
      <c r="A271" s="50"/>
      <c r="B271" s="5"/>
      <c r="C271" s="5"/>
      <c r="D271" s="6"/>
      <c r="E271" s="6"/>
      <c r="F271" s="6"/>
      <c r="G271" s="6"/>
    </row>
    <row r="272" spans="1:7" ht="15.75" customHeight="1" x14ac:dyDescent="0.25">
      <c r="A272" s="50"/>
      <c r="B272" s="5"/>
      <c r="C272" s="5"/>
      <c r="D272" s="6"/>
      <c r="E272" s="6"/>
      <c r="F272" s="6"/>
      <c r="G272" s="6"/>
    </row>
    <row r="273" spans="1:7" ht="15.75" customHeight="1" x14ac:dyDescent="0.25">
      <c r="A273" s="50"/>
      <c r="B273" s="5"/>
      <c r="C273" s="5"/>
      <c r="D273" s="6"/>
      <c r="E273" s="6"/>
      <c r="F273" s="6"/>
      <c r="G273" s="6"/>
    </row>
    <row r="274" spans="1:7" ht="15.75" customHeight="1" x14ac:dyDescent="0.25">
      <c r="A274" s="50"/>
      <c r="B274" s="5"/>
      <c r="C274" s="5"/>
      <c r="D274" s="6"/>
      <c r="E274" s="6"/>
      <c r="F274" s="6"/>
      <c r="G274" s="6"/>
    </row>
    <row r="275" spans="1:7" ht="15.75" customHeight="1" x14ac:dyDescent="0.25">
      <c r="A275" s="50"/>
      <c r="B275" s="5"/>
      <c r="C275" s="5"/>
      <c r="D275" s="6"/>
      <c r="E275" s="6"/>
      <c r="F275" s="6"/>
      <c r="G275" s="6"/>
    </row>
    <row r="276" spans="1:7" ht="15.75" customHeight="1" x14ac:dyDescent="0.25">
      <c r="A276" s="50"/>
      <c r="B276" s="5"/>
      <c r="C276" s="5"/>
      <c r="D276" s="6"/>
      <c r="E276" s="6"/>
      <c r="F276" s="6"/>
      <c r="G276" s="6"/>
    </row>
    <row r="277" spans="1:7" ht="15.75" customHeight="1" x14ac:dyDescent="0.25">
      <c r="A277" s="50"/>
      <c r="B277" s="5"/>
      <c r="C277" s="5"/>
      <c r="D277" s="6"/>
      <c r="E277" s="6"/>
      <c r="F277" s="6"/>
      <c r="G277" s="6"/>
    </row>
    <row r="278" spans="1:7" ht="15.75" customHeight="1" x14ac:dyDescent="0.25">
      <c r="A278" s="50"/>
      <c r="B278" s="5"/>
      <c r="C278" s="5"/>
      <c r="D278" s="6"/>
      <c r="E278" s="6"/>
      <c r="F278" s="6"/>
      <c r="G278" s="6"/>
    </row>
    <row r="279" spans="1:7" ht="15.75" customHeight="1" x14ac:dyDescent="0.25">
      <c r="A279" s="50"/>
      <c r="B279" s="5"/>
      <c r="C279" s="5"/>
      <c r="D279" s="6"/>
      <c r="E279" s="6"/>
      <c r="F279" s="6"/>
      <c r="G279" s="6"/>
    </row>
    <row r="280" spans="1:7" ht="15.75" customHeight="1" x14ac:dyDescent="0.25">
      <c r="A280" s="50"/>
      <c r="B280" s="5"/>
      <c r="C280" s="5"/>
      <c r="D280" s="6"/>
      <c r="E280" s="6"/>
      <c r="F280" s="6"/>
      <c r="G280" s="6"/>
    </row>
    <row r="281" spans="1:7" ht="15.75" customHeight="1" x14ac:dyDescent="0.25">
      <c r="A281" s="50"/>
      <c r="B281" s="5"/>
      <c r="C281" s="5"/>
      <c r="D281" s="6"/>
      <c r="E281" s="6"/>
      <c r="F281" s="6"/>
      <c r="G281" s="6"/>
    </row>
    <row r="282" spans="1:7" ht="15.75" customHeight="1" x14ac:dyDescent="0.25">
      <c r="A282" s="50"/>
      <c r="B282" s="5"/>
      <c r="C282" s="5"/>
      <c r="D282" s="6"/>
      <c r="E282" s="6"/>
      <c r="F282" s="6"/>
      <c r="G282" s="6"/>
    </row>
    <row r="283" spans="1:7" ht="15.75" customHeight="1" x14ac:dyDescent="0.25">
      <c r="A283" s="50"/>
      <c r="B283" s="5"/>
      <c r="C283" s="5"/>
      <c r="D283" s="6"/>
      <c r="E283" s="6"/>
      <c r="F283" s="6"/>
      <c r="G283" s="6"/>
    </row>
    <row r="284" spans="1:7" ht="15.75" customHeight="1" x14ac:dyDescent="0.25">
      <c r="A284" s="50"/>
      <c r="B284" s="5"/>
      <c r="C284" s="5"/>
      <c r="D284" s="6"/>
      <c r="E284" s="6"/>
      <c r="F284" s="6"/>
      <c r="G284" s="6"/>
    </row>
    <row r="285" spans="1:7" ht="15.75" customHeight="1" x14ac:dyDescent="0.25">
      <c r="A285" s="50"/>
      <c r="B285" s="5"/>
      <c r="C285" s="5"/>
      <c r="D285" s="6"/>
      <c r="E285" s="6"/>
      <c r="F285" s="6"/>
      <c r="G285" s="6"/>
    </row>
    <row r="286" spans="1:7" ht="15.75" customHeight="1" x14ac:dyDescent="0.25">
      <c r="A286" s="50"/>
      <c r="B286" s="5"/>
      <c r="C286" s="5"/>
      <c r="D286" s="6"/>
      <c r="E286" s="6"/>
      <c r="F286" s="6"/>
      <c r="G286" s="6"/>
    </row>
    <row r="287" spans="1:7" ht="15.75" customHeight="1" x14ac:dyDescent="0.25">
      <c r="A287" s="50"/>
      <c r="B287" s="5"/>
      <c r="C287" s="5"/>
      <c r="D287" s="6"/>
      <c r="E287" s="6"/>
      <c r="F287" s="6"/>
      <c r="G287" s="6"/>
    </row>
    <row r="288" spans="1:7" ht="15.75" customHeight="1" x14ac:dyDescent="0.25">
      <c r="A288" s="50"/>
      <c r="B288" s="5"/>
      <c r="C288" s="5"/>
      <c r="D288" s="6"/>
      <c r="E288" s="6"/>
      <c r="F288" s="6"/>
      <c r="G288" s="6"/>
    </row>
    <row r="289" spans="1:7" ht="15.75" customHeight="1" x14ac:dyDescent="0.25">
      <c r="A289" s="50"/>
      <c r="B289" s="5"/>
      <c r="C289" s="5"/>
      <c r="D289" s="6"/>
      <c r="E289" s="6"/>
      <c r="F289" s="6"/>
      <c r="G289" s="6"/>
    </row>
    <row r="290" spans="1:7" ht="15.75" customHeight="1" x14ac:dyDescent="0.25">
      <c r="A290" s="50"/>
      <c r="B290" s="5"/>
      <c r="C290" s="5"/>
      <c r="D290" s="6"/>
      <c r="E290" s="6"/>
      <c r="F290" s="6"/>
      <c r="G290" s="6"/>
    </row>
    <row r="291" spans="1:7" ht="15.75" customHeight="1" x14ac:dyDescent="0.25">
      <c r="A291" s="50"/>
      <c r="B291" s="5"/>
      <c r="C291" s="5"/>
      <c r="D291" s="6"/>
      <c r="E291" s="6"/>
      <c r="F291" s="6"/>
      <c r="G291" s="6"/>
    </row>
    <row r="292" spans="1:7" ht="15.75" customHeight="1" x14ac:dyDescent="0.25">
      <c r="A292" s="50"/>
      <c r="B292" s="5"/>
      <c r="C292" s="5"/>
      <c r="D292" s="6"/>
      <c r="E292" s="6"/>
      <c r="F292" s="6"/>
      <c r="G292" s="6"/>
    </row>
    <row r="293" spans="1:7" ht="15.75" customHeight="1" x14ac:dyDescent="0.25">
      <c r="A293" s="50"/>
      <c r="B293" s="5"/>
      <c r="C293" s="5"/>
      <c r="D293" s="6"/>
      <c r="E293" s="6"/>
      <c r="F293" s="6"/>
      <c r="G293" s="6"/>
    </row>
    <row r="294" spans="1:7" ht="15.75" customHeight="1" x14ac:dyDescent="0.25">
      <c r="A294" s="50"/>
      <c r="B294" s="5"/>
      <c r="C294" s="5"/>
      <c r="D294" s="6"/>
      <c r="E294" s="6"/>
      <c r="F294" s="6"/>
      <c r="G294" s="6"/>
    </row>
    <row r="295" spans="1:7" ht="15.75" customHeight="1" x14ac:dyDescent="0.25">
      <c r="A295" s="50"/>
      <c r="B295" s="5"/>
      <c r="C295" s="5"/>
      <c r="D295" s="6"/>
      <c r="E295" s="6"/>
      <c r="F295" s="6"/>
      <c r="G295" s="6"/>
    </row>
    <row r="296" spans="1:7" ht="15.75" customHeight="1" x14ac:dyDescent="0.25">
      <c r="A296" s="50"/>
      <c r="B296" s="5"/>
      <c r="C296" s="5"/>
      <c r="D296" s="6"/>
      <c r="E296" s="6"/>
      <c r="F296" s="6"/>
      <c r="G296" s="6"/>
    </row>
    <row r="297" spans="1:7" ht="15.75" customHeight="1" x14ac:dyDescent="0.25">
      <c r="A297" s="50"/>
      <c r="B297" s="5"/>
      <c r="C297" s="5"/>
      <c r="D297" s="6"/>
      <c r="E297" s="6"/>
      <c r="F297" s="6"/>
      <c r="G297" s="6"/>
    </row>
    <row r="298" spans="1:7" ht="15.75" customHeight="1" x14ac:dyDescent="0.25">
      <c r="A298" s="50"/>
      <c r="B298" s="5"/>
      <c r="C298" s="5"/>
      <c r="D298" s="6"/>
      <c r="E298" s="6"/>
      <c r="F298" s="6"/>
      <c r="G298" s="6"/>
    </row>
    <row r="299" spans="1:7" ht="15.75" customHeight="1" x14ac:dyDescent="0.25">
      <c r="A299" s="50"/>
      <c r="B299" s="5"/>
      <c r="C299" s="5"/>
      <c r="D299" s="6"/>
      <c r="E299" s="6"/>
      <c r="F299" s="6"/>
      <c r="G299" s="6"/>
    </row>
    <row r="300" spans="1:7" ht="15.75" customHeight="1" x14ac:dyDescent="0.25">
      <c r="A300" s="50"/>
      <c r="B300" s="5"/>
      <c r="C300" s="5"/>
      <c r="D300" s="6"/>
      <c r="E300" s="6"/>
      <c r="F300" s="6"/>
      <c r="G300" s="6"/>
    </row>
    <row r="301" spans="1:7" ht="15.75" customHeight="1" x14ac:dyDescent="0.25">
      <c r="A301" s="50"/>
      <c r="B301" s="5"/>
      <c r="C301" s="5"/>
      <c r="D301" s="6"/>
      <c r="E301" s="6"/>
      <c r="F301" s="6"/>
      <c r="G301" s="6"/>
    </row>
    <row r="302" spans="1:7" ht="15.75" customHeight="1" x14ac:dyDescent="0.25">
      <c r="A302" s="50"/>
      <c r="B302" s="5"/>
      <c r="C302" s="5"/>
      <c r="D302" s="6"/>
      <c r="E302" s="6"/>
      <c r="F302" s="6"/>
      <c r="G302" s="6"/>
    </row>
    <row r="303" spans="1:7" ht="15.75" customHeight="1" x14ac:dyDescent="0.25">
      <c r="A303" s="50"/>
      <c r="B303" s="5"/>
      <c r="C303" s="5"/>
      <c r="D303" s="6"/>
      <c r="E303" s="6"/>
      <c r="F303" s="6"/>
      <c r="G303" s="6"/>
    </row>
    <row r="304" spans="1:7" ht="15.75" customHeight="1" x14ac:dyDescent="0.25">
      <c r="A304" s="50"/>
      <c r="B304" s="5"/>
      <c r="C304" s="5"/>
      <c r="D304" s="6"/>
      <c r="E304" s="6"/>
      <c r="F304" s="6"/>
      <c r="G304" s="6"/>
    </row>
    <row r="305" spans="1:7" ht="15.75" customHeight="1" x14ac:dyDescent="0.25">
      <c r="A305" s="50"/>
      <c r="B305" s="5"/>
      <c r="C305" s="5"/>
      <c r="D305" s="6"/>
      <c r="E305" s="6"/>
      <c r="F305" s="6"/>
      <c r="G305" s="6"/>
    </row>
    <row r="306" spans="1:7" ht="15.75" customHeight="1" x14ac:dyDescent="0.25">
      <c r="A306" s="50"/>
      <c r="B306" s="5"/>
      <c r="C306" s="5"/>
      <c r="D306" s="6"/>
      <c r="E306" s="6"/>
      <c r="F306" s="6"/>
      <c r="G306" s="6"/>
    </row>
    <row r="307" spans="1:7" ht="15.75" customHeight="1" x14ac:dyDescent="0.25">
      <c r="A307" s="50"/>
      <c r="B307" s="5"/>
      <c r="C307" s="5"/>
      <c r="D307" s="6"/>
      <c r="E307" s="6"/>
      <c r="F307" s="6"/>
      <c r="G307" s="6"/>
    </row>
    <row r="308" spans="1:7" ht="15.75" customHeight="1" x14ac:dyDescent="0.25">
      <c r="A308" s="50"/>
      <c r="B308" s="5"/>
      <c r="C308" s="5"/>
      <c r="D308" s="6"/>
      <c r="E308" s="6"/>
      <c r="F308" s="6"/>
      <c r="G308" s="6"/>
    </row>
    <row r="309" spans="1:7" ht="15.75" customHeight="1" x14ac:dyDescent="0.25">
      <c r="A309" s="50"/>
      <c r="B309" s="5"/>
      <c r="C309" s="5"/>
      <c r="D309" s="6"/>
      <c r="E309" s="6"/>
      <c r="F309" s="6"/>
      <c r="G309" s="6"/>
    </row>
    <row r="310" spans="1:7" ht="15.75" customHeight="1" x14ac:dyDescent="0.25">
      <c r="A310" s="50"/>
      <c r="B310" s="5"/>
      <c r="C310" s="5"/>
      <c r="D310" s="6"/>
      <c r="E310" s="6"/>
      <c r="F310" s="6"/>
      <c r="G310" s="6"/>
    </row>
    <row r="311" spans="1:7" ht="15.75" customHeight="1" x14ac:dyDescent="0.25">
      <c r="A311" s="50"/>
      <c r="B311" s="5"/>
      <c r="C311" s="5"/>
      <c r="D311" s="6"/>
      <c r="E311" s="6"/>
      <c r="F311" s="6"/>
      <c r="G311" s="6"/>
    </row>
    <row r="312" spans="1:7" ht="15.75" customHeight="1" x14ac:dyDescent="0.25">
      <c r="A312" s="50"/>
      <c r="B312" s="5"/>
      <c r="C312" s="5"/>
      <c r="D312" s="6"/>
      <c r="E312" s="6"/>
      <c r="F312" s="6"/>
      <c r="G312" s="6"/>
    </row>
    <row r="313" spans="1:7" ht="15.75" customHeight="1" x14ac:dyDescent="0.25">
      <c r="A313" s="50"/>
      <c r="B313" s="5"/>
      <c r="C313" s="5"/>
      <c r="D313" s="6"/>
      <c r="E313" s="6"/>
      <c r="F313" s="6"/>
      <c r="G313" s="6"/>
    </row>
    <row r="314" spans="1:7" ht="15.75" customHeight="1" x14ac:dyDescent="0.25">
      <c r="A314" s="50"/>
      <c r="B314" s="5"/>
      <c r="C314" s="5"/>
      <c r="D314" s="6"/>
      <c r="E314" s="6"/>
      <c r="F314" s="6"/>
      <c r="G314" s="6"/>
    </row>
    <row r="315" spans="1:7" ht="15.75" customHeight="1" x14ac:dyDescent="0.25">
      <c r="A315" s="50"/>
      <c r="B315" s="5"/>
      <c r="C315" s="5"/>
      <c r="D315" s="6"/>
      <c r="E315" s="6"/>
      <c r="F315" s="6"/>
      <c r="G315" s="6"/>
    </row>
    <row r="316" spans="1:7" ht="15.75" customHeight="1" x14ac:dyDescent="0.25">
      <c r="A316" s="50"/>
      <c r="B316" s="5"/>
      <c r="C316" s="5"/>
      <c r="D316" s="6"/>
      <c r="E316" s="6"/>
      <c r="F316" s="6"/>
      <c r="G316" s="6"/>
    </row>
    <row r="317" spans="1:7" ht="15.75" customHeight="1" x14ac:dyDescent="0.25">
      <c r="A317" s="50"/>
      <c r="B317" s="5"/>
      <c r="C317" s="5"/>
      <c r="D317" s="6"/>
      <c r="E317" s="6"/>
      <c r="F317" s="6"/>
      <c r="G317" s="6"/>
    </row>
    <row r="318" spans="1:7" ht="15.75" customHeight="1" x14ac:dyDescent="0.25">
      <c r="A318" s="50"/>
      <c r="B318" s="5"/>
      <c r="C318" s="5"/>
      <c r="D318" s="6"/>
      <c r="E318" s="6"/>
      <c r="F318" s="6"/>
      <c r="G318" s="6"/>
    </row>
    <row r="319" spans="1:7" ht="15.75" customHeight="1" x14ac:dyDescent="0.25">
      <c r="A319" s="50"/>
      <c r="B319" s="5"/>
      <c r="C319" s="5"/>
      <c r="D319" s="6"/>
      <c r="E319" s="6"/>
      <c r="F319" s="6"/>
      <c r="G319" s="6"/>
    </row>
    <row r="320" spans="1:7" ht="15.75" customHeight="1" x14ac:dyDescent="0.25">
      <c r="A320" s="50"/>
      <c r="B320" s="5"/>
      <c r="C320" s="5"/>
      <c r="D320" s="6"/>
      <c r="E320" s="6"/>
      <c r="F320" s="6"/>
      <c r="G320" s="6"/>
    </row>
    <row r="321" spans="1:7" ht="15.75" customHeight="1" x14ac:dyDescent="0.25">
      <c r="A321" s="50"/>
      <c r="B321" s="5"/>
      <c r="C321" s="5"/>
      <c r="D321" s="6"/>
      <c r="E321" s="6"/>
      <c r="F321" s="6"/>
      <c r="G321" s="6"/>
    </row>
    <row r="322" spans="1:7" ht="15.75" customHeight="1" x14ac:dyDescent="0.25">
      <c r="A322" s="50"/>
      <c r="B322" s="5"/>
      <c r="C322" s="5"/>
      <c r="D322" s="6"/>
      <c r="E322" s="6"/>
      <c r="F322" s="6"/>
      <c r="G322" s="6"/>
    </row>
    <row r="323" spans="1:7" ht="15.75" customHeight="1" x14ac:dyDescent="0.25">
      <c r="A323" s="50"/>
      <c r="B323" s="5"/>
      <c r="C323" s="5"/>
      <c r="D323" s="6"/>
      <c r="E323" s="6"/>
      <c r="F323" s="6"/>
      <c r="G323" s="6"/>
    </row>
    <row r="324" spans="1:7" ht="15.75" customHeight="1" x14ac:dyDescent="0.25">
      <c r="A324" s="50"/>
      <c r="B324" s="5"/>
      <c r="C324" s="5"/>
      <c r="D324" s="6"/>
      <c r="E324" s="6"/>
      <c r="F324" s="6"/>
      <c r="G324" s="6"/>
    </row>
    <row r="325" spans="1:7" ht="15.75" customHeight="1" x14ac:dyDescent="0.25">
      <c r="A325" s="50"/>
      <c r="B325" s="5"/>
      <c r="C325" s="5"/>
      <c r="D325" s="6"/>
      <c r="E325" s="6"/>
      <c r="F325" s="6"/>
      <c r="G325" s="6"/>
    </row>
    <row r="326" spans="1:7" ht="15.75" customHeight="1" x14ac:dyDescent="0.25">
      <c r="A326" s="50"/>
      <c r="B326" s="5"/>
      <c r="C326" s="5"/>
      <c r="D326" s="6"/>
      <c r="E326" s="6"/>
      <c r="F326" s="6"/>
      <c r="G326" s="6"/>
    </row>
    <row r="327" spans="1:7" ht="15.75" customHeight="1" x14ac:dyDescent="0.25">
      <c r="A327" s="50"/>
      <c r="B327" s="5"/>
      <c r="C327" s="5"/>
      <c r="D327" s="6"/>
      <c r="E327" s="6"/>
      <c r="F327" s="6"/>
      <c r="G327" s="6"/>
    </row>
    <row r="328" spans="1:7" ht="15.75" customHeight="1" x14ac:dyDescent="0.25">
      <c r="A328" s="50"/>
      <c r="B328" s="5"/>
      <c r="C328" s="5"/>
      <c r="D328" s="6"/>
      <c r="E328" s="6"/>
      <c r="F328" s="6"/>
      <c r="G328" s="6"/>
    </row>
    <row r="329" spans="1:7" ht="15.75" customHeight="1" x14ac:dyDescent="0.25">
      <c r="A329" s="50"/>
      <c r="B329" s="5"/>
      <c r="C329" s="5"/>
      <c r="D329" s="6"/>
      <c r="E329" s="6"/>
      <c r="F329" s="6"/>
      <c r="G329" s="6"/>
    </row>
    <row r="330" spans="1:7" ht="15.75" customHeight="1" x14ac:dyDescent="0.25">
      <c r="A330" s="50"/>
      <c r="B330" s="5"/>
      <c r="C330" s="5"/>
      <c r="D330" s="6"/>
      <c r="E330" s="6"/>
      <c r="F330" s="6"/>
      <c r="G330" s="6"/>
    </row>
    <row r="331" spans="1:7" ht="15.75" customHeight="1" x14ac:dyDescent="0.25">
      <c r="A331" s="50"/>
      <c r="B331" s="5"/>
      <c r="C331" s="5"/>
      <c r="D331" s="6"/>
      <c r="E331" s="6"/>
      <c r="F331" s="6"/>
      <c r="G331" s="6"/>
    </row>
    <row r="332" spans="1:7" ht="15.75" customHeight="1" x14ac:dyDescent="0.25">
      <c r="A332" s="50"/>
      <c r="B332" s="5"/>
      <c r="C332" s="5"/>
      <c r="D332" s="6"/>
      <c r="E332" s="6"/>
      <c r="F332" s="6"/>
      <c r="G332" s="6"/>
    </row>
    <row r="333" spans="1:7" ht="15.75" customHeight="1" x14ac:dyDescent="0.25">
      <c r="A333" s="50"/>
      <c r="B333" s="5"/>
      <c r="C333" s="5"/>
      <c r="D333" s="6"/>
      <c r="E333" s="6"/>
      <c r="F333" s="6"/>
      <c r="G333" s="6"/>
    </row>
    <row r="334" spans="1:7" ht="15.75" customHeight="1" x14ac:dyDescent="0.25">
      <c r="A334" s="50"/>
      <c r="B334" s="5"/>
      <c r="C334" s="5"/>
      <c r="D334" s="6"/>
      <c r="E334" s="6"/>
      <c r="F334" s="6"/>
      <c r="G334" s="6"/>
    </row>
    <row r="335" spans="1:7" ht="15.75" customHeight="1" x14ac:dyDescent="0.25">
      <c r="A335" s="50"/>
      <c r="B335" s="5"/>
      <c r="C335" s="5"/>
      <c r="D335" s="6"/>
      <c r="E335" s="6"/>
      <c r="F335" s="6"/>
      <c r="G335" s="6"/>
    </row>
    <row r="336" spans="1:7" ht="15.75" customHeight="1" x14ac:dyDescent="0.25">
      <c r="A336" s="50"/>
      <c r="B336" s="5"/>
      <c r="C336" s="5"/>
      <c r="D336" s="6"/>
      <c r="E336" s="6"/>
      <c r="F336" s="6"/>
      <c r="G336" s="6"/>
    </row>
    <row r="337" spans="1:7" ht="15.75" customHeight="1" x14ac:dyDescent="0.25">
      <c r="A337" s="50"/>
      <c r="B337" s="5"/>
      <c r="C337" s="5"/>
      <c r="D337" s="6"/>
      <c r="E337" s="6"/>
      <c r="F337" s="6"/>
      <c r="G337" s="6"/>
    </row>
    <row r="338" spans="1:7" ht="15.75" customHeight="1" x14ac:dyDescent="0.25">
      <c r="A338" s="50"/>
      <c r="B338" s="5"/>
      <c r="C338" s="5"/>
      <c r="D338" s="6"/>
      <c r="E338" s="6"/>
      <c r="F338" s="6"/>
      <c r="G338" s="6"/>
    </row>
    <row r="339" spans="1:7" ht="15.75" customHeight="1" x14ac:dyDescent="0.25">
      <c r="A339" s="50"/>
      <c r="B339" s="5"/>
      <c r="C339" s="5"/>
      <c r="D339" s="6"/>
      <c r="E339" s="6"/>
      <c r="F339" s="6"/>
      <c r="G339" s="6"/>
    </row>
    <row r="340" spans="1:7" ht="15.75" customHeight="1" x14ac:dyDescent="0.25">
      <c r="A340" s="50"/>
      <c r="B340" s="5"/>
      <c r="C340" s="5"/>
      <c r="D340" s="6"/>
      <c r="E340" s="6"/>
      <c r="F340" s="6"/>
      <c r="G340" s="6"/>
    </row>
    <row r="341" spans="1:7" ht="15.75" customHeight="1" x14ac:dyDescent="0.25">
      <c r="A341" s="50"/>
      <c r="B341" s="5"/>
      <c r="C341" s="5"/>
      <c r="D341" s="6"/>
      <c r="E341" s="6"/>
      <c r="F341" s="6"/>
      <c r="G341" s="6"/>
    </row>
    <row r="342" spans="1:7" ht="15.75" customHeight="1" x14ac:dyDescent="0.25">
      <c r="A342" s="50"/>
      <c r="B342" s="5"/>
      <c r="C342" s="5"/>
      <c r="D342" s="6"/>
      <c r="E342" s="6"/>
      <c r="F342" s="6"/>
      <c r="G342" s="6"/>
    </row>
    <row r="343" spans="1:7" ht="15.75" customHeight="1" x14ac:dyDescent="0.25">
      <c r="A343" s="50"/>
      <c r="B343" s="5"/>
      <c r="C343" s="5"/>
      <c r="D343" s="6"/>
      <c r="E343" s="6"/>
      <c r="F343" s="6"/>
      <c r="G343" s="6"/>
    </row>
    <row r="344" spans="1:7" ht="15.75" customHeight="1" x14ac:dyDescent="0.25">
      <c r="A344" s="50"/>
      <c r="B344" s="5"/>
      <c r="C344" s="5"/>
      <c r="D344" s="6"/>
      <c r="E344" s="6"/>
      <c r="F344" s="6"/>
      <c r="G344" s="6"/>
    </row>
    <row r="345" spans="1:7" ht="15.75" customHeight="1" x14ac:dyDescent="0.25">
      <c r="A345" s="50"/>
      <c r="B345" s="5"/>
      <c r="C345" s="5"/>
      <c r="D345" s="6"/>
      <c r="E345" s="6"/>
      <c r="F345" s="6"/>
      <c r="G345" s="6"/>
    </row>
    <row r="346" spans="1:7" ht="15.75" customHeight="1" x14ac:dyDescent="0.25">
      <c r="A346" s="50"/>
      <c r="B346" s="5"/>
      <c r="C346" s="5"/>
      <c r="D346" s="6"/>
      <c r="E346" s="6"/>
      <c r="F346" s="6"/>
      <c r="G346" s="6"/>
    </row>
    <row r="347" spans="1:7" ht="15.75" customHeight="1" x14ac:dyDescent="0.25">
      <c r="A347" s="50"/>
      <c r="B347" s="5"/>
      <c r="C347" s="5"/>
      <c r="D347" s="6"/>
      <c r="E347" s="6"/>
      <c r="F347" s="6"/>
      <c r="G347" s="6"/>
    </row>
    <row r="348" spans="1:7" ht="15.75" customHeight="1" x14ac:dyDescent="0.25">
      <c r="A348" s="50"/>
      <c r="B348" s="5"/>
      <c r="C348" s="5"/>
      <c r="D348" s="6"/>
      <c r="E348" s="6"/>
      <c r="F348" s="6"/>
      <c r="G348" s="6"/>
    </row>
    <row r="349" spans="1:7" ht="15.75" customHeight="1" x14ac:dyDescent="0.25">
      <c r="A349" s="50"/>
      <c r="B349" s="5"/>
      <c r="C349" s="5"/>
      <c r="D349" s="6"/>
      <c r="E349" s="6"/>
      <c r="F349" s="6"/>
      <c r="G349" s="6"/>
    </row>
    <row r="350" spans="1:7" ht="15.75" customHeight="1" x14ac:dyDescent="0.25">
      <c r="A350" s="50"/>
      <c r="B350" s="5"/>
      <c r="C350" s="5"/>
      <c r="D350" s="6"/>
      <c r="E350" s="6"/>
      <c r="F350" s="6"/>
      <c r="G350" s="6"/>
    </row>
    <row r="351" spans="1:7" ht="15.75" customHeight="1" x14ac:dyDescent="0.25">
      <c r="A351" s="50"/>
      <c r="B351" s="5"/>
      <c r="C351" s="5"/>
      <c r="D351" s="6"/>
      <c r="E351" s="6"/>
      <c r="F351" s="6"/>
      <c r="G351" s="6"/>
    </row>
    <row r="352" spans="1:7" ht="15.75" customHeight="1" x14ac:dyDescent="0.25">
      <c r="A352" s="50"/>
      <c r="B352" s="5"/>
      <c r="C352" s="5"/>
      <c r="D352" s="6"/>
      <c r="E352" s="6"/>
      <c r="F352" s="6"/>
      <c r="G352" s="6"/>
    </row>
    <row r="353" spans="1:7" ht="15.75" customHeight="1" x14ac:dyDescent="0.25">
      <c r="A353" s="50"/>
      <c r="B353" s="5"/>
      <c r="C353" s="5"/>
      <c r="D353" s="6"/>
      <c r="E353" s="6"/>
      <c r="F353" s="6"/>
      <c r="G353" s="6"/>
    </row>
    <row r="354" spans="1:7" ht="15.75" customHeight="1" x14ac:dyDescent="0.25">
      <c r="A354" s="50"/>
      <c r="B354" s="5"/>
      <c r="C354" s="5"/>
      <c r="D354" s="6"/>
      <c r="E354" s="6"/>
      <c r="F354" s="6"/>
      <c r="G354" s="6"/>
    </row>
    <row r="355" spans="1:7" ht="15.75" customHeight="1" x14ac:dyDescent="0.25">
      <c r="A355" s="50"/>
      <c r="B355" s="5"/>
      <c r="C355" s="5"/>
      <c r="D355" s="6"/>
      <c r="E355" s="6"/>
      <c r="F355" s="6"/>
      <c r="G355" s="6"/>
    </row>
    <row r="356" spans="1:7" ht="15.75" customHeight="1" x14ac:dyDescent="0.25">
      <c r="A356" s="50"/>
      <c r="B356" s="5"/>
      <c r="C356" s="5"/>
      <c r="D356" s="6"/>
      <c r="E356" s="6"/>
      <c r="F356" s="6"/>
      <c r="G356" s="6"/>
    </row>
    <row r="357" spans="1:7" ht="15.75" customHeight="1" x14ac:dyDescent="0.25">
      <c r="A357" s="50"/>
      <c r="B357" s="5"/>
      <c r="C357" s="5"/>
      <c r="D357" s="6"/>
      <c r="E357" s="6"/>
      <c r="F357" s="6"/>
      <c r="G357" s="6"/>
    </row>
    <row r="358" spans="1:7" ht="15.75" customHeight="1" x14ac:dyDescent="0.25">
      <c r="A358" s="50"/>
      <c r="B358" s="5"/>
      <c r="C358" s="5"/>
      <c r="D358" s="6"/>
      <c r="E358" s="6"/>
      <c r="F358" s="6"/>
      <c r="G358" s="6"/>
    </row>
    <row r="359" spans="1:7" ht="15.75" customHeight="1" x14ac:dyDescent="0.25">
      <c r="A359" s="50"/>
      <c r="B359" s="5"/>
      <c r="C359" s="5"/>
      <c r="D359" s="6"/>
      <c r="E359" s="6"/>
      <c r="F359" s="6"/>
      <c r="G359" s="6"/>
    </row>
    <row r="360" spans="1:7" ht="15.75" customHeight="1" x14ac:dyDescent="0.25">
      <c r="A360" s="50"/>
      <c r="B360" s="5"/>
      <c r="C360" s="5"/>
      <c r="D360" s="6"/>
      <c r="E360" s="6"/>
      <c r="F360" s="6"/>
      <c r="G360" s="6"/>
    </row>
    <row r="361" spans="1:7" ht="15.75" customHeight="1" x14ac:dyDescent="0.25">
      <c r="A361" s="50"/>
      <c r="B361" s="5"/>
      <c r="C361" s="5"/>
      <c r="D361" s="6"/>
      <c r="E361" s="6"/>
      <c r="F361" s="6"/>
      <c r="G361" s="6"/>
    </row>
    <row r="362" spans="1:7" ht="15.75" customHeight="1" x14ac:dyDescent="0.25">
      <c r="A362" s="50"/>
      <c r="B362" s="5"/>
      <c r="C362" s="5"/>
      <c r="D362" s="6"/>
      <c r="E362" s="6"/>
      <c r="F362" s="6"/>
      <c r="G362" s="6"/>
    </row>
    <row r="363" spans="1:7" ht="15.75" customHeight="1" x14ac:dyDescent="0.25">
      <c r="A363" s="50"/>
      <c r="B363" s="5"/>
      <c r="C363" s="5"/>
      <c r="D363" s="6"/>
      <c r="E363" s="6"/>
      <c r="F363" s="6"/>
      <c r="G363" s="6"/>
    </row>
    <row r="364" spans="1:7" ht="15.75" customHeight="1" x14ac:dyDescent="0.25">
      <c r="A364" s="50"/>
      <c r="B364" s="5"/>
      <c r="C364" s="5"/>
      <c r="D364" s="6"/>
      <c r="E364" s="6"/>
      <c r="F364" s="6"/>
      <c r="G364" s="6"/>
    </row>
    <row r="365" spans="1:7" ht="15.75" customHeight="1" x14ac:dyDescent="0.25">
      <c r="A365" s="50"/>
      <c r="B365" s="5"/>
      <c r="C365" s="5"/>
      <c r="D365" s="6"/>
      <c r="E365" s="6"/>
      <c r="F365" s="6"/>
      <c r="G365" s="6"/>
    </row>
    <row r="366" spans="1:7" ht="15.75" customHeight="1" x14ac:dyDescent="0.25">
      <c r="A366" s="50"/>
      <c r="B366" s="5"/>
      <c r="C366" s="5"/>
      <c r="D366" s="6"/>
      <c r="E366" s="6"/>
      <c r="F366" s="6"/>
      <c r="G366" s="6"/>
    </row>
    <row r="367" spans="1:7" ht="15.75" customHeight="1" x14ac:dyDescent="0.25">
      <c r="A367" s="50"/>
      <c r="B367" s="5"/>
      <c r="C367" s="5"/>
      <c r="D367" s="6"/>
      <c r="E367" s="6"/>
      <c r="F367" s="6"/>
      <c r="G367" s="6"/>
    </row>
    <row r="368" spans="1:7" ht="15.75" customHeight="1" x14ac:dyDescent="0.25">
      <c r="A368" s="50"/>
      <c r="B368" s="5"/>
      <c r="C368" s="5"/>
      <c r="D368" s="6"/>
      <c r="E368" s="6"/>
      <c r="F368" s="6"/>
      <c r="G368" s="6"/>
    </row>
    <row r="369" spans="1:7" ht="15.75" customHeight="1" x14ac:dyDescent="0.25">
      <c r="A369" s="50"/>
      <c r="B369" s="5"/>
      <c r="C369" s="5"/>
      <c r="D369" s="6"/>
      <c r="E369" s="6"/>
      <c r="F369" s="6"/>
      <c r="G369" s="6"/>
    </row>
    <row r="370" spans="1:7" ht="15.75" customHeight="1" x14ac:dyDescent="0.25">
      <c r="A370" s="50"/>
      <c r="B370" s="5"/>
      <c r="C370" s="5"/>
      <c r="D370" s="6"/>
      <c r="E370" s="6"/>
      <c r="F370" s="6"/>
      <c r="G370" s="6"/>
    </row>
    <row r="371" spans="1:7" ht="15.75" customHeight="1" x14ac:dyDescent="0.25">
      <c r="A371" s="50"/>
      <c r="B371" s="5"/>
      <c r="C371" s="5"/>
      <c r="D371" s="6"/>
      <c r="E371" s="6"/>
      <c r="F371" s="6"/>
      <c r="G371" s="6"/>
    </row>
    <row r="372" spans="1:7" ht="15.75" customHeight="1" x14ac:dyDescent="0.25">
      <c r="A372" s="50"/>
      <c r="B372" s="5"/>
      <c r="C372" s="5"/>
      <c r="D372" s="6"/>
      <c r="E372" s="6"/>
      <c r="F372" s="6"/>
      <c r="G372" s="6"/>
    </row>
    <row r="373" spans="1:7" ht="15.75" customHeight="1" x14ac:dyDescent="0.25">
      <c r="A373" s="50"/>
      <c r="B373" s="5"/>
      <c r="C373" s="5"/>
      <c r="D373" s="6"/>
      <c r="E373" s="6"/>
      <c r="F373" s="6"/>
      <c r="G373" s="6"/>
    </row>
    <row r="374" spans="1:7" ht="15.75" customHeight="1" x14ac:dyDescent="0.25">
      <c r="A374" s="50"/>
      <c r="B374" s="5"/>
      <c r="C374" s="5"/>
      <c r="D374" s="6"/>
      <c r="E374" s="6"/>
      <c r="F374" s="6"/>
      <c r="G374" s="6"/>
    </row>
    <row r="375" spans="1:7" ht="15.75" customHeight="1" x14ac:dyDescent="0.25">
      <c r="A375" s="50"/>
      <c r="B375" s="5"/>
      <c r="C375" s="5"/>
      <c r="D375" s="6"/>
      <c r="E375" s="6"/>
      <c r="F375" s="6"/>
      <c r="G375" s="6"/>
    </row>
    <row r="376" spans="1:7" ht="15.75" customHeight="1" x14ac:dyDescent="0.25">
      <c r="A376" s="50"/>
      <c r="B376" s="5"/>
      <c r="C376" s="5"/>
      <c r="D376" s="6"/>
      <c r="E376" s="6"/>
      <c r="F376" s="6"/>
      <c r="G376" s="6"/>
    </row>
    <row r="377" spans="1:7" ht="15.75" customHeight="1" x14ac:dyDescent="0.25">
      <c r="A377" s="50"/>
      <c r="B377" s="5"/>
      <c r="C377" s="5"/>
      <c r="D377" s="6"/>
      <c r="E377" s="6"/>
      <c r="F377" s="6"/>
      <c r="G377" s="6"/>
    </row>
    <row r="378" spans="1:7" ht="15.75" customHeight="1" x14ac:dyDescent="0.25">
      <c r="A378" s="50"/>
      <c r="B378" s="5"/>
      <c r="C378" s="5"/>
      <c r="D378" s="6"/>
      <c r="E378" s="6"/>
      <c r="F378" s="6"/>
      <c r="G378" s="6"/>
    </row>
    <row r="379" spans="1:7" ht="15.75" customHeight="1" x14ac:dyDescent="0.25">
      <c r="A379" s="50"/>
      <c r="B379" s="5"/>
      <c r="C379" s="5"/>
      <c r="D379" s="6"/>
      <c r="E379" s="6"/>
      <c r="F379" s="6"/>
      <c r="G379" s="6"/>
    </row>
    <row r="380" spans="1:7" ht="15.75" customHeight="1" x14ac:dyDescent="0.25">
      <c r="A380" s="50"/>
      <c r="B380" s="5"/>
      <c r="C380" s="5"/>
      <c r="D380" s="6"/>
      <c r="E380" s="6"/>
      <c r="F380" s="6"/>
      <c r="G380" s="6"/>
    </row>
    <row r="381" spans="1:7" ht="15.75" customHeight="1" x14ac:dyDescent="0.25">
      <c r="A381" s="50"/>
      <c r="B381" s="5"/>
      <c r="C381" s="5"/>
      <c r="D381" s="6"/>
      <c r="E381" s="6"/>
      <c r="F381" s="6"/>
      <c r="G381" s="6"/>
    </row>
    <row r="382" spans="1:7" ht="15.75" customHeight="1" x14ac:dyDescent="0.25">
      <c r="A382" s="50"/>
      <c r="B382" s="5"/>
      <c r="C382" s="5"/>
      <c r="D382" s="6"/>
      <c r="E382" s="6"/>
      <c r="F382" s="6"/>
      <c r="G382" s="6"/>
    </row>
    <row r="383" spans="1:7" ht="15.75" customHeight="1" x14ac:dyDescent="0.25">
      <c r="A383" s="50"/>
      <c r="B383" s="5"/>
      <c r="C383" s="5"/>
      <c r="D383" s="6"/>
      <c r="E383" s="6"/>
      <c r="F383" s="6"/>
      <c r="G383" s="6"/>
    </row>
    <row r="384" spans="1:7" ht="15.75" customHeight="1" x14ac:dyDescent="0.25">
      <c r="A384" s="50"/>
      <c r="B384" s="5"/>
      <c r="C384" s="5"/>
      <c r="D384" s="6"/>
      <c r="E384" s="6"/>
      <c r="F384" s="6"/>
      <c r="G384" s="6"/>
    </row>
    <row r="385" spans="1:7" ht="15.75" customHeight="1" x14ac:dyDescent="0.25">
      <c r="A385" s="50"/>
      <c r="B385" s="5"/>
      <c r="C385" s="5"/>
      <c r="D385" s="6"/>
      <c r="E385" s="6"/>
      <c r="F385" s="6"/>
      <c r="G385" s="6"/>
    </row>
    <row r="386" spans="1:7" ht="15.75" customHeight="1" x14ac:dyDescent="0.25">
      <c r="A386" s="50"/>
      <c r="B386" s="5"/>
      <c r="C386" s="5"/>
      <c r="D386" s="6"/>
      <c r="E386" s="6"/>
      <c r="F386" s="6"/>
      <c r="G386" s="6"/>
    </row>
    <row r="387" spans="1:7" ht="15.75" customHeight="1" x14ac:dyDescent="0.25">
      <c r="A387" s="50"/>
      <c r="B387" s="5"/>
      <c r="C387" s="5"/>
      <c r="D387" s="6"/>
      <c r="E387" s="6"/>
      <c r="F387" s="6"/>
      <c r="G387" s="6"/>
    </row>
    <row r="388" spans="1:7" ht="15.75" customHeight="1" x14ac:dyDescent="0.25">
      <c r="A388" s="50"/>
      <c r="B388" s="5"/>
      <c r="C388" s="5"/>
      <c r="D388" s="6"/>
      <c r="E388" s="6"/>
      <c r="F388" s="6"/>
      <c r="G388" s="6"/>
    </row>
    <row r="389" spans="1:7" ht="15.75" customHeight="1" x14ac:dyDescent="0.25">
      <c r="A389" s="50"/>
      <c r="B389" s="5"/>
      <c r="C389" s="5"/>
      <c r="D389" s="6"/>
      <c r="E389" s="6"/>
      <c r="F389" s="6"/>
      <c r="G389" s="6"/>
    </row>
    <row r="390" spans="1:7" ht="15.75" customHeight="1" x14ac:dyDescent="0.25">
      <c r="A390" s="50"/>
      <c r="B390" s="5"/>
      <c r="C390" s="5"/>
      <c r="D390" s="6"/>
      <c r="E390" s="6"/>
      <c r="F390" s="6"/>
      <c r="G390" s="6"/>
    </row>
    <row r="391" spans="1:7" ht="15.75" customHeight="1" x14ac:dyDescent="0.25">
      <c r="A391" s="50"/>
      <c r="B391" s="5"/>
      <c r="C391" s="5"/>
      <c r="D391" s="6"/>
      <c r="E391" s="6"/>
      <c r="F391" s="6"/>
      <c r="G391" s="6"/>
    </row>
    <row r="392" spans="1:7" ht="15.75" customHeight="1" x14ac:dyDescent="0.25">
      <c r="A392" s="50"/>
      <c r="B392" s="5"/>
      <c r="C392" s="5"/>
      <c r="D392" s="6"/>
      <c r="E392" s="6"/>
      <c r="F392" s="6"/>
      <c r="G392" s="6"/>
    </row>
    <row r="393" spans="1:7" ht="15.75" customHeight="1" x14ac:dyDescent="0.25">
      <c r="A393" s="50"/>
      <c r="B393" s="5"/>
      <c r="C393" s="5"/>
      <c r="D393" s="6"/>
      <c r="E393" s="6"/>
      <c r="F393" s="6"/>
      <c r="G393" s="6"/>
    </row>
    <row r="394" spans="1:7" ht="15.75" customHeight="1" x14ac:dyDescent="0.25">
      <c r="A394" s="50"/>
      <c r="B394" s="5"/>
      <c r="C394" s="5"/>
      <c r="D394" s="6"/>
      <c r="E394" s="6"/>
      <c r="F394" s="6"/>
      <c r="G394" s="6"/>
    </row>
    <row r="395" spans="1:7" ht="15.75" customHeight="1" x14ac:dyDescent="0.25">
      <c r="A395" s="50"/>
      <c r="B395" s="5"/>
      <c r="C395" s="5"/>
      <c r="D395" s="6"/>
      <c r="E395" s="6"/>
      <c r="F395" s="6"/>
      <c r="G395" s="6"/>
    </row>
    <row r="396" spans="1:7" ht="15.75" customHeight="1" x14ac:dyDescent="0.25">
      <c r="A396" s="50"/>
      <c r="B396" s="5"/>
      <c r="C396" s="5"/>
      <c r="D396" s="6"/>
      <c r="E396" s="6"/>
      <c r="F396" s="6"/>
      <c r="G396" s="6"/>
    </row>
    <row r="397" spans="1:7" ht="15.75" customHeight="1" x14ac:dyDescent="0.25">
      <c r="A397" s="50"/>
      <c r="B397" s="5"/>
      <c r="C397" s="5"/>
      <c r="D397" s="6"/>
      <c r="E397" s="6"/>
      <c r="F397" s="6"/>
      <c r="G397" s="6"/>
    </row>
    <row r="398" spans="1:7" ht="15.75" customHeight="1" x14ac:dyDescent="0.25">
      <c r="A398" s="50"/>
      <c r="B398" s="5"/>
      <c r="C398" s="5"/>
      <c r="D398" s="6"/>
      <c r="E398" s="6"/>
      <c r="F398" s="6"/>
      <c r="G398" s="6"/>
    </row>
    <row r="399" spans="1:7" ht="15.75" customHeight="1" x14ac:dyDescent="0.25">
      <c r="A399" s="50"/>
      <c r="B399" s="5"/>
      <c r="C399" s="5"/>
      <c r="D399" s="6"/>
      <c r="E399" s="6"/>
      <c r="F399" s="6"/>
      <c r="G399" s="6"/>
    </row>
    <row r="400" spans="1:7" ht="15.75" customHeight="1" x14ac:dyDescent="0.25">
      <c r="A400" s="50"/>
      <c r="B400" s="5"/>
      <c r="C400" s="5"/>
      <c r="D400" s="6"/>
      <c r="E400" s="6"/>
      <c r="F400" s="6"/>
      <c r="G400" s="6"/>
    </row>
    <row r="401" spans="1:7" ht="15.75" customHeight="1" x14ac:dyDescent="0.25">
      <c r="A401" s="50"/>
      <c r="B401" s="5"/>
      <c r="C401" s="5"/>
      <c r="D401" s="6"/>
      <c r="E401" s="6"/>
      <c r="F401" s="6"/>
      <c r="G401" s="6"/>
    </row>
    <row r="402" spans="1:7" ht="15.75" customHeight="1" x14ac:dyDescent="0.25">
      <c r="A402" s="50"/>
      <c r="B402" s="5"/>
      <c r="C402" s="5"/>
      <c r="D402" s="6"/>
      <c r="E402" s="6"/>
      <c r="F402" s="6"/>
      <c r="G402" s="6"/>
    </row>
    <row r="403" spans="1:7" ht="15.75" customHeight="1" x14ac:dyDescent="0.25">
      <c r="A403" s="50"/>
      <c r="B403" s="5"/>
      <c r="C403" s="5"/>
      <c r="D403" s="6"/>
      <c r="E403" s="6"/>
      <c r="F403" s="6"/>
      <c r="G403" s="6"/>
    </row>
    <row r="404" spans="1:7" ht="15.75" customHeight="1" x14ac:dyDescent="0.25">
      <c r="A404" s="50"/>
      <c r="B404" s="5"/>
      <c r="C404" s="5"/>
      <c r="D404" s="6"/>
      <c r="E404" s="6"/>
      <c r="F404" s="6"/>
      <c r="G404" s="6"/>
    </row>
    <row r="405" spans="1:7" ht="15.75" customHeight="1" x14ac:dyDescent="0.25">
      <c r="A405" s="50"/>
      <c r="B405" s="5"/>
      <c r="C405" s="5"/>
      <c r="D405" s="6"/>
      <c r="E405" s="6"/>
      <c r="F405" s="6"/>
      <c r="G405" s="6"/>
    </row>
    <row r="406" spans="1:7" ht="15.75" customHeight="1" x14ac:dyDescent="0.25">
      <c r="A406" s="50"/>
      <c r="B406" s="5"/>
      <c r="C406" s="5"/>
      <c r="D406" s="6"/>
      <c r="E406" s="6"/>
      <c r="F406" s="6"/>
      <c r="G406" s="6"/>
    </row>
    <row r="407" spans="1:7" ht="15.75" customHeight="1" x14ac:dyDescent="0.25">
      <c r="A407" s="50"/>
      <c r="B407" s="5"/>
      <c r="C407" s="5"/>
      <c r="D407" s="6"/>
      <c r="E407" s="6"/>
      <c r="F407" s="6"/>
      <c r="G407" s="6"/>
    </row>
    <row r="408" spans="1:7" ht="15.75" customHeight="1" x14ac:dyDescent="0.25">
      <c r="A408" s="50"/>
      <c r="B408" s="5"/>
      <c r="C408" s="5"/>
      <c r="D408" s="6"/>
      <c r="E408" s="6"/>
      <c r="F408" s="6"/>
      <c r="G408" s="6"/>
    </row>
    <row r="409" spans="1:7" ht="15.75" customHeight="1" x14ac:dyDescent="0.25">
      <c r="A409" s="50"/>
      <c r="B409" s="5"/>
      <c r="C409" s="5"/>
      <c r="D409" s="6"/>
      <c r="E409" s="6"/>
      <c r="F409" s="6"/>
      <c r="G409" s="6"/>
    </row>
    <row r="410" spans="1:7" ht="15.75" customHeight="1" x14ac:dyDescent="0.25">
      <c r="A410" s="50"/>
      <c r="B410" s="5"/>
      <c r="C410" s="5"/>
      <c r="D410" s="6"/>
      <c r="E410" s="6"/>
      <c r="F410" s="6"/>
      <c r="G410" s="6"/>
    </row>
    <row r="411" spans="1:7" ht="15.75" customHeight="1" x14ac:dyDescent="0.25">
      <c r="A411" s="50"/>
      <c r="B411" s="5"/>
      <c r="C411" s="5"/>
      <c r="D411" s="6"/>
      <c r="E411" s="6"/>
      <c r="F411" s="6"/>
      <c r="G411" s="6"/>
    </row>
    <row r="412" spans="1:7" ht="15.75" customHeight="1" x14ac:dyDescent="0.25">
      <c r="A412" s="50"/>
      <c r="B412" s="5"/>
      <c r="C412" s="5"/>
      <c r="D412" s="6"/>
      <c r="E412" s="6"/>
      <c r="F412" s="6"/>
      <c r="G412" s="6"/>
    </row>
    <row r="413" spans="1:7" ht="15.75" customHeight="1" x14ac:dyDescent="0.25">
      <c r="A413" s="50"/>
      <c r="B413" s="5"/>
      <c r="C413" s="5"/>
      <c r="D413" s="6"/>
      <c r="E413" s="6"/>
      <c r="F413" s="6"/>
      <c r="G413" s="6"/>
    </row>
    <row r="414" spans="1:7" ht="15.75" customHeight="1" x14ac:dyDescent="0.25">
      <c r="A414" s="50"/>
      <c r="B414" s="5"/>
      <c r="C414" s="5"/>
      <c r="D414" s="6"/>
      <c r="E414" s="6"/>
      <c r="F414" s="6"/>
      <c r="G414" s="6"/>
    </row>
    <row r="415" spans="1:7" ht="15.75" customHeight="1" x14ac:dyDescent="0.25">
      <c r="A415" s="50"/>
      <c r="B415" s="5"/>
      <c r="C415" s="5"/>
      <c r="D415" s="6"/>
      <c r="E415" s="6"/>
      <c r="F415" s="6"/>
      <c r="G415" s="6"/>
    </row>
    <row r="416" spans="1:7" ht="15.75" customHeight="1" x14ac:dyDescent="0.25">
      <c r="A416" s="50"/>
      <c r="B416" s="5"/>
      <c r="C416" s="5"/>
      <c r="D416" s="6"/>
      <c r="E416" s="6"/>
      <c r="F416" s="6"/>
      <c r="G416" s="6"/>
    </row>
    <row r="417" spans="1:7" ht="15.75" customHeight="1" x14ac:dyDescent="0.25">
      <c r="A417" s="50"/>
      <c r="B417" s="5"/>
      <c r="C417" s="5"/>
      <c r="D417" s="6"/>
      <c r="E417" s="6"/>
      <c r="F417" s="6"/>
      <c r="G417" s="6"/>
    </row>
    <row r="418" spans="1:7" ht="15.75" customHeight="1" x14ac:dyDescent="0.25">
      <c r="A418" s="50"/>
      <c r="B418" s="5"/>
      <c r="C418" s="5"/>
      <c r="D418" s="6"/>
      <c r="E418" s="6"/>
      <c r="F418" s="6"/>
      <c r="G418" s="6"/>
    </row>
    <row r="419" spans="1:7" ht="15.75" customHeight="1" x14ac:dyDescent="0.25">
      <c r="A419" s="50"/>
      <c r="B419" s="5"/>
      <c r="C419" s="5"/>
      <c r="D419" s="6"/>
      <c r="E419" s="6"/>
      <c r="F419" s="6"/>
      <c r="G419" s="6"/>
    </row>
    <row r="420" spans="1:7" ht="15.75" customHeight="1" x14ac:dyDescent="0.25">
      <c r="A420" s="50"/>
      <c r="B420" s="5"/>
      <c r="C420" s="5"/>
      <c r="D420" s="6"/>
      <c r="E420" s="6"/>
      <c r="F420" s="6"/>
      <c r="G420" s="6"/>
    </row>
    <row r="421" spans="1:7" ht="15.75" customHeight="1" x14ac:dyDescent="0.25">
      <c r="A421" s="50"/>
      <c r="B421" s="5"/>
      <c r="C421" s="5"/>
      <c r="D421" s="6"/>
      <c r="E421" s="6"/>
      <c r="F421" s="6"/>
      <c r="G421" s="6"/>
    </row>
    <row r="422" spans="1:7" ht="15.75" customHeight="1" x14ac:dyDescent="0.25">
      <c r="A422" s="50"/>
      <c r="B422" s="5"/>
      <c r="C422" s="5"/>
      <c r="D422" s="6"/>
      <c r="E422" s="6"/>
      <c r="F422" s="6"/>
      <c r="G422" s="6"/>
    </row>
    <row r="423" spans="1:7" ht="15.75" customHeight="1" x14ac:dyDescent="0.25">
      <c r="A423" s="50"/>
      <c r="B423" s="5"/>
      <c r="C423" s="5"/>
      <c r="D423" s="6"/>
      <c r="E423" s="6"/>
      <c r="F423" s="6"/>
      <c r="G423" s="6"/>
    </row>
    <row r="424" spans="1:7" ht="15.75" customHeight="1" x14ac:dyDescent="0.25">
      <c r="A424" s="50"/>
      <c r="B424" s="5"/>
      <c r="C424" s="5"/>
      <c r="D424" s="6"/>
      <c r="E424" s="6"/>
      <c r="F424" s="6"/>
      <c r="G424" s="6"/>
    </row>
    <row r="425" spans="1:7" ht="15.75" customHeight="1" x14ac:dyDescent="0.25">
      <c r="A425" s="50"/>
      <c r="B425" s="5"/>
      <c r="C425" s="5"/>
      <c r="D425" s="6"/>
      <c r="E425" s="6"/>
      <c r="F425" s="6"/>
      <c r="G425" s="6"/>
    </row>
    <row r="426" spans="1:7" ht="15.75" customHeight="1" x14ac:dyDescent="0.25">
      <c r="A426" s="50"/>
      <c r="B426" s="5"/>
      <c r="C426" s="5"/>
      <c r="D426" s="6"/>
      <c r="E426" s="6"/>
      <c r="F426" s="6"/>
      <c r="G426" s="6"/>
    </row>
    <row r="427" spans="1:7" ht="15.75" customHeight="1" x14ac:dyDescent="0.25">
      <c r="A427" s="50"/>
      <c r="B427" s="5"/>
      <c r="C427" s="5"/>
      <c r="D427" s="6"/>
      <c r="E427" s="6"/>
      <c r="F427" s="6"/>
      <c r="G427" s="6"/>
    </row>
    <row r="428" spans="1:7" ht="15.75" customHeight="1" x14ac:dyDescent="0.25">
      <c r="A428" s="50"/>
      <c r="B428" s="5"/>
      <c r="C428" s="5"/>
      <c r="D428" s="6"/>
      <c r="E428" s="6"/>
      <c r="F428" s="6"/>
      <c r="G428" s="6"/>
    </row>
    <row r="429" spans="1:7" ht="15.75" customHeight="1" x14ac:dyDescent="0.25">
      <c r="A429" s="50"/>
      <c r="B429" s="5"/>
      <c r="C429" s="5"/>
      <c r="D429" s="6"/>
      <c r="E429" s="6"/>
      <c r="F429" s="6"/>
      <c r="G429" s="6"/>
    </row>
    <row r="430" spans="1:7" ht="15.75" customHeight="1" x14ac:dyDescent="0.25">
      <c r="A430" s="50"/>
      <c r="B430" s="5"/>
      <c r="C430" s="5"/>
      <c r="D430" s="6"/>
      <c r="E430" s="6"/>
      <c r="F430" s="6"/>
      <c r="G430" s="6"/>
    </row>
    <row r="431" spans="1:7" ht="15.75" customHeight="1" x14ac:dyDescent="0.25">
      <c r="A431" s="50"/>
      <c r="B431" s="5"/>
      <c r="C431" s="5"/>
      <c r="D431" s="6"/>
      <c r="E431" s="6"/>
      <c r="F431" s="6"/>
      <c r="G431" s="6"/>
    </row>
    <row r="432" spans="1:7" ht="15.75" customHeight="1" x14ac:dyDescent="0.25">
      <c r="A432" s="50"/>
      <c r="B432" s="5"/>
      <c r="C432" s="5"/>
      <c r="D432" s="6"/>
      <c r="E432" s="6"/>
      <c r="F432" s="6"/>
      <c r="G432" s="6"/>
    </row>
    <row r="433" spans="1:7" ht="15.75" customHeight="1" x14ac:dyDescent="0.25">
      <c r="A433" s="50"/>
      <c r="B433" s="5"/>
      <c r="C433" s="5"/>
      <c r="D433" s="6"/>
      <c r="E433" s="6"/>
      <c r="F433" s="6"/>
      <c r="G433" s="6"/>
    </row>
    <row r="434" spans="1:7" ht="15.75" customHeight="1" x14ac:dyDescent="0.25">
      <c r="A434" s="50"/>
      <c r="B434" s="5"/>
      <c r="C434" s="5"/>
      <c r="D434" s="6"/>
      <c r="E434" s="6"/>
      <c r="F434" s="6"/>
      <c r="G434" s="6"/>
    </row>
    <row r="435" spans="1:7" ht="15.75" customHeight="1" x14ac:dyDescent="0.25">
      <c r="A435" s="50"/>
      <c r="B435" s="5"/>
      <c r="C435" s="5"/>
      <c r="D435" s="6"/>
      <c r="E435" s="6"/>
      <c r="F435" s="6"/>
      <c r="G435" s="6"/>
    </row>
    <row r="436" spans="1:7" ht="15.75" customHeight="1" x14ac:dyDescent="0.25">
      <c r="A436" s="50"/>
      <c r="B436" s="5"/>
      <c r="C436" s="5"/>
      <c r="D436" s="6"/>
      <c r="E436" s="6"/>
      <c r="F436" s="6"/>
      <c r="G436" s="6"/>
    </row>
    <row r="437" spans="1:7" ht="15.75" customHeight="1" x14ac:dyDescent="0.25">
      <c r="A437" s="50"/>
      <c r="B437" s="5"/>
      <c r="C437" s="5"/>
      <c r="D437" s="6"/>
      <c r="E437" s="6"/>
      <c r="F437" s="6"/>
      <c r="G437" s="6"/>
    </row>
    <row r="438" spans="1:7" ht="15.75" customHeight="1" x14ac:dyDescent="0.25">
      <c r="A438" s="50"/>
      <c r="B438" s="5"/>
      <c r="C438" s="5"/>
      <c r="D438" s="6"/>
      <c r="E438" s="6"/>
      <c r="F438" s="6"/>
      <c r="G438" s="6"/>
    </row>
    <row r="439" spans="1:7" ht="15.75" customHeight="1" x14ac:dyDescent="0.25">
      <c r="A439" s="50"/>
      <c r="B439" s="5"/>
      <c r="C439" s="5"/>
      <c r="D439" s="6"/>
      <c r="E439" s="6"/>
      <c r="F439" s="6"/>
      <c r="G439" s="6"/>
    </row>
    <row r="440" spans="1:7" ht="15.75" customHeight="1" x14ac:dyDescent="0.25">
      <c r="A440" s="50"/>
      <c r="B440" s="5"/>
      <c r="C440" s="5"/>
      <c r="D440" s="6"/>
      <c r="E440" s="6"/>
      <c r="F440" s="6"/>
      <c r="G440" s="6"/>
    </row>
    <row r="441" spans="1:7" ht="15.75" customHeight="1" x14ac:dyDescent="0.25">
      <c r="A441" s="50"/>
      <c r="B441" s="5"/>
      <c r="C441" s="5"/>
      <c r="D441" s="6"/>
      <c r="E441" s="6"/>
      <c r="F441" s="6"/>
      <c r="G441" s="6"/>
    </row>
    <row r="442" spans="1:7" ht="15.75" customHeight="1" x14ac:dyDescent="0.25">
      <c r="A442" s="50"/>
      <c r="B442" s="5"/>
      <c r="C442" s="5"/>
      <c r="D442" s="6"/>
      <c r="E442" s="6"/>
      <c r="F442" s="6"/>
      <c r="G442" s="6"/>
    </row>
    <row r="443" spans="1:7" ht="15.75" customHeight="1" x14ac:dyDescent="0.25">
      <c r="A443" s="50"/>
      <c r="B443" s="5"/>
      <c r="C443" s="5"/>
      <c r="D443" s="6"/>
      <c r="E443" s="6"/>
      <c r="F443" s="6"/>
      <c r="G443" s="6"/>
    </row>
    <row r="444" spans="1:7" ht="15.75" customHeight="1" x14ac:dyDescent="0.25">
      <c r="A444" s="50"/>
      <c r="B444" s="5"/>
      <c r="C444" s="5"/>
      <c r="D444" s="6"/>
      <c r="E444" s="6"/>
      <c r="F444" s="6"/>
      <c r="G444" s="6"/>
    </row>
    <row r="445" spans="1:7" ht="15.75" customHeight="1" x14ac:dyDescent="0.25">
      <c r="A445" s="50"/>
      <c r="B445" s="5"/>
      <c r="C445" s="5"/>
      <c r="D445" s="6"/>
      <c r="E445" s="6"/>
      <c r="F445" s="6"/>
      <c r="G445" s="6"/>
    </row>
    <row r="446" spans="1:7" ht="15.75" customHeight="1" x14ac:dyDescent="0.25">
      <c r="A446" s="50"/>
      <c r="B446" s="5"/>
      <c r="C446" s="5"/>
      <c r="D446" s="6"/>
      <c r="E446" s="6"/>
      <c r="F446" s="6"/>
      <c r="G446" s="6"/>
    </row>
    <row r="447" spans="1:7" ht="15.75" customHeight="1" x14ac:dyDescent="0.25">
      <c r="A447" s="50"/>
      <c r="B447" s="5"/>
      <c r="C447" s="5"/>
      <c r="D447" s="6"/>
      <c r="E447" s="6"/>
      <c r="F447" s="6"/>
      <c r="G447" s="6"/>
    </row>
    <row r="448" spans="1:7" ht="15.75" customHeight="1" x14ac:dyDescent="0.25">
      <c r="A448" s="50"/>
      <c r="B448" s="5"/>
      <c r="C448" s="5"/>
      <c r="D448" s="6"/>
      <c r="E448" s="6"/>
      <c r="F448" s="6"/>
      <c r="G448" s="6"/>
    </row>
    <row r="449" spans="1:7" ht="15.75" customHeight="1" x14ac:dyDescent="0.25">
      <c r="A449" s="50"/>
      <c r="B449" s="5"/>
      <c r="C449" s="5"/>
      <c r="D449" s="6"/>
      <c r="E449" s="6"/>
      <c r="F449" s="6"/>
      <c r="G449" s="6"/>
    </row>
    <row r="450" spans="1:7" ht="15.75" customHeight="1" x14ac:dyDescent="0.25">
      <c r="A450" s="50"/>
      <c r="B450" s="5"/>
      <c r="C450" s="5"/>
      <c r="D450" s="6"/>
      <c r="E450" s="6"/>
      <c r="F450" s="6"/>
      <c r="G450" s="6"/>
    </row>
    <row r="451" spans="1:7" ht="15.75" customHeight="1" x14ac:dyDescent="0.25">
      <c r="A451" s="50"/>
      <c r="B451" s="5"/>
      <c r="C451" s="5"/>
      <c r="D451" s="6"/>
      <c r="E451" s="6"/>
      <c r="F451" s="6"/>
      <c r="G451" s="6"/>
    </row>
    <row r="452" spans="1:7" ht="15.75" customHeight="1" x14ac:dyDescent="0.25">
      <c r="A452" s="50"/>
      <c r="B452" s="5"/>
      <c r="C452" s="5"/>
      <c r="D452" s="6"/>
      <c r="E452" s="6"/>
      <c r="F452" s="6"/>
      <c r="G452" s="6"/>
    </row>
    <row r="453" spans="1:7" ht="15.75" customHeight="1" x14ac:dyDescent="0.25">
      <c r="A453" s="50"/>
      <c r="B453" s="5"/>
      <c r="C453" s="5"/>
      <c r="D453" s="6"/>
      <c r="E453" s="6"/>
      <c r="F453" s="6"/>
      <c r="G453" s="6"/>
    </row>
    <row r="454" spans="1:7" ht="15.75" customHeight="1" x14ac:dyDescent="0.25">
      <c r="A454" s="50"/>
      <c r="B454" s="5"/>
      <c r="C454" s="5"/>
      <c r="D454" s="6"/>
      <c r="E454" s="6"/>
      <c r="F454" s="6"/>
      <c r="G454" s="6"/>
    </row>
    <row r="455" spans="1:7" ht="15.75" customHeight="1" x14ac:dyDescent="0.25">
      <c r="A455" s="50"/>
      <c r="B455" s="5"/>
      <c r="C455" s="5"/>
      <c r="D455" s="6"/>
      <c r="E455" s="6"/>
      <c r="F455" s="6"/>
      <c r="G455" s="6"/>
    </row>
    <row r="456" spans="1:7" ht="15.75" customHeight="1" x14ac:dyDescent="0.25">
      <c r="A456" s="50"/>
      <c r="B456" s="5"/>
      <c r="C456" s="5"/>
      <c r="D456" s="6"/>
      <c r="E456" s="6"/>
      <c r="F456" s="6"/>
      <c r="G456" s="6"/>
    </row>
    <row r="457" spans="1:7" ht="15.75" customHeight="1" x14ac:dyDescent="0.25">
      <c r="A457" s="50"/>
      <c r="B457" s="5"/>
      <c r="C457" s="5"/>
      <c r="D457" s="6"/>
      <c r="E457" s="6"/>
      <c r="F457" s="6"/>
      <c r="G457" s="6"/>
    </row>
    <row r="458" spans="1:7" ht="15.75" customHeight="1" x14ac:dyDescent="0.25">
      <c r="A458" s="50"/>
      <c r="B458" s="5"/>
      <c r="C458" s="5"/>
      <c r="D458" s="6"/>
      <c r="E458" s="6"/>
      <c r="F458" s="6"/>
      <c r="G458" s="6"/>
    </row>
    <row r="459" spans="1:7" ht="15.75" customHeight="1" x14ac:dyDescent="0.25">
      <c r="A459" s="50"/>
      <c r="B459" s="5"/>
      <c r="C459" s="5"/>
      <c r="D459" s="6"/>
      <c r="E459" s="6"/>
      <c r="F459" s="6"/>
      <c r="G459" s="6"/>
    </row>
    <row r="460" spans="1:7" ht="15.75" customHeight="1" x14ac:dyDescent="0.25">
      <c r="A460" s="50"/>
      <c r="B460" s="5"/>
      <c r="C460" s="5"/>
      <c r="D460" s="6"/>
      <c r="E460" s="6"/>
      <c r="F460" s="6"/>
      <c r="G460" s="6"/>
    </row>
    <row r="461" spans="1:7" ht="15.75" customHeight="1" x14ac:dyDescent="0.25">
      <c r="A461" s="50"/>
      <c r="B461" s="5"/>
      <c r="C461" s="5"/>
      <c r="D461" s="6"/>
      <c r="E461" s="6"/>
      <c r="F461" s="6"/>
      <c r="G461" s="6"/>
    </row>
    <row r="462" spans="1:7" ht="15.75" customHeight="1" x14ac:dyDescent="0.25">
      <c r="A462" s="50"/>
      <c r="B462" s="5"/>
      <c r="C462" s="5"/>
      <c r="D462" s="6"/>
      <c r="E462" s="6"/>
      <c r="F462" s="6"/>
      <c r="G462" s="6"/>
    </row>
    <row r="463" spans="1:7" ht="15.75" customHeight="1" x14ac:dyDescent="0.25">
      <c r="A463" s="50"/>
      <c r="B463" s="5"/>
      <c r="C463" s="5"/>
      <c r="D463" s="6"/>
      <c r="E463" s="6"/>
      <c r="F463" s="6"/>
      <c r="G463" s="6"/>
    </row>
    <row r="464" spans="1:7" ht="15.75" customHeight="1" x14ac:dyDescent="0.25">
      <c r="A464" s="50"/>
      <c r="B464" s="5"/>
      <c r="C464" s="5"/>
      <c r="D464" s="6"/>
      <c r="E464" s="6"/>
      <c r="F464" s="6"/>
      <c r="G464" s="6"/>
    </row>
    <row r="465" spans="1:7" ht="15.75" customHeight="1" x14ac:dyDescent="0.25">
      <c r="A465" s="50"/>
      <c r="B465" s="5"/>
      <c r="C465" s="5"/>
      <c r="D465" s="6"/>
      <c r="E465" s="6"/>
      <c r="F465" s="6"/>
      <c r="G465" s="6"/>
    </row>
    <row r="466" spans="1:7" ht="15.75" customHeight="1" x14ac:dyDescent="0.25">
      <c r="A466" s="50"/>
      <c r="B466" s="5"/>
      <c r="C466" s="5"/>
      <c r="D466" s="6"/>
      <c r="E466" s="6"/>
      <c r="F466" s="6"/>
      <c r="G466" s="6"/>
    </row>
    <row r="467" spans="1:7" ht="15.75" customHeight="1" x14ac:dyDescent="0.25">
      <c r="A467" s="50"/>
      <c r="B467" s="5"/>
      <c r="C467" s="5"/>
      <c r="D467" s="6"/>
      <c r="E467" s="6"/>
      <c r="F467" s="6"/>
      <c r="G467" s="6"/>
    </row>
    <row r="468" spans="1:7" ht="15.75" customHeight="1" x14ac:dyDescent="0.25">
      <c r="A468" s="50"/>
      <c r="B468" s="5"/>
      <c r="C468" s="5"/>
      <c r="D468" s="6"/>
      <c r="E468" s="6"/>
      <c r="F468" s="6"/>
      <c r="G468" s="6"/>
    </row>
    <row r="469" spans="1:7" ht="15.75" customHeight="1" x14ac:dyDescent="0.25">
      <c r="A469" s="50"/>
      <c r="B469" s="5"/>
      <c r="C469" s="5"/>
      <c r="D469" s="6"/>
      <c r="E469" s="6"/>
      <c r="F469" s="6"/>
      <c r="G469" s="6"/>
    </row>
    <row r="470" spans="1:7" ht="15.75" customHeight="1" x14ac:dyDescent="0.25">
      <c r="A470" s="50"/>
      <c r="B470" s="5"/>
      <c r="C470" s="5"/>
      <c r="D470" s="6"/>
      <c r="E470" s="6"/>
      <c r="F470" s="6"/>
      <c r="G470" s="6"/>
    </row>
    <row r="471" spans="1:7" ht="15.75" customHeight="1" x14ac:dyDescent="0.25">
      <c r="A471" s="50"/>
      <c r="B471" s="5"/>
      <c r="C471" s="5"/>
      <c r="D471" s="6"/>
      <c r="E471" s="6"/>
      <c r="F471" s="6"/>
      <c r="G471" s="6"/>
    </row>
    <row r="472" spans="1:7" ht="15.75" customHeight="1" x14ac:dyDescent="0.25">
      <c r="A472" s="50"/>
      <c r="B472" s="5"/>
      <c r="C472" s="5"/>
      <c r="D472" s="6"/>
      <c r="E472" s="6"/>
      <c r="F472" s="6"/>
      <c r="G472" s="6"/>
    </row>
    <row r="473" spans="1:7" ht="15.75" customHeight="1" x14ac:dyDescent="0.25">
      <c r="A473" s="50"/>
      <c r="B473" s="5"/>
      <c r="C473" s="5"/>
      <c r="D473" s="6"/>
      <c r="E473" s="6"/>
      <c r="F473" s="6"/>
      <c r="G473" s="6"/>
    </row>
    <row r="474" spans="1:7" ht="15.75" customHeight="1" x14ac:dyDescent="0.25">
      <c r="A474" s="50"/>
      <c r="B474" s="5"/>
      <c r="C474" s="5"/>
      <c r="D474" s="6"/>
      <c r="E474" s="6"/>
      <c r="F474" s="6"/>
      <c r="G474" s="6"/>
    </row>
    <row r="475" spans="1:7" ht="15.75" customHeight="1" x14ac:dyDescent="0.25">
      <c r="A475" s="50"/>
      <c r="B475" s="5"/>
      <c r="C475" s="5"/>
      <c r="D475" s="6"/>
      <c r="E475" s="6"/>
      <c r="F475" s="6"/>
      <c r="G475" s="6"/>
    </row>
    <row r="476" spans="1:7" ht="15.75" customHeight="1" x14ac:dyDescent="0.25">
      <c r="A476" s="50"/>
      <c r="B476" s="5"/>
      <c r="C476" s="5"/>
      <c r="D476" s="6"/>
      <c r="E476" s="6"/>
      <c r="F476" s="6"/>
      <c r="G476" s="6"/>
    </row>
    <row r="477" spans="1:7" ht="15.75" customHeight="1" x14ac:dyDescent="0.25">
      <c r="A477" s="50"/>
      <c r="B477" s="5"/>
      <c r="C477" s="5"/>
      <c r="D477" s="6"/>
      <c r="E477" s="6"/>
      <c r="F477" s="6"/>
      <c r="G477" s="6"/>
    </row>
    <row r="478" spans="1:7" ht="15.75" customHeight="1" x14ac:dyDescent="0.25">
      <c r="A478" s="50"/>
      <c r="B478" s="5"/>
      <c r="C478" s="5"/>
      <c r="D478" s="6"/>
      <c r="E478" s="6"/>
      <c r="F478" s="6"/>
      <c r="G478" s="6"/>
    </row>
    <row r="479" spans="1:7" ht="15.75" customHeight="1" x14ac:dyDescent="0.25">
      <c r="A479" s="50"/>
      <c r="B479" s="5"/>
      <c r="C479" s="5"/>
      <c r="D479" s="6"/>
      <c r="E479" s="6"/>
      <c r="F479" s="6"/>
      <c r="G479" s="6"/>
    </row>
    <row r="480" spans="1:7" ht="15.75" customHeight="1" x14ac:dyDescent="0.25">
      <c r="A480" s="50"/>
      <c r="B480" s="5"/>
      <c r="C480" s="5"/>
      <c r="D480" s="6"/>
      <c r="E480" s="6"/>
      <c r="F480" s="6"/>
      <c r="G480" s="6"/>
    </row>
    <row r="481" spans="1:7" ht="15.75" customHeight="1" x14ac:dyDescent="0.25">
      <c r="A481" s="50"/>
      <c r="B481" s="5"/>
      <c r="C481" s="5"/>
      <c r="D481" s="6"/>
      <c r="E481" s="6"/>
      <c r="F481" s="6"/>
      <c r="G481" s="6"/>
    </row>
    <row r="482" spans="1:7" ht="15.75" customHeight="1" x14ac:dyDescent="0.25">
      <c r="A482" s="50"/>
      <c r="B482" s="5"/>
      <c r="C482" s="5"/>
      <c r="D482" s="6"/>
      <c r="E482" s="6"/>
      <c r="F482" s="6"/>
      <c r="G482" s="6"/>
    </row>
    <row r="483" spans="1:7" ht="15.75" customHeight="1" x14ac:dyDescent="0.25">
      <c r="A483" s="50"/>
      <c r="B483" s="5"/>
      <c r="C483" s="5"/>
      <c r="D483" s="6"/>
      <c r="E483" s="6"/>
      <c r="F483" s="6"/>
      <c r="G483" s="6"/>
    </row>
    <row r="484" spans="1:7" ht="15.75" customHeight="1" x14ac:dyDescent="0.25">
      <c r="A484" s="50"/>
      <c r="B484" s="5"/>
      <c r="C484" s="5"/>
      <c r="D484" s="6"/>
      <c r="E484" s="6"/>
      <c r="F484" s="6"/>
      <c r="G484" s="6"/>
    </row>
    <row r="485" spans="1:7" ht="15.75" customHeight="1" x14ac:dyDescent="0.25">
      <c r="A485" s="50"/>
      <c r="B485" s="5"/>
      <c r="C485" s="5"/>
      <c r="D485" s="6"/>
      <c r="E485" s="6"/>
      <c r="F485" s="6"/>
      <c r="G485" s="6"/>
    </row>
    <row r="486" spans="1:7" ht="15.75" customHeight="1" x14ac:dyDescent="0.25">
      <c r="A486" s="50"/>
      <c r="B486" s="5"/>
      <c r="C486" s="5"/>
      <c r="D486" s="6"/>
      <c r="E486" s="6"/>
      <c r="F486" s="6"/>
      <c r="G486" s="6"/>
    </row>
    <row r="487" spans="1:7" ht="15.75" customHeight="1" x14ac:dyDescent="0.25">
      <c r="A487" s="50"/>
      <c r="B487" s="5"/>
      <c r="C487" s="5"/>
      <c r="D487" s="6"/>
      <c r="E487" s="6"/>
      <c r="F487" s="6"/>
      <c r="G487" s="6"/>
    </row>
    <row r="488" spans="1:7" ht="15.75" customHeight="1" x14ac:dyDescent="0.25">
      <c r="A488" s="50"/>
      <c r="B488" s="5"/>
      <c r="C488" s="5"/>
      <c r="D488" s="6"/>
      <c r="E488" s="6"/>
      <c r="F488" s="6"/>
      <c r="G488" s="6"/>
    </row>
    <row r="489" spans="1:7" ht="15.75" customHeight="1" x14ac:dyDescent="0.25">
      <c r="A489" s="50"/>
      <c r="B489" s="5"/>
      <c r="C489" s="5"/>
      <c r="D489" s="6"/>
      <c r="E489" s="6"/>
      <c r="F489" s="6"/>
      <c r="G489" s="6"/>
    </row>
    <row r="490" spans="1:7" ht="15.75" customHeight="1" x14ac:dyDescent="0.25">
      <c r="A490" s="50"/>
      <c r="B490" s="5"/>
      <c r="C490" s="5"/>
      <c r="D490" s="6"/>
      <c r="E490" s="6"/>
      <c r="F490" s="6"/>
      <c r="G490" s="6"/>
    </row>
    <row r="491" spans="1:7" ht="15.75" customHeight="1" x14ac:dyDescent="0.25">
      <c r="A491" s="50"/>
      <c r="B491" s="5"/>
      <c r="C491" s="5"/>
      <c r="D491" s="6"/>
      <c r="E491" s="6"/>
      <c r="F491" s="6"/>
      <c r="G491" s="6"/>
    </row>
    <row r="492" spans="1:7" ht="15.75" customHeight="1" x14ac:dyDescent="0.25">
      <c r="A492" s="50"/>
      <c r="B492" s="5"/>
      <c r="C492" s="5"/>
      <c r="D492" s="6"/>
      <c r="E492" s="6"/>
      <c r="F492" s="6"/>
      <c r="G492" s="6"/>
    </row>
    <row r="493" spans="1:7" ht="15.75" customHeight="1" x14ac:dyDescent="0.25">
      <c r="A493" s="50"/>
      <c r="B493" s="5"/>
      <c r="C493" s="5"/>
      <c r="D493" s="6"/>
      <c r="E493" s="6"/>
      <c r="F493" s="6"/>
      <c r="G493" s="6"/>
    </row>
    <row r="494" spans="1:7" ht="15.75" customHeight="1" x14ac:dyDescent="0.25">
      <c r="A494" s="50"/>
      <c r="B494" s="5"/>
      <c r="C494" s="5"/>
      <c r="D494" s="6"/>
      <c r="E494" s="6"/>
      <c r="F494" s="6"/>
      <c r="G494" s="6"/>
    </row>
    <row r="495" spans="1:7" ht="15.75" customHeight="1" x14ac:dyDescent="0.25">
      <c r="A495" s="50"/>
      <c r="B495" s="5"/>
      <c r="C495" s="5"/>
      <c r="D495" s="6"/>
      <c r="E495" s="6"/>
      <c r="F495" s="6"/>
      <c r="G495" s="6"/>
    </row>
    <row r="496" spans="1:7" ht="15.75" customHeight="1" x14ac:dyDescent="0.25">
      <c r="A496" s="50"/>
      <c r="B496" s="5"/>
      <c r="C496" s="5"/>
      <c r="D496" s="6"/>
      <c r="E496" s="6"/>
      <c r="F496" s="6"/>
      <c r="G496" s="6"/>
    </row>
    <row r="497" spans="1:7" ht="15.75" customHeight="1" x14ac:dyDescent="0.25">
      <c r="A497" s="50"/>
      <c r="B497" s="5"/>
      <c r="C497" s="5"/>
      <c r="D497" s="6"/>
      <c r="E497" s="6"/>
      <c r="F497" s="6"/>
      <c r="G497" s="6"/>
    </row>
    <row r="498" spans="1:7" ht="15.75" customHeight="1" x14ac:dyDescent="0.25">
      <c r="A498" s="50"/>
      <c r="B498" s="5"/>
      <c r="C498" s="5"/>
      <c r="D498" s="6"/>
      <c r="E498" s="6"/>
      <c r="F498" s="6"/>
      <c r="G498" s="6"/>
    </row>
    <row r="499" spans="1:7" ht="15.75" customHeight="1" x14ac:dyDescent="0.25">
      <c r="A499" s="50"/>
      <c r="B499" s="5"/>
      <c r="C499" s="5"/>
      <c r="D499" s="6"/>
      <c r="E499" s="6"/>
      <c r="F499" s="6"/>
      <c r="G499" s="6"/>
    </row>
    <row r="500" spans="1:7" ht="15.75" customHeight="1" x14ac:dyDescent="0.25">
      <c r="A500" s="50"/>
      <c r="B500" s="5"/>
      <c r="C500" s="5"/>
      <c r="D500" s="6"/>
      <c r="E500" s="6"/>
      <c r="F500" s="6"/>
      <c r="G500" s="6"/>
    </row>
    <row r="501" spans="1:7" ht="15.75" customHeight="1" x14ac:dyDescent="0.25">
      <c r="A501" s="50"/>
      <c r="B501" s="5"/>
      <c r="C501" s="5"/>
      <c r="D501" s="6"/>
      <c r="E501" s="6"/>
      <c r="F501" s="6"/>
      <c r="G501" s="6"/>
    </row>
    <row r="502" spans="1:7" ht="15.75" customHeight="1" x14ac:dyDescent="0.25">
      <c r="A502" s="50"/>
      <c r="B502" s="5"/>
      <c r="C502" s="5"/>
      <c r="D502" s="6"/>
      <c r="E502" s="6"/>
      <c r="F502" s="6"/>
      <c r="G502" s="6"/>
    </row>
    <row r="503" spans="1:7" ht="15.75" customHeight="1" x14ac:dyDescent="0.25">
      <c r="A503" s="50"/>
      <c r="B503" s="5"/>
      <c r="C503" s="5"/>
      <c r="D503" s="6"/>
      <c r="E503" s="6"/>
      <c r="F503" s="6"/>
      <c r="G503" s="6"/>
    </row>
    <row r="504" spans="1:7" ht="15.75" customHeight="1" x14ac:dyDescent="0.25">
      <c r="A504" s="50"/>
      <c r="B504" s="5"/>
      <c r="C504" s="5"/>
      <c r="D504" s="6"/>
      <c r="E504" s="6"/>
      <c r="F504" s="6"/>
      <c r="G504" s="6"/>
    </row>
    <row r="505" spans="1:7" ht="15.75" customHeight="1" x14ac:dyDescent="0.25">
      <c r="A505" s="50"/>
      <c r="B505" s="5"/>
      <c r="C505" s="5"/>
      <c r="D505" s="6"/>
      <c r="E505" s="6"/>
      <c r="F505" s="6"/>
      <c r="G505" s="6"/>
    </row>
    <row r="506" spans="1:7" ht="15.75" customHeight="1" x14ac:dyDescent="0.25">
      <c r="A506" s="50"/>
      <c r="B506" s="5"/>
      <c r="C506" s="5"/>
      <c r="D506" s="6"/>
      <c r="E506" s="6"/>
      <c r="F506" s="6"/>
      <c r="G506" s="6"/>
    </row>
    <row r="507" spans="1:7" ht="15.75" customHeight="1" x14ac:dyDescent="0.25">
      <c r="A507" s="50"/>
      <c r="B507" s="5"/>
      <c r="C507" s="5"/>
      <c r="D507" s="6"/>
      <c r="E507" s="6"/>
      <c r="F507" s="6"/>
      <c r="G507" s="6"/>
    </row>
    <row r="508" spans="1:7" ht="15.75" customHeight="1" x14ac:dyDescent="0.25">
      <c r="A508" s="50"/>
      <c r="B508" s="5"/>
      <c r="C508" s="5"/>
      <c r="D508" s="6"/>
      <c r="E508" s="6"/>
      <c r="F508" s="6"/>
      <c r="G508" s="6"/>
    </row>
    <row r="509" spans="1:7" ht="15.75" customHeight="1" x14ac:dyDescent="0.25">
      <c r="A509" s="50"/>
      <c r="B509" s="5"/>
      <c r="C509" s="5"/>
      <c r="D509" s="6"/>
      <c r="E509" s="6"/>
      <c r="F509" s="6"/>
      <c r="G509" s="6"/>
    </row>
    <row r="510" spans="1:7" ht="15.75" customHeight="1" x14ac:dyDescent="0.25">
      <c r="A510" s="50"/>
      <c r="B510" s="5"/>
      <c r="C510" s="5"/>
      <c r="D510" s="6"/>
      <c r="E510" s="6"/>
      <c r="F510" s="6"/>
      <c r="G510" s="6"/>
    </row>
    <row r="511" spans="1:7" ht="15.75" customHeight="1" x14ac:dyDescent="0.25">
      <c r="A511" s="50"/>
      <c r="B511" s="5"/>
      <c r="C511" s="5"/>
      <c r="D511" s="6"/>
      <c r="E511" s="6"/>
      <c r="F511" s="6"/>
      <c r="G511" s="6"/>
    </row>
    <row r="512" spans="1:7" ht="15.75" customHeight="1" x14ac:dyDescent="0.25">
      <c r="A512" s="50"/>
      <c r="B512" s="5"/>
      <c r="C512" s="5"/>
      <c r="D512" s="6"/>
      <c r="E512" s="6"/>
      <c r="F512" s="6"/>
      <c r="G512" s="6"/>
    </row>
    <row r="513" spans="1:7" ht="15.75" customHeight="1" x14ac:dyDescent="0.25">
      <c r="A513" s="50"/>
      <c r="B513" s="5"/>
      <c r="C513" s="5"/>
      <c r="D513" s="6"/>
      <c r="E513" s="6"/>
      <c r="F513" s="6"/>
      <c r="G513" s="6"/>
    </row>
    <row r="514" spans="1:7" ht="15.75" customHeight="1" x14ac:dyDescent="0.25">
      <c r="A514" s="50"/>
      <c r="B514" s="5"/>
      <c r="C514" s="5"/>
      <c r="D514" s="6"/>
      <c r="E514" s="6"/>
      <c r="F514" s="6"/>
      <c r="G514" s="6"/>
    </row>
    <row r="515" spans="1:7" ht="15.75" customHeight="1" x14ac:dyDescent="0.25">
      <c r="A515" s="50"/>
      <c r="B515" s="5"/>
      <c r="C515" s="5"/>
      <c r="D515" s="6"/>
      <c r="E515" s="6"/>
      <c r="F515" s="6"/>
      <c r="G515" s="6"/>
    </row>
    <row r="516" spans="1:7" ht="15.75" customHeight="1" x14ac:dyDescent="0.25">
      <c r="A516" s="50"/>
      <c r="B516" s="5"/>
      <c r="C516" s="5"/>
      <c r="D516" s="6"/>
      <c r="E516" s="6"/>
      <c r="F516" s="6"/>
      <c r="G516" s="6"/>
    </row>
    <row r="517" spans="1:7" ht="15.75" customHeight="1" x14ac:dyDescent="0.25">
      <c r="A517" s="50"/>
      <c r="B517" s="5"/>
      <c r="C517" s="5"/>
      <c r="D517" s="6"/>
      <c r="E517" s="6"/>
      <c r="F517" s="6"/>
      <c r="G517" s="6"/>
    </row>
    <row r="518" spans="1:7" ht="15.75" customHeight="1" x14ac:dyDescent="0.25">
      <c r="A518" s="50"/>
      <c r="B518" s="5"/>
      <c r="C518" s="5"/>
      <c r="D518" s="6"/>
      <c r="E518" s="6"/>
      <c r="F518" s="6"/>
      <c r="G518" s="6"/>
    </row>
    <row r="519" spans="1:7" ht="15.75" customHeight="1" x14ac:dyDescent="0.25">
      <c r="A519" s="50"/>
      <c r="B519" s="5"/>
      <c r="C519" s="5"/>
      <c r="D519" s="6"/>
      <c r="E519" s="6"/>
      <c r="F519" s="6"/>
      <c r="G519" s="6"/>
    </row>
    <row r="520" spans="1:7" ht="15.75" customHeight="1" x14ac:dyDescent="0.25">
      <c r="A520" s="50"/>
      <c r="B520" s="5"/>
      <c r="C520" s="5"/>
      <c r="D520" s="6"/>
      <c r="E520" s="6"/>
      <c r="F520" s="6"/>
      <c r="G520" s="6"/>
    </row>
    <row r="521" spans="1:7" ht="15.75" customHeight="1" x14ac:dyDescent="0.25">
      <c r="A521" s="50"/>
      <c r="B521" s="5"/>
      <c r="C521" s="5"/>
      <c r="D521" s="6"/>
      <c r="E521" s="6"/>
      <c r="F521" s="6"/>
      <c r="G521" s="6"/>
    </row>
    <row r="522" spans="1:7" ht="15.75" customHeight="1" x14ac:dyDescent="0.25">
      <c r="A522" s="50"/>
      <c r="B522" s="5"/>
      <c r="C522" s="5"/>
      <c r="D522" s="6"/>
      <c r="E522" s="6"/>
      <c r="F522" s="6"/>
      <c r="G522" s="6"/>
    </row>
    <row r="523" spans="1:7" ht="15.75" customHeight="1" x14ac:dyDescent="0.25">
      <c r="A523" s="50"/>
      <c r="B523" s="5"/>
      <c r="C523" s="5"/>
      <c r="D523" s="6"/>
      <c r="E523" s="6"/>
      <c r="F523" s="6"/>
      <c r="G523" s="6"/>
    </row>
    <row r="524" spans="1:7" ht="15.75" customHeight="1" x14ac:dyDescent="0.25">
      <c r="A524" s="50"/>
      <c r="B524" s="5"/>
      <c r="C524" s="5"/>
      <c r="D524" s="6"/>
      <c r="E524" s="6"/>
      <c r="F524" s="6"/>
      <c r="G524" s="6"/>
    </row>
    <row r="525" spans="1:7" ht="15.75" customHeight="1" x14ac:dyDescent="0.25">
      <c r="A525" s="50"/>
      <c r="B525" s="5"/>
      <c r="C525" s="5"/>
      <c r="D525" s="6"/>
      <c r="E525" s="6"/>
      <c r="F525" s="6"/>
      <c r="G525" s="6"/>
    </row>
    <row r="526" spans="1:7" ht="15.75" customHeight="1" x14ac:dyDescent="0.25">
      <c r="A526" s="50"/>
      <c r="B526" s="5"/>
      <c r="C526" s="5"/>
      <c r="D526" s="6"/>
      <c r="E526" s="6"/>
      <c r="F526" s="6"/>
      <c r="G526" s="6"/>
    </row>
    <row r="527" spans="1:7" ht="15.75" customHeight="1" x14ac:dyDescent="0.25">
      <c r="A527" s="50"/>
      <c r="B527" s="5"/>
      <c r="C527" s="5"/>
      <c r="D527" s="6"/>
      <c r="E527" s="6"/>
      <c r="F527" s="6"/>
      <c r="G527" s="6"/>
    </row>
    <row r="528" spans="1:7" ht="15.75" customHeight="1" x14ac:dyDescent="0.25">
      <c r="A528" s="50"/>
      <c r="B528" s="5"/>
      <c r="C528" s="5"/>
      <c r="D528" s="6"/>
      <c r="E528" s="6"/>
      <c r="F528" s="6"/>
      <c r="G528" s="6"/>
    </row>
    <row r="529" spans="1:7" ht="15.75" customHeight="1" x14ac:dyDescent="0.25">
      <c r="A529" s="50"/>
      <c r="B529" s="5"/>
      <c r="C529" s="5"/>
      <c r="D529" s="6"/>
      <c r="E529" s="6"/>
      <c r="F529" s="6"/>
      <c r="G529" s="6"/>
    </row>
    <row r="530" spans="1:7" ht="15.75" customHeight="1" x14ac:dyDescent="0.25">
      <c r="A530" s="50"/>
      <c r="B530" s="5"/>
      <c r="C530" s="5"/>
      <c r="D530" s="6"/>
      <c r="E530" s="6"/>
      <c r="F530" s="6"/>
      <c r="G530" s="6"/>
    </row>
    <row r="531" spans="1:7" ht="15.75" customHeight="1" x14ac:dyDescent="0.25">
      <c r="A531" s="50"/>
      <c r="B531" s="5"/>
      <c r="C531" s="5"/>
      <c r="D531" s="6"/>
      <c r="E531" s="6"/>
      <c r="F531" s="6"/>
      <c r="G531" s="6"/>
    </row>
    <row r="532" spans="1:7" ht="15.75" customHeight="1" x14ac:dyDescent="0.25">
      <c r="A532" s="50"/>
      <c r="B532" s="5"/>
      <c r="C532" s="5"/>
      <c r="D532" s="6"/>
      <c r="E532" s="6"/>
      <c r="F532" s="6"/>
      <c r="G532" s="6"/>
    </row>
    <row r="533" spans="1:7" ht="15.75" customHeight="1" x14ac:dyDescent="0.25">
      <c r="A533" s="50"/>
      <c r="B533" s="5"/>
      <c r="C533" s="5"/>
      <c r="D533" s="6"/>
      <c r="E533" s="6"/>
      <c r="F533" s="6"/>
      <c r="G533" s="6"/>
    </row>
    <row r="534" spans="1:7" ht="15.75" customHeight="1" x14ac:dyDescent="0.25">
      <c r="A534" s="50"/>
      <c r="B534" s="5"/>
      <c r="C534" s="5"/>
      <c r="D534" s="6"/>
      <c r="E534" s="6"/>
      <c r="F534" s="6"/>
      <c r="G534" s="6"/>
    </row>
    <row r="535" spans="1:7" ht="15.75" customHeight="1" x14ac:dyDescent="0.25">
      <c r="A535" s="50"/>
      <c r="B535" s="5"/>
      <c r="C535" s="5"/>
      <c r="D535" s="6"/>
      <c r="E535" s="6"/>
      <c r="F535" s="6"/>
      <c r="G535" s="6"/>
    </row>
    <row r="536" spans="1:7" ht="15.75" customHeight="1" x14ac:dyDescent="0.25">
      <c r="A536" s="50"/>
      <c r="B536" s="5"/>
      <c r="C536" s="5"/>
      <c r="D536" s="6"/>
      <c r="E536" s="6"/>
      <c r="F536" s="6"/>
      <c r="G536" s="6"/>
    </row>
    <row r="537" spans="1:7" ht="15.75" customHeight="1" x14ac:dyDescent="0.25">
      <c r="A537" s="50"/>
      <c r="B537" s="5"/>
      <c r="C537" s="5"/>
      <c r="D537" s="6"/>
      <c r="E537" s="6"/>
      <c r="F537" s="6"/>
      <c r="G537" s="6"/>
    </row>
    <row r="538" spans="1:7" ht="15.75" customHeight="1" x14ac:dyDescent="0.25">
      <c r="A538" s="50"/>
      <c r="B538" s="5"/>
      <c r="C538" s="5"/>
      <c r="D538" s="6"/>
      <c r="E538" s="6"/>
      <c r="F538" s="6"/>
      <c r="G538" s="6"/>
    </row>
    <row r="539" spans="1:7" ht="15.75" customHeight="1" x14ac:dyDescent="0.25">
      <c r="A539" s="50"/>
      <c r="B539" s="5"/>
      <c r="C539" s="5"/>
      <c r="D539" s="6"/>
      <c r="E539" s="6"/>
      <c r="F539" s="6"/>
      <c r="G539" s="6"/>
    </row>
    <row r="540" spans="1:7" ht="15.75" customHeight="1" x14ac:dyDescent="0.25">
      <c r="A540" s="50"/>
      <c r="B540" s="5"/>
      <c r="C540" s="5"/>
      <c r="D540" s="6"/>
      <c r="E540" s="6"/>
      <c r="F540" s="6"/>
      <c r="G540" s="6"/>
    </row>
    <row r="541" spans="1:7" ht="15.75" customHeight="1" x14ac:dyDescent="0.25">
      <c r="A541" s="50"/>
      <c r="B541" s="5"/>
      <c r="C541" s="5"/>
      <c r="D541" s="6"/>
      <c r="E541" s="6"/>
      <c r="F541" s="6"/>
      <c r="G541" s="6"/>
    </row>
    <row r="542" spans="1:7" ht="15.75" customHeight="1" x14ac:dyDescent="0.25">
      <c r="A542" s="50"/>
      <c r="B542" s="5"/>
      <c r="C542" s="5"/>
      <c r="D542" s="6"/>
      <c r="E542" s="6"/>
      <c r="F542" s="6"/>
      <c r="G542" s="6"/>
    </row>
    <row r="543" spans="1:7" ht="15.75" customHeight="1" x14ac:dyDescent="0.25">
      <c r="A543" s="50"/>
      <c r="B543" s="5"/>
      <c r="C543" s="5"/>
      <c r="D543" s="6"/>
      <c r="E543" s="6"/>
      <c r="F543" s="6"/>
      <c r="G543" s="6"/>
    </row>
    <row r="544" spans="1:7" ht="15.75" customHeight="1" x14ac:dyDescent="0.25">
      <c r="A544" s="50"/>
      <c r="B544" s="5"/>
      <c r="C544" s="5"/>
      <c r="D544" s="6"/>
      <c r="E544" s="6"/>
      <c r="F544" s="6"/>
      <c r="G544" s="6"/>
    </row>
    <row r="545" spans="1:7" ht="15.75" customHeight="1" x14ac:dyDescent="0.25">
      <c r="A545" s="50"/>
      <c r="B545" s="5"/>
      <c r="C545" s="5"/>
      <c r="D545" s="6"/>
      <c r="E545" s="6"/>
      <c r="F545" s="6"/>
      <c r="G545" s="6"/>
    </row>
    <row r="546" spans="1:7" ht="15.75" customHeight="1" x14ac:dyDescent="0.25">
      <c r="A546" s="50"/>
      <c r="B546" s="5"/>
      <c r="C546" s="5"/>
      <c r="D546" s="6"/>
      <c r="E546" s="6"/>
      <c r="F546" s="6"/>
      <c r="G546" s="6"/>
    </row>
    <row r="547" spans="1:7" ht="15.75" customHeight="1" x14ac:dyDescent="0.25">
      <c r="A547" s="50"/>
      <c r="B547" s="5"/>
      <c r="C547" s="5"/>
      <c r="D547" s="6"/>
      <c r="E547" s="6"/>
      <c r="F547" s="6"/>
      <c r="G547" s="6"/>
    </row>
    <row r="548" spans="1:7" ht="15.75" customHeight="1" x14ac:dyDescent="0.25">
      <c r="A548" s="50"/>
      <c r="B548" s="5"/>
      <c r="C548" s="5"/>
      <c r="D548" s="6"/>
      <c r="E548" s="6"/>
      <c r="F548" s="6"/>
      <c r="G548" s="6"/>
    </row>
    <row r="549" spans="1:7" ht="15.75" customHeight="1" x14ac:dyDescent="0.25">
      <c r="A549" s="50"/>
      <c r="B549" s="5"/>
      <c r="C549" s="5"/>
      <c r="D549" s="6"/>
      <c r="E549" s="6"/>
      <c r="F549" s="6"/>
      <c r="G549" s="6"/>
    </row>
    <row r="550" spans="1:7" ht="15.75" customHeight="1" x14ac:dyDescent="0.25">
      <c r="A550" s="50"/>
      <c r="B550" s="5"/>
      <c r="C550" s="5"/>
      <c r="D550" s="6"/>
      <c r="E550" s="6"/>
      <c r="F550" s="6"/>
      <c r="G550" s="6"/>
    </row>
    <row r="551" spans="1:7" ht="15.75" customHeight="1" x14ac:dyDescent="0.25">
      <c r="A551" s="50"/>
      <c r="B551" s="5"/>
      <c r="C551" s="5"/>
      <c r="D551" s="6"/>
      <c r="E551" s="6"/>
      <c r="F551" s="6"/>
      <c r="G551" s="6"/>
    </row>
    <row r="552" spans="1:7" ht="15.75" customHeight="1" x14ac:dyDescent="0.25">
      <c r="A552" s="50"/>
      <c r="B552" s="5"/>
      <c r="C552" s="5"/>
      <c r="D552" s="6"/>
      <c r="E552" s="6"/>
      <c r="F552" s="6"/>
      <c r="G552" s="6"/>
    </row>
    <row r="553" spans="1:7" ht="15.75" customHeight="1" x14ac:dyDescent="0.25">
      <c r="A553" s="50"/>
      <c r="B553" s="5"/>
      <c r="C553" s="5"/>
      <c r="D553" s="6"/>
      <c r="E553" s="6"/>
      <c r="F553" s="6"/>
      <c r="G553" s="6"/>
    </row>
    <row r="554" spans="1:7" ht="15.75" customHeight="1" x14ac:dyDescent="0.25">
      <c r="A554" s="50"/>
      <c r="B554" s="5"/>
      <c r="C554" s="5"/>
      <c r="D554" s="6"/>
      <c r="E554" s="6"/>
      <c r="F554" s="6"/>
      <c r="G554" s="6"/>
    </row>
    <row r="555" spans="1:7" ht="15.75" customHeight="1" x14ac:dyDescent="0.25">
      <c r="A555" s="50"/>
      <c r="B555" s="5"/>
      <c r="C555" s="5"/>
      <c r="D555" s="6"/>
      <c r="E555" s="6"/>
      <c r="F555" s="6"/>
      <c r="G555" s="6"/>
    </row>
    <row r="556" spans="1:7" ht="15.75" customHeight="1" x14ac:dyDescent="0.25">
      <c r="A556" s="50"/>
      <c r="B556" s="5"/>
      <c r="C556" s="5"/>
      <c r="D556" s="6"/>
      <c r="E556" s="6"/>
      <c r="F556" s="6"/>
      <c r="G556" s="6"/>
    </row>
    <row r="557" spans="1:7" ht="15.75" customHeight="1" x14ac:dyDescent="0.25">
      <c r="A557" s="50"/>
      <c r="B557" s="5"/>
      <c r="C557" s="5"/>
      <c r="D557" s="6"/>
      <c r="E557" s="6"/>
      <c r="F557" s="6"/>
      <c r="G557" s="6"/>
    </row>
    <row r="558" spans="1:7" ht="15.75" customHeight="1" x14ac:dyDescent="0.25">
      <c r="A558" s="50"/>
      <c r="B558" s="5"/>
      <c r="C558" s="5"/>
      <c r="D558" s="6"/>
      <c r="E558" s="6"/>
      <c r="F558" s="6"/>
      <c r="G558" s="6"/>
    </row>
    <row r="559" spans="1:7" ht="15.75" customHeight="1" x14ac:dyDescent="0.25">
      <c r="A559" s="50"/>
      <c r="B559" s="5"/>
      <c r="C559" s="5"/>
      <c r="D559" s="6"/>
      <c r="E559" s="6"/>
      <c r="F559" s="6"/>
      <c r="G559" s="6"/>
    </row>
    <row r="560" spans="1:7" ht="15.75" customHeight="1" x14ac:dyDescent="0.25">
      <c r="A560" s="50"/>
      <c r="B560" s="5"/>
      <c r="C560" s="5"/>
      <c r="D560" s="6"/>
      <c r="E560" s="6"/>
      <c r="F560" s="6"/>
      <c r="G560" s="6"/>
    </row>
    <row r="561" spans="1:7" ht="15.75" customHeight="1" x14ac:dyDescent="0.25">
      <c r="A561" s="50"/>
      <c r="B561" s="5"/>
      <c r="C561" s="5"/>
      <c r="D561" s="6"/>
      <c r="E561" s="6"/>
      <c r="F561" s="6"/>
      <c r="G561" s="6"/>
    </row>
    <row r="562" spans="1:7" ht="15.75" customHeight="1" x14ac:dyDescent="0.25">
      <c r="A562" s="50"/>
      <c r="B562" s="5"/>
      <c r="C562" s="5"/>
      <c r="D562" s="6"/>
      <c r="E562" s="6"/>
      <c r="F562" s="6"/>
      <c r="G562" s="6"/>
    </row>
    <row r="563" spans="1:7" ht="15.75" customHeight="1" x14ac:dyDescent="0.25">
      <c r="A563" s="50"/>
      <c r="B563" s="5"/>
      <c r="C563" s="5"/>
      <c r="D563" s="6"/>
      <c r="E563" s="6"/>
      <c r="F563" s="6"/>
      <c r="G563" s="6"/>
    </row>
    <row r="564" spans="1:7" ht="15.75" customHeight="1" x14ac:dyDescent="0.25">
      <c r="A564" s="50"/>
      <c r="B564" s="5"/>
      <c r="C564" s="5"/>
      <c r="D564" s="6"/>
      <c r="E564" s="6"/>
      <c r="F564" s="6"/>
      <c r="G564" s="6"/>
    </row>
    <row r="565" spans="1:7" ht="15.75" customHeight="1" x14ac:dyDescent="0.25">
      <c r="A565" s="50"/>
      <c r="B565" s="5"/>
      <c r="C565" s="5"/>
      <c r="D565" s="6"/>
      <c r="E565" s="6"/>
      <c r="F565" s="6"/>
      <c r="G565" s="6"/>
    </row>
    <row r="566" spans="1:7" ht="15.75" customHeight="1" x14ac:dyDescent="0.25">
      <c r="A566" s="50"/>
      <c r="B566" s="5"/>
      <c r="C566" s="5"/>
      <c r="D566" s="6"/>
      <c r="E566" s="6"/>
      <c r="F566" s="6"/>
      <c r="G566" s="6"/>
    </row>
    <row r="567" spans="1:7" ht="15.75" customHeight="1" x14ac:dyDescent="0.25">
      <c r="A567" s="50"/>
      <c r="B567" s="5"/>
      <c r="C567" s="5"/>
      <c r="D567" s="6"/>
      <c r="E567" s="6"/>
      <c r="F567" s="6"/>
      <c r="G567" s="6"/>
    </row>
    <row r="568" spans="1:7" ht="15.75" customHeight="1" x14ac:dyDescent="0.25">
      <c r="A568" s="50"/>
      <c r="B568" s="5"/>
      <c r="C568" s="5"/>
      <c r="D568" s="6"/>
      <c r="E568" s="6"/>
      <c r="F568" s="6"/>
      <c r="G568" s="6"/>
    </row>
    <row r="569" spans="1:7" ht="15.75" customHeight="1" x14ac:dyDescent="0.25">
      <c r="A569" s="50"/>
      <c r="B569" s="5"/>
      <c r="C569" s="5"/>
      <c r="D569" s="6"/>
      <c r="E569" s="6"/>
      <c r="F569" s="6"/>
      <c r="G569" s="6"/>
    </row>
    <row r="570" spans="1:7" ht="15.75" customHeight="1" x14ac:dyDescent="0.25">
      <c r="A570" s="50"/>
      <c r="B570" s="5"/>
      <c r="C570" s="5"/>
      <c r="D570" s="6"/>
      <c r="E570" s="6"/>
      <c r="F570" s="6"/>
      <c r="G570" s="6"/>
    </row>
    <row r="571" spans="1:7" ht="15.75" customHeight="1" x14ac:dyDescent="0.25">
      <c r="A571" s="50"/>
      <c r="B571" s="5"/>
      <c r="C571" s="5"/>
      <c r="D571" s="6"/>
      <c r="E571" s="6"/>
      <c r="F571" s="6"/>
      <c r="G571" s="6"/>
    </row>
    <row r="572" spans="1:7" ht="15.75" customHeight="1" x14ac:dyDescent="0.25">
      <c r="A572" s="50"/>
      <c r="B572" s="5"/>
      <c r="C572" s="5"/>
      <c r="D572" s="6"/>
      <c r="E572" s="6"/>
      <c r="F572" s="6"/>
      <c r="G572" s="6"/>
    </row>
    <row r="573" spans="1:7" ht="15.75" customHeight="1" x14ac:dyDescent="0.25">
      <c r="A573" s="50"/>
      <c r="B573" s="5"/>
      <c r="C573" s="5"/>
      <c r="D573" s="6"/>
      <c r="E573" s="6"/>
      <c r="F573" s="6"/>
      <c r="G573" s="6"/>
    </row>
    <row r="574" spans="1:7" ht="15.75" customHeight="1" x14ac:dyDescent="0.25">
      <c r="A574" s="50"/>
      <c r="B574" s="5"/>
      <c r="C574" s="5"/>
      <c r="D574" s="6"/>
      <c r="E574" s="6"/>
      <c r="F574" s="6"/>
      <c r="G574" s="6"/>
    </row>
    <row r="575" spans="1:7" ht="15.75" customHeight="1" x14ac:dyDescent="0.25">
      <c r="A575" s="50"/>
      <c r="B575" s="5"/>
      <c r="C575" s="5"/>
      <c r="D575" s="6"/>
      <c r="E575" s="6"/>
      <c r="F575" s="6"/>
      <c r="G575" s="6"/>
    </row>
    <row r="576" spans="1:7" ht="15.75" customHeight="1" x14ac:dyDescent="0.25">
      <c r="A576" s="50"/>
      <c r="B576" s="5"/>
      <c r="C576" s="5"/>
      <c r="D576" s="6"/>
      <c r="E576" s="6"/>
      <c r="F576" s="6"/>
      <c r="G576" s="6"/>
    </row>
    <row r="577" spans="1:7" ht="15.75" customHeight="1" x14ac:dyDescent="0.25">
      <c r="A577" s="50"/>
      <c r="B577" s="5"/>
      <c r="C577" s="5"/>
      <c r="D577" s="6"/>
      <c r="E577" s="6"/>
      <c r="F577" s="6"/>
      <c r="G577" s="6"/>
    </row>
    <row r="578" spans="1:7" ht="15.75" customHeight="1" x14ac:dyDescent="0.25">
      <c r="A578" s="50"/>
      <c r="B578" s="5"/>
      <c r="C578" s="5"/>
      <c r="D578" s="6"/>
      <c r="E578" s="6"/>
      <c r="F578" s="6"/>
      <c r="G578" s="6"/>
    </row>
    <row r="579" spans="1:7" ht="15.75" customHeight="1" x14ac:dyDescent="0.25">
      <c r="A579" s="50"/>
      <c r="B579" s="5"/>
      <c r="C579" s="5"/>
      <c r="D579" s="6"/>
      <c r="E579" s="6"/>
      <c r="F579" s="6"/>
      <c r="G579" s="6"/>
    </row>
    <row r="580" spans="1:7" ht="15.75" customHeight="1" x14ac:dyDescent="0.25">
      <c r="A580" s="50"/>
      <c r="B580" s="5"/>
      <c r="C580" s="5"/>
      <c r="D580" s="6"/>
      <c r="E580" s="6"/>
      <c r="F580" s="6"/>
      <c r="G580" s="6"/>
    </row>
    <row r="581" spans="1:7" ht="15.75" customHeight="1" x14ac:dyDescent="0.25">
      <c r="A581" s="50"/>
      <c r="B581" s="5"/>
      <c r="C581" s="5"/>
      <c r="D581" s="6"/>
      <c r="E581" s="6"/>
      <c r="F581" s="6"/>
      <c r="G581" s="6"/>
    </row>
    <row r="582" spans="1:7" ht="15.75" customHeight="1" x14ac:dyDescent="0.25">
      <c r="A582" s="50"/>
      <c r="B582" s="5"/>
      <c r="C582" s="5"/>
      <c r="D582" s="6"/>
      <c r="E582" s="6"/>
      <c r="F582" s="6"/>
      <c r="G582" s="6"/>
    </row>
    <row r="583" spans="1:7" ht="15.75" customHeight="1" x14ac:dyDescent="0.25">
      <c r="A583" s="50"/>
      <c r="B583" s="5"/>
      <c r="C583" s="5"/>
      <c r="D583" s="6"/>
      <c r="E583" s="6"/>
      <c r="F583" s="6"/>
      <c r="G583" s="6"/>
    </row>
    <row r="584" spans="1:7" ht="15.75" customHeight="1" x14ac:dyDescent="0.25">
      <c r="A584" s="50"/>
      <c r="B584" s="5"/>
      <c r="C584" s="5"/>
      <c r="D584" s="6"/>
      <c r="E584" s="6"/>
      <c r="F584" s="6"/>
      <c r="G584" s="6"/>
    </row>
    <row r="585" spans="1:7" ht="15.75" customHeight="1" x14ac:dyDescent="0.25">
      <c r="A585" s="50"/>
      <c r="B585" s="5"/>
      <c r="C585" s="5"/>
      <c r="D585" s="6"/>
      <c r="E585" s="6"/>
      <c r="F585" s="6"/>
      <c r="G585" s="6"/>
    </row>
    <row r="586" spans="1:7" ht="15.75" customHeight="1" x14ac:dyDescent="0.25">
      <c r="A586" s="50"/>
      <c r="B586" s="5"/>
      <c r="C586" s="5"/>
      <c r="D586" s="6"/>
      <c r="E586" s="6"/>
      <c r="F586" s="6"/>
      <c r="G586" s="6"/>
    </row>
    <row r="587" spans="1:7" ht="15.75" customHeight="1" x14ac:dyDescent="0.25">
      <c r="A587" s="50"/>
      <c r="B587" s="5"/>
      <c r="C587" s="5"/>
      <c r="D587" s="6"/>
      <c r="E587" s="6"/>
      <c r="F587" s="6"/>
      <c r="G587" s="6"/>
    </row>
    <row r="588" spans="1:7" ht="15.75" customHeight="1" x14ac:dyDescent="0.25">
      <c r="A588" s="50"/>
      <c r="B588" s="5"/>
      <c r="C588" s="5"/>
      <c r="D588" s="6"/>
      <c r="E588" s="6"/>
      <c r="F588" s="6"/>
      <c r="G588" s="6"/>
    </row>
    <row r="589" spans="1:7" ht="15.75" customHeight="1" x14ac:dyDescent="0.25">
      <c r="A589" s="50"/>
      <c r="B589" s="5"/>
      <c r="C589" s="5"/>
      <c r="D589" s="6"/>
      <c r="E589" s="6"/>
      <c r="F589" s="6"/>
      <c r="G589" s="6"/>
    </row>
    <row r="590" spans="1:7" ht="15.75" customHeight="1" x14ac:dyDescent="0.25">
      <c r="A590" s="50"/>
      <c r="B590" s="5"/>
      <c r="C590" s="5"/>
      <c r="D590" s="6"/>
      <c r="E590" s="6"/>
      <c r="F590" s="6"/>
      <c r="G590" s="6"/>
    </row>
    <row r="591" spans="1:7" ht="15.75" customHeight="1" x14ac:dyDescent="0.25">
      <c r="A591" s="50"/>
      <c r="B591" s="5"/>
      <c r="C591" s="5"/>
      <c r="D591" s="6"/>
      <c r="E591" s="6"/>
      <c r="F591" s="6"/>
      <c r="G591" s="6"/>
    </row>
    <row r="592" spans="1:7" ht="15.75" customHeight="1" x14ac:dyDescent="0.25">
      <c r="A592" s="50"/>
      <c r="B592" s="5"/>
      <c r="C592" s="5"/>
      <c r="D592" s="6"/>
      <c r="E592" s="6"/>
      <c r="F592" s="6"/>
      <c r="G592" s="6"/>
    </row>
    <row r="593" spans="1:7" ht="15.75" customHeight="1" x14ac:dyDescent="0.25">
      <c r="A593" s="50"/>
      <c r="B593" s="5"/>
      <c r="C593" s="5"/>
      <c r="D593" s="6"/>
      <c r="E593" s="6"/>
      <c r="F593" s="6"/>
      <c r="G593" s="6"/>
    </row>
    <row r="594" spans="1:7" ht="15.75" customHeight="1" x14ac:dyDescent="0.25">
      <c r="A594" s="50"/>
      <c r="B594" s="5"/>
      <c r="C594" s="5"/>
      <c r="D594" s="6"/>
      <c r="E594" s="6"/>
      <c r="F594" s="6"/>
      <c r="G594" s="6"/>
    </row>
    <row r="595" spans="1:7" ht="15.75" customHeight="1" x14ac:dyDescent="0.25">
      <c r="A595" s="50"/>
      <c r="B595" s="5"/>
      <c r="C595" s="5"/>
      <c r="D595" s="6"/>
      <c r="E595" s="6"/>
      <c r="F595" s="6"/>
      <c r="G595" s="6"/>
    </row>
    <row r="596" spans="1:7" ht="15.75" customHeight="1" x14ac:dyDescent="0.25">
      <c r="A596" s="50"/>
      <c r="B596" s="5"/>
      <c r="C596" s="5"/>
      <c r="D596" s="6"/>
      <c r="E596" s="6"/>
      <c r="F596" s="6"/>
      <c r="G596" s="6"/>
    </row>
    <row r="597" spans="1:7" ht="15.75" customHeight="1" x14ac:dyDescent="0.25">
      <c r="A597" s="50"/>
      <c r="B597" s="5"/>
      <c r="C597" s="5"/>
      <c r="D597" s="6"/>
      <c r="E597" s="6"/>
      <c r="F597" s="6"/>
      <c r="G597" s="6"/>
    </row>
    <row r="598" spans="1:7" ht="15.75" customHeight="1" x14ac:dyDescent="0.25">
      <c r="A598" s="50"/>
      <c r="B598" s="5"/>
      <c r="C598" s="5"/>
      <c r="D598" s="6"/>
      <c r="E598" s="6"/>
      <c r="F598" s="6"/>
      <c r="G598" s="6"/>
    </row>
    <row r="599" spans="1:7" ht="15.75" customHeight="1" x14ac:dyDescent="0.25">
      <c r="A599" s="50"/>
      <c r="B599" s="5"/>
      <c r="C599" s="5"/>
      <c r="D599" s="6"/>
      <c r="E599" s="6"/>
      <c r="F599" s="6"/>
      <c r="G599" s="6"/>
    </row>
    <row r="600" spans="1:7" ht="15.75" customHeight="1" x14ac:dyDescent="0.25">
      <c r="A600" s="50"/>
      <c r="B600" s="5"/>
      <c r="C600" s="5"/>
      <c r="D600" s="6"/>
      <c r="E600" s="6"/>
      <c r="F600" s="6"/>
      <c r="G600" s="6"/>
    </row>
    <row r="601" spans="1:7" ht="15.75" customHeight="1" x14ac:dyDescent="0.25">
      <c r="A601" s="50"/>
      <c r="B601" s="5"/>
      <c r="C601" s="5"/>
      <c r="D601" s="6"/>
      <c r="E601" s="6"/>
      <c r="F601" s="6"/>
      <c r="G601" s="6"/>
    </row>
    <row r="602" spans="1:7" ht="15.75" customHeight="1" x14ac:dyDescent="0.25">
      <c r="A602" s="50"/>
      <c r="B602" s="5"/>
      <c r="C602" s="5"/>
      <c r="D602" s="6"/>
      <c r="E602" s="6"/>
      <c r="F602" s="6"/>
      <c r="G602" s="6"/>
    </row>
    <row r="603" spans="1:7" ht="15.75" customHeight="1" x14ac:dyDescent="0.25">
      <c r="A603" s="50"/>
      <c r="B603" s="5"/>
      <c r="C603" s="5"/>
      <c r="D603" s="6"/>
      <c r="E603" s="6"/>
      <c r="F603" s="6"/>
      <c r="G603" s="6"/>
    </row>
    <row r="604" spans="1:7" ht="15.75" customHeight="1" x14ac:dyDescent="0.25">
      <c r="A604" s="50"/>
      <c r="B604" s="5"/>
      <c r="C604" s="5"/>
      <c r="D604" s="6"/>
      <c r="E604" s="6"/>
      <c r="F604" s="6"/>
      <c r="G604" s="6"/>
    </row>
    <row r="605" spans="1:7" ht="15.75" customHeight="1" x14ac:dyDescent="0.25">
      <c r="A605" s="50"/>
      <c r="B605" s="5"/>
      <c r="C605" s="5"/>
      <c r="D605" s="6"/>
      <c r="E605" s="6"/>
      <c r="F605" s="6"/>
      <c r="G605" s="6"/>
    </row>
    <row r="606" spans="1:7" ht="15.75" customHeight="1" x14ac:dyDescent="0.25">
      <c r="A606" s="50"/>
      <c r="B606" s="5"/>
      <c r="C606" s="5"/>
      <c r="D606" s="6"/>
      <c r="E606" s="6"/>
      <c r="F606" s="6"/>
      <c r="G606" s="6"/>
    </row>
    <row r="607" spans="1:7" ht="15.75" customHeight="1" x14ac:dyDescent="0.25">
      <c r="A607" s="50"/>
      <c r="B607" s="5"/>
      <c r="C607" s="5"/>
      <c r="D607" s="6"/>
      <c r="E607" s="6"/>
      <c r="F607" s="6"/>
      <c r="G607" s="6"/>
    </row>
    <row r="608" spans="1:7" ht="15.75" customHeight="1" x14ac:dyDescent="0.25">
      <c r="A608" s="50"/>
      <c r="B608" s="5"/>
      <c r="C608" s="5"/>
      <c r="D608" s="6"/>
      <c r="E608" s="6"/>
      <c r="F608" s="6"/>
      <c r="G608" s="6"/>
    </row>
    <row r="609" spans="1:7" ht="15.75" customHeight="1" x14ac:dyDescent="0.25">
      <c r="A609" s="50"/>
      <c r="B609" s="5"/>
      <c r="C609" s="5"/>
      <c r="D609" s="6"/>
      <c r="E609" s="6"/>
      <c r="F609" s="6"/>
      <c r="G609" s="6"/>
    </row>
    <row r="610" spans="1:7" ht="15.75" customHeight="1" x14ac:dyDescent="0.25">
      <c r="A610" s="50"/>
      <c r="B610" s="5"/>
      <c r="C610" s="5"/>
      <c r="D610" s="6"/>
      <c r="E610" s="6"/>
      <c r="F610" s="6"/>
      <c r="G610" s="6"/>
    </row>
    <row r="611" spans="1:7" ht="15.75" customHeight="1" x14ac:dyDescent="0.25">
      <c r="A611" s="50"/>
      <c r="B611" s="5"/>
      <c r="C611" s="5"/>
      <c r="D611" s="6"/>
      <c r="E611" s="6"/>
      <c r="F611" s="6"/>
      <c r="G611" s="6"/>
    </row>
    <row r="612" spans="1:7" ht="15.75" customHeight="1" x14ac:dyDescent="0.25">
      <c r="A612" s="50"/>
      <c r="B612" s="5"/>
      <c r="C612" s="5"/>
      <c r="D612" s="6"/>
      <c r="E612" s="6"/>
      <c r="F612" s="6"/>
      <c r="G612" s="6"/>
    </row>
    <row r="613" spans="1:7" ht="15.75" customHeight="1" x14ac:dyDescent="0.25">
      <c r="A613" s="50"/>
      <c r="B613" s="5"/>
      <c r="C613" s="5"/>
      <c r="D613" s="6"/>
      <c r="E613" s="6"/>
      <c r="F613" s="6"/>
      <c r="G613" s="6"/>
    </row>
    <row r="614" spans="1:7" ht="15.75" customHeight="1" x14ac:dyDescent="0.25">
      <c r="A614" s="50"/>
      <c r="B614" s="5"/>
      <c r="C614" s="5"/>
      <c r="D614" s="6"/>
      <c r="E614" s="6"/>
      <c r="F614" s="6"/>
      <c r="G614" s="6"/>
    </row>
    <row r="615" spans="1:7" ht="15.75" customHeight="1" x14ac:dyDescent="0.25">
      <c r="A615" s="50"/>
      <c r="B615" s="5"/>
      <c r="C615" s="5"/>
      <c r="D615" s="6"/>
      <c r="E615" s="6"/>
      <c r="F615" s="6"/>
      <c r="G615" s="6"/>
    </row>
    <row r="616" spans="1:7" ht="15.75" customHeight="1" x14ac:dyDescent="0.25">
      <c r="A616" s="50"/>
      <c r="B616" s="5"/>
      <c r="C616" s="5"/>
      <c r="D616" s="6"/>
      <c r="E616" s="6"/>
      <c r="F616" s="6"/>
      <c r="G616" s="6"/>
    </row>
    <row r="617" spans="1:7" ht="15.75" customHeight="1" x14ac:dyDescent="0.25">
      <c r="A617" s="50"/>
      <c r="B617" s="5"/>
      <c r="C617" s="5"/>
      <c r="D617" s="6"/>
      <c r="E617" s="6"/>
      <c r="F617" s="6"/>
      <c r="G617" s="6"/>
    </row>
    <row r="618" spans="1:7" ht="15.75" customHeight="1" x14ac:dyDescent="0.25">
      <c r="A618" s="50"/>
      <c r="B618" s="5"/>
      <c r="C618" s="5"/>
      <c r="D618" s="6"/>
      <c r="E618" s="6"/>
      <c r="F618" s="6"/>
      <c r="G618" s="6"/>
    </row>
    <row r="619" spans="1:7" ht="15.75" customHeight="1" x14ac:dyDescent="0.25">
      <c r="A619" s="50"/>
      <c r="B619" s="5"/>
      <c r="C619" s="5"/>
      <c r="D619" s="6"/>
      <c r="E619" s="6"/>
      <c r="F619" s="6"/>
      <c r="G619" s="6"/>
    </row>
    <row r="620" spans="1:7" ht="15.75" customHeight="1" x14ac:dyDescent="0.25">
      <c r="A620" s="50"/>
      <c r="B620" s="5"/>
      <c r="C620" s="5"/>
      <c r="D620" s="6"/>
      <c r="E620" s="6"/>
      <c r="F620" s="6"/>
      <c r="G620" s="6"/>
    </row>
    <row r="621" spans="1:7" ht="15.75" customHeight="1" x14ac:dyDescent="0.25">
      <c r="A621" s="50"/>
      <c r="B621" s="5"/>
      <c r="C621" s="5"/>
      <c r="D621" s="6"/>
      <c r="E621" s="6"/>
      <c r="F621" s="6"/>
      <c r="G621" s="6"/>
    </row>
    <row r="622" spans="1:7" ht="15.75" customHeight="1" x14ac:dyDescent="0.25">
      <c r="A622" s="50"/>
      <c r="B622" s="5"/>
      <c r="C622" s="5"/>
      <c r="D622" s="6"/>
      <c r="E622" s="6"/>
      <c r="F622" s="6"/>
      <c r="G622" s="6"/>
    </row>
    <row r="623" spans="1:7" ht="15.75" customHeight="1" x14ac:dyDescent="0.25">
      <c r="A623" s="50"/>
      <c r="B623" s="5"/>
      <c r="C623" s="5"/>
      <c r="D623" s="6"/>
      <c r="E623" s="6"/>
      <c r="F623" s="6"/>
      <c r="G623" s="6"/>
    </row>
    <row r="624" spans="1:7" ht="15.75" customHeight="1" x14ac:dyDescent="0.25">
      <c r="A624" s="50"/>
      <c r="B624" s="5"/>
      <c r="C624" s="5"/>
      <c r="D624" s="6"/>
      <c r="E624" s="6"/>
      <c r="F624" s="6"/>
      <c r="G624" s="6"/>
    </row>
    <row r="625" spans="1:7" ht="15.75" customHeight="1" x14ac:dyDescent="0.25">
      <c r="A625" s="50"/>
      <c r="B625" s="5"/>
      <c r="C625" s="5"/>
      <c r="D625" s="6"/>
      <c r="E625" s="6"/>
      <c r="F625" s="6"/>
      <c r="G625" s="6"/>
    </row>
    <row r="626" spans="1:7" ht="15.75" customHeight="1" x14ac:dyDescent="0.25">
      <c r="A626" s="50"/>
      <c r="B626" s="5"/>
      <c r="C626" s="5"/>
      <c r="D626" s="6"/>
      <c r="E626" s="6"/>
      <c r="F626" s="6"/>
      <c r="G626" s="6"/>
    </row>
    <row r="627" spans="1:7" ht="15.75" customHeight="1" x14ac:dyDescent="0.25">
      <c r="A627" s="50"/>
      <c r="B627" s="5"/>
      <c r="C627" s="5"/>
      <c r="D627" s="6"/>
      <c r="E627" s="6"/>
      <c r="F627" s="6"/>
      <c r="G627" s="6"/>
    </row>
    <row r="628" spans="1:7" ht="15.75" customHeight="1" x14ac:dyDescent="0.25">
      <c r="A628" s="50"/>
      <c r="B628" s="5"/>
      <c r="C628" s="5"/>
      <c r="D628" s="6"/>
      <c r="E628" s="6"/>
      <c r="F628" s="6"/>
      <c r="G628" s="6"/>
    </row>
    <row r="629" spans="1:7" ht="15.75" customHeight="1" x14ac:dyDescent="0.25">
      <c r="A629" s="50"/>
      <c r="B629" s="5"/>
      <c r="C629" s="5"/>
      <c r="D629" s="6"/>
      <c r="E629" s="6"/>
      <c r="F629" s="6"/>
      <c r="G629" s="6"/>
    </row>
    <row r="630" spans="1:7" ht="15.75" customHeight="1" x14ac:dyDescent="0.25">
      <c r="A630" s="50"/>
      <c r="B630" s="5"/>
      <c r="C630" s="5"/>
      <c r="D630" s="6"/>
      <c r="E630" s="6"/>
      <c r="F630" s="6"/>
      <c r="G630" s="6"/>
    </row>
    <row r="631" spans="1:7" ht="15.75" customHeight="1" x14ac:dyDescent="0.25">
      <c r="A631" s="50"/>
      <c r="B631" s="5"/>
      <c r="C631" s="5"/>
      <c r="D631" s="6"/>
      <c r="E631" s="6"/>
      <c r="F631" s="6"/>
      <c r="G631" s="6"/>
    </row>
    <row r="632" spans="1:7" ht="15.75" customHeight="1" x14ac:dyDescent="0.25">
      <c r="A632" s="50"/>
      <c r="B632" s="5"/>
      <c r="C632" s="5"/>
      <c r="D632" s="6"/>
      <c r="E632" s="6"/>
      <c r="F632" s="6"/>
      <c r="G632" s="6"/>
    </row>
    <row r="633" spans="1:7" ht="15.75" customHeight="1" x14ac:dyDescent="0.25">
      <c r="A633" s="50"/>
      <c r="B633" s="5"/>
      <c r="C633" s="5"/>
      <c r="D633" s="6"/>
      <c r="E633" s="6"/>
      <c r="F633" s="6"/>
      <c r="G633" s="6"/>
    </row>
    <row r="634" spans="1:7" ht="15.75" customHeight="1" x14ac:dyDescent="0.25">
      <c r="A634" s="50"/>
      <c r="B634" s="5"/>
      <c r="C634" s="5"/>
      <c r="D634" s="6"/>
      <c r="E634" s="6"/>
      <c r="F634" s="6"/>
      <c r="G634" s="6"/>
    </row>
    <row r="635" spans="1:7" ht="15.75" customHeight="1" x14ac:dyDescent="0.25">
      <c r="A635" s="50"/>
      <c r="B635" s="5"/>
      <c r="C635" s="5"/>
      <c r="D635" s="6"/>
      <c r="E635" s="6"/>
      <c r="F635" s="6"/>
      <c r="G635" s="6"/>
    </row>
    <row r="636" spans="1:7" ht="15.75" customHeight="1" x14ac:dyDescent="0.25">
      <c r="A636" s="50"/>
      <c r="B636" s="5"/>
      <c r="C636" s="5"/>
      <c r="D636" s="6"/>
      <c r="E636" s="6"/>
      <c r="F636" s="6"/>
      <c r="G636" s="6"/>
    </row>
    <row r="637" spans="1:7" ht="15.75" customHeight="1" x14ac:dyDescent="0.25">
      <c r="A637" s="50"/>
      <c r="B637" s="5"/>
      <c r="C637" s="5"/>
      <c r="D637" s="6"/>
      <c r="E637" s="6"/>
      <c r="F637" s="6"/>
      <c r="G637" s="6"/>
    </row>
    <row r="638" spans="1:7" ht="15.75" customHeight="1" x14ac:dyDescent="0.25">
      <c r="A638" s="50"/>
      <c r="B638" s="5"/>
      <c r="C638" s="5"/>
      <c r="D638" s="6"/>
      <c r="E638" s="6"/>
      <c r="F638" s="6"/>
      <c r="G638" s="6"/>
    </row>
    <row r="639" spans="1:7" ht="15.75" customHeight="1" x14ac:dyDescent="0.25">
      <c r="A639" s="50"/>
      <c r="B639" s="5"/>
      <c r="C639" s="5"/>
      <c r="D639" s="6"/>
      <c r="E639" s="6"/>
      <c r="F639" s="6"/>
      <c r="G639" s="6"/>
    </row>
    <row r="640" spans="1:7" ht="15.75" customHeight="1" x14ac:dyDescent="0.25">
      <c r="A640" s="50"/>
      <c r="B640" s="5"/>
      <c r="C640" s="5"/>
      <c r="D640" s="6"/>
      <c r="E640" s="6"/>
      <c r="F640" s="6"/>
      <c r="G640" s="6"/>
    </row>
    <row r="641" spans="1:7" ht="15.75" customHeight="1" x14ac:dyDescent="0.25">
      <c r="A641" s="50"/>
      <c r="B641" s="5"/>
      <c r="C641" s="5"/>
      <c r="D641" s="6"/>
      <c r="E641" s="6"/>
      <c r="F641" s="6"/>
      <c r="G641" s="6"/>
    </row>
    <row r="642" spans="1:7" ht="15.75" customHeight="1" x14ac:dyDescent="0.25">
      <c r="A642" s="50"/>
      <c r="B642" s="5"/>
      <c r="C642" s="5"/>
      <c r="D642" s="6"/>
      <c r="E642" s="6"/>
      <c r="F642" s="6"/>
      <c r="G642" s="6"/>
    </row>
    <row r="643" spans="1:7" ht="15.75" customHeight="1" x14ac:dyDescent="0.25">
      <c r="A643" s="50"/>
      <c r="B643" s="5"/>
      <c r="C643" s="5"/>
      <c r="D643" s="6"/>
      <c r="E643" s="6"/>
      <c r="F643" s="6"/>
      <c r="G643" s="6"/>
    </row>
    <row r="644" spans="1:7" ht="15.75" customHeight="1" x14ac:dyDescent="0.25">
      <c r="A644" s="50"/>
      <c r="B644" s="5"/>
      <c r="C644" s="5"/>
      <c r="D644" s="6"/>
      <c r="E644" s="6"/>
      <c r="F644" s="6"/>
      <c r="G644" s="6"/>
    </row>
    <row r="645" spans="1:7" ht="15.75" customHeight="1" x14ac:dyDescent="0.25">
      <c r="A645" s="50"/>
      <c r="B645" s="5"/>
      <c r="C645" s="5"/>
      <c r="D645" s="6"/>
      <c r="E645" s="6"/>
      <c r="F645" s="6"/>
      <c r="G645" s="6"/>
    </row>
    <row r="646" spans="1:7" ht="15.75" customHeight="1" x14ac:dyDescent="0.25">
      <c r="A646" s="50"/>
      <c r="B646" s="5"/>
      <c r="C646" s="5"/>
      <c r="D646" s="6"/>
      <c r="E646" s="6"/>
      <c r="F646" s="6"/>
      <c r="G646" s="6"/>
    </row>
    <row r="647" spans="1:7" ht="15.75" customHeight="1" x14ac:dyDescent="0.25">
      <c r="A647" s="50"/>
      <c r="B647" s="5"/>
      <c r="C647" s="5"/>
      <c r="D647" s="6"/>
      <c r="E647" s="6"/>
      <c r="F647" s="6"/>
      <c r="G647" s="6"/>
    </row>
    <row r="648" spans="1:7" ht="15.75" customHeight="1" x14ac:dyDescent="0.25">
      <c r="A648" s="50"/>
      <c r="B648" s="5"/>
      <c r="C648" s="5"/>
      <c r="D648" s="6"/>
      <c r="E648" s="6"/>
      <c r="F648" s="6"/>
      <c r="G648" s="6"/>
    </row>
    <row r="649" spans="1:7" ht="15.75" customHeight="1" x14ac:dyDescent="0.25">
      <c r="A649" s="50"/>
      <c r="B649" s="5"/>
      <c r="C649" s="5"/>
      <c r="D649" s="6"/>
      <c r="E649" s="6"/>
      <c r="F649" s="6"/>
      <c r="G649" s="6"/>
    </row>
    <row r="650" spans="1:7" ht="15.75" customHeight="1" x14ac:dyDescent="0.25">
      <c r="A650" s="50"/>
      <c r="B650" s="5"/>
      <c r="C650" s="5"/>
      <c r="D650" s="6"/>
      <c r="E650" s="6"/>
      <c r="F650" s="6"/>
      <c r="G650" s="6"/>
    </row>
    <row r="651" spans="1:7" ht="15.75" customHeight="1" x14ac:dyDescent="0.25">
      <c r="A651" s="50"/>
      <c r="B651" s="5"/>
      <c r="C651" s="5"/>
      <c r="D651" s="6"/>
      <c r="E651" s="6"/>
      <c r="F651" s="6"/>
      <c r="G651" s="6"/>
    </row>
    <row r="652" spans="1:7" ht="15.75" customHeight="1" x14ac:dyDescent="0.25">
      <c r="A652" s="50"/>
      <c r="B652" s="5"/>
      <c r="C652" s="5"/>
      <c r="D652" s="6"/>
      <c r="E652" s="6"/>
      <c r="F652" s="6"/>
      <c r="G652" s="6"/>
    </row>
    <row r="653" spans="1:7" ht="15.75" customHeight="1" x14ac:dyDescent="0.25">
      <c r="A653" s="50"/>
      <c r="B653" s="5"/>
      <c r="C653" s="5"/>
      <c r="D653" s="6"/>
      <c r="E653" s="6"/>
      <c r="F653" s="6"/>
      <c r="G653" s="6"/>
    </row>
    <row r="654" spans="1:7" ht="15.75" customHeight="1" x14ac:dyDescent="0.25">
      <c r="A654" s="50"/>
      <c r="B654" s="5"/>
      <c r="C654" s="5"/>
      <c r="D654" s="6"/>
      <c r="E654" s="6"/>
      <c r="F654" s="6"/>
      <c r="G654" s="6"/>
    </row>
    <row r="655" spans="1:7" ht="15.75" customHeight="1" x14ac:dyDescent="0.25">
      <c r="A655" s="50"/>
      <c r="B655" s="5"/>
      <c r="C655" s="5"/>
      <c r="D655" s="6"/>
      <c r="E655" s="6"/>
      <c r="F655" s="6"/>
      <c r="G655" s="6"/>
    </row>
    <row r="656" spans="1:7" ht="15.75" customHeight="1" x14ac:dyDescent="0.25">
      <c r="A656" s="50"/>
      <c r="B656" s="5"/>
      <c r="C656" s="5"/>
      <c r="D656" s="6"/>
      <c r="E656" s="6"/>
      <c r="F656" s="6"/>
      <c r="G656" s="6"/>
    </row>
    <row r="657" spans="1:7" ht="15.75" customHeight="1" x14ac:dyDescent="0.25">
      <c r="A657" s="50"/>
      <c r="B657" s="5"/>
      <c r="C657" s="5"/>
      <c r="D657" s="6"/>
      <c r="E657" s="6"/>
      <c r="F657" s="6"/>
      <c r="G657" s="6"/>
    </row>
    <row r="658" spans="1:7" ht="15.75" customHeight="1" x14ac:dyDescent="0.25">
      <c r="A658" s="50"/>
      <c r="B658" s="5"/>
      <c r="C658" s="5"/>
      <c r="D658" s="6"/>
      <c r="E658" s="6"/>
      <c r="F658" s="6"/>
      <c r="G658" s="6"/>
    </row>
    <row r="659" spans="1:7" ht="15.75" customHeight="1" x14ac:dyDescent="0.25">
      <c r="A659" s="50"/>
      <c r="B659" s="5"/>
      <c r="C659" s="5"/>
      <c r="D659" s="6"/>
      <c r="E659" s="6"/>
      <c r="F659" s="6"/>
      <c r="G659" s="6"/>
    </row>
    <row r="660" spans="1:7" ht="15.75" customHeight="1" x14ac:dyDescent="0.25">
      <c r="A660" s="50"/>
      <c r="B660" s="5"/>
      <c r="C660" s="5"/>
      <c r="D660" s="6"/>
      <c r="E660" s="6"/>
      <c r="F660" s="6"/>
      <c r="G660" s="6"/>
    </row>
    <row r="661" spans="1:7" ht="15.75" customHeight="1" x14ac:dyDescent="0.25">
      <c r="A661" s="50"/>
      <c r="B661" s="5"/>
      <c r="C661" s="5"/>
      <c r="D661" s="6"/>
      <c r="E661" s="6"/>
      <c r="F661" s="6"/>
      <c r="G661" s="6"/>
    </row>
    <row r="662" spans="1:7" ht="15.75" customHeight="1" x14ac:dyDescent="0.25">
      <c r="A662" s="50"/>
      <c r="B662" s="5"/>
      <c r="C662" s="5"/>
      <c r="D662" s="6"/>
      <c r="E662" s="6"/>
      <c r="F662" s="6"/>
      <c r="G662" s="6"/>
    </row>
    <row r="663" spans="1:7" ht="15.75" customHeight="1" x14ac:dyDescent="0.25">
      <c r="A663" s="50"/>
      <c r="B663" s="5"/>
      <c r="C663" s="5"/>
      <c r="D663" s="6"/>
      <c r="E663" s="6"/>
      <c r="F663" s="6"/>
      <c r="G663" s="6"/>
    </row>
    <row r="664" spans="1:7" ht="15.75" customHeight="1" x14ac:dyDescent="0.25">
      <c r="A664" s="50"/>
      <c r="B664" s="5"/>
      <c r="C664" s="5"/>
      <c r="D664" s="6"/>
      <c r="E664" s="6"/>
      <c r="F664" s="6"/>
      <c r="G664" s="6"/>
    </row>
    <row r="665" spans="1:7" ht="15.75" customHeight="1" x14ac:dyDescent="0.25">
      <c r="A665" s="50"/>
      <c r="B665" s="5"/>
      <c r="C665" s="5"/>
      <c r="D665" s="6"/>
      <c r="E665" s="6"/>
      <c r="F665" s="6"/>
      <c r="G665" s="6"/>
    </row>
    <row r="666" spans="1:7" ht="15.75" customHeight="1" x14ac:dyDescent="0.25">
      <c r="A666" s="50"/>
      <c r="B666" s="5"/>
      <c r="C666" s="5"/>
      <c r="D666" s="6"/>
      <c r="E666" s="6"/>
      <c r="F666" s="6"/>
      <c r="G666" s="6"/>
    </row>
    <row r="667" spans="1:7" ht="15.75" customHeight="1" x14ac:dyDescent="0.25">
      <c r="A667" s="50"/>
      <c r="B667" s="5"/>
      <c r="C667" s="5"/>
      <c r="D667" s="6"/>
      <c r="E667" s="6"/>
      <c r="F667" s="6"/>
      <c r="G667" s="6"/>
    </row>
    <row r="668" spans="1:7" ht="15.75" customHeight="1" x14ac:dyDescent="0.25">
      <c r="A668" s="50"/>
      <c r="B668" s="5"/>
      <c r="C668" s="5"/>
      <c r="D668" s="6"/>
      <c r="E668" s="6"/>
      <c r="F668" s="6"/>
      <c r="G668" s="6"/>
    </row>
    <row r="669" spans="1:7" ht="15.75" customHeight="1" x14ac:dyDescent="0.25">
      <c r="A669" s="50"/>
      <c r="B669" s="5"/>
      <c r="C669" s="5"/>
      <c r="D669" s="6"/>
      <c r="E669" s="6"/>
      <c r="F669" s="6"/>
      <c r="G669" s="6"/>
    </row>
    <row r="670" spans="1:7" ht="15.75" customHeight="1" x14ac:dyDescent="0.25">
      <c r="A670" s="50"/>
      <c r="B670" s="5"/>
      <c r="C670" s="5"/>
      <c r="D670" s="6"/>
      <c r="E670" s="6"/>
      <c r="F670" s="6"/>
      <c r="G670" s="6"/>
    </row>
    <row r="671" spans="1:7" ht="15.75" customHeight="1" x14ac:dyDescent="0.25">
      <c r="A671" s="50"/>
      <c r="B671" s="5"/>
      <c r="C671" s="5"/>
      <c r="D671" s="6"/>
      <c r="E671" s="6"/>
      <c r="F671" s="6"/>
      <c r="G671" s="6"/>
    </row>
    <row r="672" spans="1:7" ht="15.75" customHeight="1" x14ac:dyDescent="0.25">
      <c r="A672" s="50"/>
      <c r="B672" s="5"/>
      <c r="C672" s="5"/>
      <c r="D672" s="6"/>
      <c r="E672" s="6"/>
      <c r="F672" s="6"/>
      <c r="G672" s="6"/>
    </row>
    <row r="673" spans="1:7" ht="15.75" customHeight="1" x14ac:dyDescent="0.25">
      <c r="A673" s="50"/>
      <c r="B673" s="5"/>
      <c r="C673" s="5"/>
      <c r="D673" s="6"/>
      <c r="E673" s="6"/>
      <c r="F673" s="6"/>
      <c r="G673" s="6"/>
    </row>
    <row r="674" spans="1:7" ht="15.75" customHeight="1" x14ac:dyDescent="0.25">
      <c r="A674" s="50"/>
      <c r="B674" s="5"/>
      <c r="C674" s="5"/>
      <c r="D674" s="6"/>
      <c r="E674" s="6"/>
      <c r="F674" s="6"/>
      <c r="G674" s="6"/>
    </row>
    <row r="675" spans="1:7" ht="15.75" customHeight="1" x14ac:dyDescent="0.25">
      <c r="A675" s="50"/>
      <c r="B675" s="5"/>
      <c r="C675" s="5"/>
      <c r="D675" s="6"/>
      <c r="E675" s="6"/>
      <c r="F675" s="6"/>
      <c r="G675" s="6"/>
    </row>
    <row r="676" spans="1:7" ht="15.75" customHeight="1" x14ac:dyDescent="0.25">
      <c r="A676" s="50"/>
      <c r="B676" s="5"/>
      <c r="C676" s="5"/>
      <c r="D676" s="6"/>
      <c r="E676" s="6"/>
      <c r="F676" s="6"/>
      <c r="G676" s="6"/>
    </row>
    <row r="677" spans="1:7" ht="15.75" customHeight="1" x14ac:dyDescent="0.25">
      <c r="A677" s="50"/>
      <c r="B677" s="5"/>
      <c r="C677" s="5"/>
      <c r="D677" s="6"/>
      <c r="E677" s="6"/>
      <c r="F677" s="6"/>
      <c r="G677" s="6"/>
    </row>
    <row r="678" spans="1:7" ht="15.75" customHeight="1" x14ac:dyDescent="0.25">
      <c r="A678" s="50"/>
      <c r="B678" s="5"/>
      <c r="C678" s="5"/>
      <c r="D678" s="6"/>
      <c r="E678" s="6"/>
      <c r="F678" s="6"/>
      <c r="G678" s="6"/>
    </row>
    <row r="679" spans="1:7" ht="15.75" customHeight="1" x14ac:dyDescent="0.25">
      <c r="A679" s="50"/>
      <c r="B679" s="5"/>
      <c r="C679" s="5"/>
      <c r="D679" s="6"/>
      <c r="E679" s="6"/>
      <c r="F679" s="6"/>
      <c r="G679" s="6"/>
    </row>
    <row r="680" spans="1:7" ht="15.75" customHeight="1" x14ac:dyDescent="0.25">
      <c r="A680" s="50"/>
      <c r="B680" s="5"/>
      <c r="C680" s="5"/>
      <c r="D680" s="6"/>
      <c r="E680" s="6"/>
      <c r="F680" s="6"/>
      <c r="G680" s="6"/>
    </row>
    <row r="681" spans="1:7" ht="15.75" customHeight="1" x14ac:dyDescent="0.25">
      <c r="A681" s="50"/>
      <c r="B681" s="5"/>
      <c r="C681" s="5"/>
      <c r="D681" s="6"/>
      <c r="E681" s="6"/>
      <c r="F681" s="6"/>
      <c r="G681" s="6"/>
    </row>
    <row r="682" spans="1:7" ht="15.75" customHeight="1" x14ac:dyDescent="0.25">
      <c r="A682" s="50"/>
      <c r="B682" s="5"/>
      <c r="C682" s="5"/>
      <c r="D682" s="6"/>
      <c r="E682" s="6"/>
      <c r="F682" s="6"/>
      <c r="G682" s="6"/>
    </row>
    <row r="683" spans="1:7" ht="15.75" customHeight="1" x14ac:dyDescent="0.25">
      <c r="A683" s="50"/>
      <c r="B683" s="5"/>
      <c r="C683" s="5"/>
      <c r="D683" s="6"/>
      <c r="E683" s="6"/>
      <c r="F683" s="6"/>
      <c r="G683" s="6"/>
    </row>
    <row r="684" spans="1:7" ht="15.75" customHeight="1" x14ac:dyDescent="0.25">
      <c r="A684" s="50"/>
      <c r="B684" s="5"/>
      <c r="C684" s="5"/>
      <c r="D684" s="6"/>
      <c r="E684" s="6"/>
      <c r="F684" s="6"/>
      <c r="G684" s="6"/>
    </row>
    <row r="685" spans="1:7" ht="15.75" customHeight="1" x14ac:dyDescent="0.25">
      <c r="A685" s="50"/>
      <c r="B685" s="5"/>
      <c r="C685" s="5"/>
      <c r="D685" s="6"/>
      <c r="E685" s="6"/>
      <c r="F685" s="6"/>
      <c r="G685" s="6"/>
    </row>
    <row r="686" spans="1:7" ht="15.75" customHeight="1" x14ac:dyDescent="0.25">
      <c r="A686" s="50"/>
      <c r="B686" s="5"/>
      <c r="C686" s="5"/>
      <c r="D686" s="6"/>
      <c r="E686" s="6"/>
      <c r="F686" s="6"/>
      <c r="G686" s="6"/>
    </row>
    <row r="687" spans="1:7" ht="15.75" customHeight="1" x14ac:dyDescent="0.25">
      <c r="A687" s="50"/>
      <c r="B687" s="5"/>
      <c r="C687" s="5"/>
      <c r="D687" s="6"/>
      <c r="E687" s="6"/>
      <c r="F687" s="6"/>
      <c r="G687" s="6"/>
    </row>
    <row r="688" spans="1:7" ht="15.75" customHeight="1" x14ac:dyDescent="0.25">
      <c r="A688" s="50"/>
      <c r="B688" s="5"/>
      <c r="C688" s="5"/>
      <c r="D688" s="6"/>
      <c r="E688" s="6"/>
      <c r="F688" s="6"/>
      <c r="G688" s="6"/>
    </row>
    <row r="689" spans="1:7" ht="15.75" customHeight="1" x14ac:dyDescent="0.25">
      <c r="A689" s="50"/>
      <c r="B689" s="5"/>
      <c r="C689" s="5"/>
      <c r="D689" s="6"/>
      <c r="E689" s="6"/>
      <c r="F689" s="6"/>
      <c r="G689" s="6"/>
    </row>
    <row r="690" spans="1:7" ht="15.75" customHeight="1" x14ac:dyDescent="0.25">
      <c r="A690" s="50"/>
      <c r="B690" s="5"/>
      <c r="C690" s="5"/>
      <c r="D690" s="6"/>
      <c r="E690" s="6"/>
      <c r="F690" s="6"/>
      <c r="G690" s="6"/>
    </row>
    <row r="691" spans="1:7" ht="15.75" customHeight="1" x14ac:dyDescent="0.25">
      <c r="A691" s="50"/>
      <c r="B691" s="5"/>
      <c r="C691" s="5"/>
      <c r="D691" s="6"/>
      <c r="E691" s="6"/>
      <c r="F691" s="6"/>
      <c r="G691" s="6"/>
    </row>
    <row r="692" spans="1:7" ht="15.75" customHeight="1" x14ac:dyDescent="0.25">
      <c r="A692" s="50"/>
      <c r="B692" s="5"/>
      <c r="C692" s="5"/>
      <c r="D692" s="6"/>
      <c r="E692" s="6"/>
      <c r="F692" s="6"/>
      <c r="G692" s="6"/>
    </row>
    <row r="693" spans="1:7" ht="15.75" customHeight="1" x14ac:dyDescent="0.25">
      <c r="A693" s="50"/>
      <c r="B693" s="5"/>
      <c r="C693" s="5"/>
      <c r="D693" s="6"/>
      <c r="E693" s="6"/>
      <c r="F693" s="6"/>
      <c r="G693" s="6"/>
    </row>
    <row r="694" spans="1:7" ht="15.75" customHeight="1" x14ac:dyDescent="0.25">
      <c r="A694" s="50"/>
      <c r="B694" s="5"/>
      <c r="C694" s="5"/>
      <c r="D694" s="6"/>
      <c r="E694" s="6"/>
      <c r="F694" s="6"/>
      <c r="G694" s="6"/>
    </row>
    <row r="695" spans="1:7" ht="15.75" customHeight="1" x14ac:dyDescent="0.25">
      <c r="A695" s="50"/>
      <c r="B695" s="5"/>
      <c r="C695" s="5"/>
      <c r="D695" s="6"/>
      <c r="E695" s="6"/>
      <c r="F695" s="6"/>
      <c r="G695" s="6"/>
    </row>
    <row r="696" spans="1:7" ht="15.75" customHeight="1" x14ac:dyDescent="0.25">
      <c r="A696" s="50"/>
      <c r="B696" s="5"/>
      <c r="C696" s="5"/>
      <c r="D696" s="6"/>
      <c r="E696" s="6"/>
      <c r="F696" s="6"/>
      <c r="G696" s="6"/>
    </row>
    <row r="697" spans="1:7" ht="15.75" customHeight="1" x14ac:dyDescent="0.25">
      <c r="A697" s="50"/>
      <c r="B697" s="5"/>
      <c r="C697" s="5"/>
      <c r="D697" s="6"/>
      <c r="E697" s="6"/>
      <c r="F697" s="6"/>
      <c r="G697" s="6"/>
    </row>
    <row r="698" spans="1:7" ht="15.75" customHeight="1" x14ac:dyDescent="0.25">
      <c r="A698" s="50"/>
      <c r="B698" s="5"/>
      <c r="C698" s="5"/>
      <c r="D698" s="6"/>
      <c r="E698" s="6"/>
      <c r="F698" s="6"/>
      <c r="G698" s="6"/>
    </row>
    <row r="699" spans="1:7" ht="15.75" customHeight="1" x14ac:dyDescent="0.25">
      <c r="A699" s="50"/>
      <c r="B699" s="5"/>
      <c r="C699" s="5"/>
      <c r="D699" s="6"/>
      <c r="E699" s="6"/>
      <c r="F699" s="6"/>
      <c r="G699" s="6"/>
    </row>
    <row r="700" spans="1:7" ht="15.75" customHeight="1" x14ac:dyDescent="0.25">
      <c r="A700" s="50"/>
      <c r="B700" s="5"/>
      <c r="C700" s="5"/>
      <c r="D700" s="6"/>
      <c r="E700" s="6"/>
      <c r="F700" s="6"/>
      <c r="G700" s="6"/>
    </row>
    <row r="701" spans="1:7" ht="15.75" customHeight="1" x14ac:dyDescent="0.25">
      <c r="A701" s="50"/>
      <c r="B701" s="5"/>
      <c r="C701" s="5"/>
      <c r="D701" s="6"/>
      <c r="E701" s="6"/>
      <c r="F701" s="6"/>
      <c r="G701" s="6"/>
    </row>
    <row r="702" spans="1:7" ht="15.75" customHeight="1" x14ac:dyDescent="0.25">
      <c r="A702" s="50"/>
      <c r="B702" s="5"/>
      <c r="C702" s="5"/>
      <c r="D702" s="6"/>
      <c r="E702" s="6"/>
      <c r="F702" s="6"/>
      <c r="G702" s="6"/>
    </row>
    <row r="703" spans="1:7" ht="15.75" customHeight="1" x14ac:dyDescent="0.25">
      <c r="A703" s="50"/>
      <c r="B703" s="5"/>
      <c r="C703" s="5"/>
      <c r="D703" s="6"/>
      <c r="E703" s="6"/>
      <c r="F703" s="6"/>
      <c r="G703" s="6"/>
    </row>
    <row r="704" spans="1:7" ht="15.75" customHeight="1" x14ac:dyDescent="0.25">
      <c r="A704" s="50"/>
      <c r="B704" s="5"/>
      <c r="C704" s="5"/>
      <c r="D704" s="6"/>
      <c r="E704" s="6"/>
      <c r="F704" s="6"/>
      <c r="G704" s="6"/>
    </row>
    <row r="705" spans="1:7" ht="15.75" customHeight="1" x14ac:dyDescent="0.25">
      <c r="A705" s="50"/>
      <c r="B705" s="5"/>
      <c r="C705" s="5"/>
      <c r="D705" s="6"/>
      <c r="E705" s="6"/>
      <c r="F705" s="6"/>
      <c r="G705" s="6"/>
    </row>
    <row r="706" spans="1:7" ht="15.75" customHeight="1" x14ac:dyDescent="0.25">
      <c r="A706" s="50"/>
      <c r="B706" s="5"/>
      <c r="C706" s="5"/>
      <c r="D706" s="6"/>
      <c r="E706" s="6"/>
      <c r="F706" s="6"/>
      <c r="G706" s="6"/>
    </row>
    <row r="707" spans="1:7" ht="15.75" customHeight="1" x14ac:dyDescent="0.25">
      <c r="A707" s="50"/>
      <c r="B707" s="5"/>
      <c r="C707" s="5"/>
      <c r="D707" s="6"/>
      <c r="E707" s="6"/>
      <c r="F707" s="6"/>
      <c r="G707" s="6"/>
    </row>
    <row r="708" spans="1:7" ht="15.75" customHeight="1" x14ac:dyDescent="0.25">
      <c r="A708" s="50"/>
      <c r="B708" s="5"/>
      <c r="C708" s="5"/>
      <c r="D708" s="6"/>
      <c r="E708" s="6"/>
      <c r="F708" s="6"/>
      <c r="G708" s="6"/>
    </row>
    <row r="709" spans="1:7" ht="15.75" customHeight="1" x14ac:dyDescent="0.25">
      <c r="A709" s="50"/>
      <c r="B709" s="5"/>
      <c r="C709" s="5"/>
      <c r="D709" s="6"/>
      <c r="E709" s="6"/>
      <c r="F709" s="6"/>
      <c r="G709" s="6"/>
    </row>
    <row r="710" spans="1:7" ht="15.75" customHeight="1" x14ac:dyDescent="0.25">
      <c r="A710" s="50"/>
      <c r="B710" s="5"/>
      <c r="C710" s="5"/>
      <c r="D710" s="6"/>
      <c r="E710" s="6"/>
      <c r="F710" s="6"/>
      <c r="G710" s="6"/>
    </row>
    <row r="711" spans="1:7" ht="15.75" customHeight="1" x14ac:dyDescent="0.25">
      <c r="A711" s="50"/>
      <c r="B711" s="5"/>
      <c r="C711" s="5"/>
      <c r="D711" s="6"/>
      <c r="E711" s="6"/>
      <c r="F711" s="6"/>
      <c r="G711" s="6"/>
    </row>
    <row r="712" spans="1:7" ht="15.75" customHeight="1" x14ac:dyDescent="0.25">
      <c r="A712" s="50"/>
      <c r="B712" s="5"/>
      <c r="C712" s="5"/>
      <c r="D712" s="6"/>
      <c r="E712" s="6"/>
      <c r="F712" s="6"/>
      <c r="G712" s="6"/>
    </row>
    <row r="713" spans="1:7" ht="15.75" customHeight="1" x14ac:dyDescent="0.25">
      <c r="A713" s="50"/>
      <c r="B713" s="5"/>
      <c r="C713" s="5"/>
      <c r="D713" s="6"/>
      <c r="E713" s="6"/>
      <c r="F713" s="6"/>
      <c r="G713" s="6"/>
    </row>
    <row r="714" spans="1:7" ht="15.75" customHeight="1" x14ac:dyDescent="0.25">
      <c r="A714" s="50"/>
      <c r="B714" s="5"/>
      <c r="C714" s="5"/>
      <c r="D714" s="6"/>
      <c r="E714" s="6"/>
      <c r="F714" s="6"/>
      <c r="G714" s="6"/>
    </row>
    <row r="715" spans="1:7" ht="15.75" customHeight="1" x14ac:dyDescent="0.25">
      <c r="A715" s="50"/>
      <c r="B715" s="5"/>
      <c r="C715" s="5"/>
      <c r="D715" s="6"/>
      <c r="E715" s="6"/>
      <c r="F715" s="6"/>
      <c r="G715" s="6"/>
    </row>
    <row r="716" spans="1:7" ht="15.75" customHeight="1" x14ac:dyDescent="0.25">
      <c r="A716" s="50"/>
      <c r="B716" s="5"/>
      <c r="C716" s="5"/>
      <c r="D716" s="6"/>
      <c r="E716" s="6"/>
      <c r="F716" s="6"/>
      <c r="G716" s="6"/>
    </row>
    <row r="717" spans="1:7" ht="15.75" customHeight="1" x14ac:dyDescent="0.25">
      <c r="A717" s="50"/>
      <c r="B717" s="5"/>
      <c r="C717" s="5"/>
      <c r="D717" s="6"/>
      <c r="E717" s="6"/>
      <c r="F717" s="6"/>
      <c r="G717" s="6"/>
    </row>
    <row r="718" spans="1:7" ht="15.75" customHeight="1" x14ac:dyDescent="0.25">
      <c r="A718" s="50"/>
      <c r="B718" s="5"/>
      <c r="C718" s="5"/>
      <c r="D718" s="6"/>
      <c r="E718" s="6"/>
      <c r="F718" s="6"/>
      <c r="G718" s="6"/>
    </row>
    <row r="719" spans="1:7" ht="15.75" customHeight="1" x14ac:dyDescent="0.25">
      <c r="A719" s="50"/>
      <c r="B719" s="5"/>
      <c r="C719" s="5"/>
      <c r="D719" s="6"/>
      <c r="E719" s="6"/>
      <c r="F719" s="6"/>
      <c r="G719" s="6"/>
    </row>
    <row r="720" spans="1:7" ht="15.75" customHeight="1" x14ac:dyDescent="0.25">
      <c r="A720" s="50"/>
      <c r="B720" s="5"/>
      <c r="C720" s="5"/>
      <c r="D720" s="6"/>
      <c r="E720" s="6"/>
      <c r="F720" s="6"/>
      <c r="G720" s="6"/>
    </row>
    <row r="721" spans="1:7" ht="15.75" customHeight="1" x14ac:dyDescent="0.25">
      <c r="A721" s="50"/>
      <c r="B721" s="5"/>
      <c r="C721" s="5"/>
      <c r="D721" s="6"/>
      <c r="E721" s="6"/>
      <c r="F721" s="6"/>
      <c r="G721" s="6"/>
    </row>
    <row r="722" spans="1:7" ht="15.75" customHeight="1" x14ac:dyDescent="0.25">
      <c r="A722" s="50"/>
      <c r="B722" s="5"/>
      <c r="C722" s="5"/>
      <c r="D722" s="6"/>
      <c r="E722" s="6"/>
      <c r="F722" s="6"/>
      <c r="G722" s="6"/>
    </row>
    <row r="723" spans="1:7" ht="15.75" customHeight="1" x14ac:dyDescent="0.25">
      <c r="A723" s="50"/>
      <c r="B723" s="5"/>
      <c r="C723" s="5"/>
      <c r="D723" s="6"/>
      <c r="E723" s="6"/>
      <c r="F723" s="6"/>
      <c r="G723" s="6"/>
    </row>
    <row r="724" spans="1:7" ht="15.75" customHeight="1" x14ac:dyDescent="0.25">
      <c r="A724" s="50"/>
      <c r="B724" s="5"/>
      <c r="C724" s="5"/>
      <c r="D724" s="6"/>
      <c r="E724" s="6"/>
      <c r="F724" s="6"/>
      <c r="G724" s="6"/>
    </row>
    <row r="725" spans="1:7" ht="15.75" customHeight="1" x14ac:dyDescent="0.25">
      <c r="A725" s="50"/>
      <c r="B725" s="5"/>
      <c r="C725" s="5"/>
      <c r="D725" s="6"/>
      <c r="E725" s="6"/>
      <c r="F725" s="6"/>
      <c r="G725" s="6"/>
    </row>
    <row r="726" spans="1:7" ht="15.75" customHeight="1" x14ac:dyDescent="0.25">
      <c r="A726" s="50"/>
      <c r="B726" s="5"/>
      <c r="C726" s="5"/>
      <c r="D726" s="6"/>
      <c r="E726" s="6"/>
      <c r="F726" s="6"/>
      <c r="G726" s="6"/>
    </row>
    <row r="727" spans="1:7" ht="15.75" customHeight="1" x14ac:dyDescent="0.25">
      <c r="A727" s="50"/>
      <c r="B727" s="5"/>
      <c r="C727" s="5"/>
      <c r="D727" s="6"/>
      <c r="E727" s="6"/>
      <c r="F727" s="6"/>
      <c r="G727" s="6"/>
    </row>
    <row r="728" spans="1:7" ht="15.75" customHeight="1" x14ac:dyDescent="0.25">
      <c r="A728" s="50"/>
      <c r="B728" s="5"/>
      <c r="C728" s="5"/>
      <c r="D728" s="6"/>
      <c r="E728" s="6"/>
      <c r="F728" s="6"/>
      <c r="G728" s="6"/>
    </row>
    <row r="729" spans="1:7" ht="15.75" customHeight="1" x14ac:dyDescent="0.25">
      <c r="A729" s="50"/>
      <c r="B729" s="5"/>
      <c r="C729" s="5"/>
      <c r="D729" s="6"/>
      <c r="E729" s="6"/>
      <c r="F729" s="6"/>
      <c r="G729" s="6"/>
    </row>
    <row r="730" spans="1:7" ht="15.75" customHeight="1" x14ac:dyDescent="0.25">
      <c r="A730" s="50"/>
      <c r="B730" s="5"/>
      <c r="C730" s="5"/>
      <c r="D730" s="6"/>
      <c r="E730" s="6"/>
      <c r="F730" s="6"/>
      <c r="G730" s="6"/>
    </row>
    <row r="731" spans="1:7" ht="15.75" customHeight="1" x14ac:dyDescent="0.25">
      <c r="A731" s="50"/>
      <c r="B731" s="5"/>
      <c r="C731" s="5"/>
      <c r="D731" s="6"/>
      <c r="E731" s="6"/>
      <c r="F731" s="6"/>
      <c r="G731" s="6"/>
    </row>
    <row r="732" spans="1:7" ht="15.75" customHeight="1" x14ac:dyDescent="0.25">
      <c r="A732" s="50"/>
      <c r="B732" s="5"/>
      <c r="C732" s="5"/>
      <c r="D732" s="6"/>
      <c r="E732" s="6"/>
      <c r="F732" s="6"/>
      <c r="G732" s="6"/>
    </row>
    <row r="733" spans="1:7" ht="15.75" customHeight="1" x14ac:dyDescent="0.25">
      <c r="A733" s="50"/>
      <c r="B733" s="5"/>
      <c r="C733" s="5"/>
      <c r="D733" s="6"/>
      <c r="E733" s="6"/>
      <c r="F733" s="6"/>
      <c r="G733" s="6"/>
    </row>
    <row r="734" spans="1:7" ht="15.75" customHeight="1" x14ac:dyDescent="0.25">
      <c r="A734" s="50"/>
      <c r="B734" s="5"/>
      <c r="C734" s="5"/>
      <c r="D734" s="6"/>
      <c r="E734" s="6"/>
      <c r="F734" s="6"/>
      <c r="G734" s="6"/>
    </row>
    <row r="735" spans="1:7" ht="15.75" customHeight="1" x14ac:dyDescent="0.25">
      <c r="A735" s="50"/>
      <c r="B735" s="5"/>
      <c r="C735" s="5"/>
      <c r="D735" s="6"/>
      <c r="E735" s="6"/>
      <c r="F735" s="6"/>
      <c r="G735" s="6"/>
    </row>
    <row r="736" spans="1:7" ht="15.75" customHeight="1" x14ac:dyDescent="0.25">
      <c r="A736" s="50"/>
      <c r="B736" s="5"/>
      <c r="C736" s="5"/>
      <c r="D736" s="6"/>
      <c r="E736" s="6"/>
      <c r="F736" s="6"/>
      <c r="G736" s="6"/>
    </row>
    <row r="737" spans="1:7" ht="15.75" customHeight="1" x14ac:dyDescent="0.25">
      <c r="A737" s="50"/>
      <c r="B737" s="5"/>
      <c r="C737" s="5"/>
      <c r="D737" s="6"/>
      <c r="E737" s="6"/>
      <c r="F737" s="6"/>
      <c r="G737" s="6"/>
    </row>
    <row r="738" spans="1:7" ht="15.75" customHeight="1" x14ac:dyDescent="0.25">
      <c r="A738" s="50"/>
      <c r="B738" s="5"/>
      <c r="C738" s="5"/>
      <c r="D738" s="6"/>
      <c r="E738" s="6"/>
      <c r="F738" s="6"/>
      <c r="G738" s="6"/>
    </row>
    <row r="739" spans="1:7" ht="15.75" customHeight="1" x14ac:dyDescent="0.25">
      <c r="A739" s="50"/>
      <c r="B739" s="5"/>
      <c r="C739" s="5"/>
      <c r="D739" s="6"/>
      <c r="E739" s="6"/>
      <c r="F739" s="6"/>
      <c r="G739" s="6"/>
    </row>
    <row r="740" spans="1:7" ht="15.75" customHeight="1" x14ac:dyDescent="0.25">
      <c r="A740" s="50"/>
      <c r="B740" s="5"/>
      <c r="C740" s="5"/>
      <c r="D740" s="6"/>
      <c r="E740" s="6"/>
      <c r="F740" s="6"/>
      <c r="G740" s="6"/>
    </row>
    <row r="741" spans="1:7" ht="15.75" customHeight="1" x14ac:dyDescent="0.25">
      <c r="A741" s="50"/>
      <c r="B741" s="5"/>
      <c r="C741" s="5"/>
      <c r="D741" s="6"/>
      <c r="E741" s="6"/>
      <c r="F741" s="6"/>
      <c r="G741" s="6"/>
    </row>
    <row r="742" spans="1:7" ht="15.75" customHeight="1" x14ac:dyDescent="0.25">
      <c r="A742" s="50"/>
      <c r="B742" s="5"/>
      <c r="C742" s="5"/>
      <c r="D742" s="6"/>
      <c r="E742" s="6"/>
      <c r="F742" s="6"/>
      <c r="G742" s="6"/>
    </row>
    <row r="743" spans="1:7" ht="15.75" customHeight="1" x14ac:dyDescent="0.25">
      <c r="A743" s="50"/>
      <c r="B743" s="5"/>
      <c r="C743" s="5"/>
      <c r="D743" s="6"/>
      <c r="E743" s="6"/>
      <c r="F743" s="6"/>
      <c r="G743" s="6"/>
    </row>
    <row r="744" spans="1:7" ht="15.75" customHeight="1" x14ac:dyDescent="0.25">
      <c r="A744" s="50"/>
      <c r="B744" s="5"/>
      <c r="C744" s="5"/>
      <c r="D744" s="6"/>
      <c r="E744" s="6"/>
      <c r="F744" s="6"/>
      <c r="G744" s="6"/>
    </row>
    <row r="745" spans="1:7" ht="15.75" customHeight="1" x14ac:dyDescent="0.25">
      <c r="A745" s="50"/>
      <c r="B745" s="5"/>
      <c r="C745" s="5"/>
      <c r="D745" s="6"/>
      <c r="E745" s="6"/>
      <c r="F745" s="6"/>
      <c r="G745" s="6"/>
    </row>
    <row r="746" spans="1:7" ht="15.75" customHeight="1" x14ac:dyDescent="0.25">
      <c r="A746" s="50"/>
      <c r="B746" s="5"/>
      <c r="C746" s="5"/>
      <c r="D746" s="6"/>
      <c r="E746" s="6"/>
      <c r="F746" s="6"/>
      <c r="G746" s="6"/>
    </row>
    <row r="747" spans="1:7" ht="15.75" customHeight="1" x14ac:dyDescent="0.25">
      <c r="A747" s="50"/>
      <c r="B747" s="5"/>
      <c r="C747" s="5"/>
      <c r="D747" s="6"/>
      <c r="E747" s="6"/>
      <c r="F747" s="6"/>
      <c r="G747" s="6"/>
    </row>
    <row r="748" spans="1:7" ht="15.75" customHeight="1" x14ac:dyDescent="0.25">
      <c r="A748" s="50"/>
      <c r="B748" s="5"/>
      <c r="C748" s="5"/>
      <c r="D748" s="6"/>
      <c r="E748" s="6"/>
      <c r="F748" s="6"/>
      <c r="G748" s="6"/>
    </row>
    <row r="749" spans="1:7" ht="15.75" customHeight="1" x14ac:dyDescent="0.25">
      <c r="A749" s="50"/>
      <c r="B749" s="5"/>
      <c r="C749" s="5"/>
      <c r="D749" s="6"/>
      <c r="E749" s="6"/>
      <c r="F749" s="6"/>
      <c r="G749" s="6"/>
    </row>
    <row r="750" spans="1:7" ht="15.75" customHeight="1" x14ac:dyDescent="0.25">
      <c r="A750" s="50"/>
      <c r="B750" s="5"/>
      <c r="C750" s="5"/>
      <c r="D750" s="6"/>
      <c r="E750" s="6"/>
      <c r="F750" s="6"/>
      <c r="G750" s="6"/>
    </row>
    <row r="751" spans="1:7" ht="15.75" customHeight="1" x14ac:dyDescent="0.25">
      <c r="A751" s="50"/>
      <c r="B751" s="5"/>
      <c r="C751" s="5"/>
      <c r="D751" s="6"/>
      <c r="E751" s="6"/>
      <c r="F751" s="6"/>
      <c r="G751" s="6"/>
    </row>
    <row r="752" spans="1:7" ht="15.75" customHeight="1" x14ac:dyDescent="0.25">
      <c r="A752" s="50"/>
      <c r="B752" s="5"/>
      <c r="C752" s="5"/>
      <c r="D752" s="6"/>
      <c r="E752" s="6"/>
      <c r="F752" s="6"/>
      <c r="G752" s="6"/>
    </row>
    <row r="753" spans="1:7" ht="15.75" customHeight="1" x14ac:dyDescent="0.25">
      <c r="A753" s="50"/>
      <c r="B753" s="5"/>
      <c r="C753" s="5"/>
      <c r="D753" s="6"/>
      <c r="E753" s="6"/>
      <c r="F753" s="6"/>
      <c r="G753" s="6"/>
    </row>
    <row r="754" spans="1:7" ht="15.75" customHeight="1" x14ac:dyDescent="0.25">
      <c r="A754" s="50"/>
      <c r="B754" s="5"/>
      <c r="C754" s="5"/>
      <c r="D754" s="6"/>
      <c r="E754" s="6"/>
      <c r="F754" s="6"/>
      <c r="G754" s="6"/>
    </row>
    <row r="755" spans="1:7" ht="15.75" customHeight="1" x14ac:dyDescent="0.25">
      <c r="A755" s="50"/>
      <c r="B755" s="5"/>
      <c r="C755" s="5"/>
      <c r="D755" s="6"/>
      <c r="E755" s="6"/>
      <c r="F755" s="6"/>
      <c r="G755" s="6"/>
    </row>
    <row r="756" spans="1:7" ht="15.75" customHeight="1" x14ac:dyDescent="0.25">
      <c r="A756" s="50"/>
      <c r="B756" s="5"/>
      <c r="C756" s="5"/>
      <c r="D756" s="6"/>
      <c r="E756" s="6"/>
      <c r="F756" s="6"/>
      <c r="G756" s="6"/>
    </row>
    <row r="757" spans="1:7" ht="15.75" customHeight="1" x14ac:dyDescent="0.25">
      <c r="A757" s="50"/>
      <c r="B757" s="5"/>
      <c r="C757" s="5"/>
      <c r="D757" s="6"/>
      <c r="E757" s="6"/>
      <c r="F757" s="6"/>
      <c r="G757" s="6"/>
    </row>
    <row r="758" spans="1:7" ht="15.75" customHeight="1" x14ac:dyDescent="0.25">
      <c r="A758" s="50"/>
      <c r="B758" s="5"/>
      <c r="C758" s="5"/>
      <c r="D758" s="6"/>
      <c r="E758" s="6"/>
      <c r="F758" s="6"/>
      <c r="G758" s="6"/>
    </row>
    <row r="759" spans="1:7" ht="15.75" customHeight="1" x14ac:dyDescent="0.25">
      <c r="A759" s="50"/>
      <c r="B759" s="5"/>
      <c r="C759" s="5"/>
      <c r="D759" s="6"/>
      <c r="E759" s="6"/>
      <c r="F759" s="6"/>
      <c r="G759" s="6"/>
    </row>
    <row r="760" spans="1:7" ht="15.75" customHeight="1" x14ac:dyDescent="0.25">
      <c r="A760" s="50"/>
      <c r="B760" s="5"/>
      <c r="C760" s="5"/>
      <c r="D760" s="6"/>
      <c r="E760" s="6"/>
      <c r="F760" s="6"/>
      <c r="G760" s="6"/>
    </row>
    <row r="761" spans="1:7" ht="15.75" customHeight="1" x14ac:dyDescent="0.25">
      <c r="A761" s="50"/>
      <c r="B761" s="5"/>
      <c r="C761" s="5"/>
      <c r="D761" s="6"/>
      <c r="E761" s="6"/>
      <c r="F761" s="6"/>
      <c r="G761" s="6"/>
    </row>
    <row r="762" spans="1:7" ht="15.75" customHeight="1" x14ac:dyDescent="0.25">
      <c r="A762" s="50"/>
      <c r="B762" s="5"/>
      <c r="C762" s="5"/>
      <c r="D762" s="6"/>
      <c r="E762" s="6"/>
      <c r="F762" s="6"/>
      <c r="G762" s="6"/>
    </row>
    <row r="763" spans="1:7" ht="15.75" customHeight="1" x14ac:dyDescent="0.25">
      <c r="A763" s="50"/>
      <c r="B763" s="5"/>
      <c r="C763" s="5"/>
      <c r="D763" s="6"/>
      <c r="E763" s="6"/>
      <c r="F763" s="6"/>
      <c r="G763" s="6"/>
    </row>
    <row r="764" spans="1:7" ht="15.75" customHeight="1" x14ac:dyDescent="0.25">
      <c r="A764" s="50"/>
      <c r="B764" s="5"/>
      <c r="C764" s="5"/>
      <c r="D764" s="6"/>
      <c r="E764" s="6"/>
      <c r="F764" s="6"/>
      <c r="G764" s="6"/>
    </row>
    <row r="765" spans="1:7" ht="15.75" customHeight="1" x14ac:dyDescent="0.25">
      <c r="A765" s="50"/>
      <c r="B765" s="5"/>
      <c r="C765" s="5"/>
      <c r="D765" s="6"/>
      <c r="E765" s="6"/>
      <c r="F765" s="6"/>
      <c r="G765" s="6"/>
    </row>
    <row r="766" spans="1:7" ht="15.75" customHeight="1" x14ac:dyDescent="0.25">
      <c r="A766" s="50"/>
      <c r="B766" s="5"/>
      <c r="C766" s="5"/>
      <c r="D766" s="6"/>
      <c r="E766" s="6"/>
      <c r="F766" s="6"/>
      <c r="G766" s="6"/>
    </row>
    <row r="767" spans="1:7" ht="15.75" customHeight="1" x14ac:dyDescent="0.25">
      <c r="A767" s="50"/>
      <c r="B767" s="5"/>
      <c r="C767" s="5"/>
      <c r="D767" s="6"/>
      <c r="E767" s="6"/>
      <c r="F767" s="6"/>
      <c r="G767" s="6"/>
    </row>
    <row r="768" spans="1:7" ht="15.75" customHeight="1" x14ac:dyDescent="0.25">
      <c r="A768" s="50"/>
      <c r="B768" s="5"/>
      <c r="C768" s="5"/>
      <c r="D768" s="6"/>
      <c r="E768" s="6"/>
      <c r="F768" s="6"/>
      <c r="G768" s="6"/>
    </row>
    <row r="769" spans="1:7" ht="15.75" customHeight="1" x14ac:dyDescent="0.25">
      <c r="A769" s="50"/>
      <c r="B769" s="5"/>
      <c r="C769" s="5"/>
      <c r="D769" s="6"/>
      <c r="E769" s="6"/>
      <c r="F769" s="6"/>
      <c r="G769" s="6"/>
    </row>
    <row r="770" spans="1:7" ht="15.75" customHeight="1" x14ac:dyDescent="0.25">
      <c r="A770" s="50"/>
      <c r="B770" s="5"/>
      <c r="C770" s="5"/>
      <c r="D770" s="6"/>
      <c r="E770" s="6"/>
      <c r="F770" s="6"/>
      <c r="G770" s="6"/>
    </row>
    <row r="771" spans="1:7" ht="15.75" customHeight="1" x14ac:dyDescent="0.25">
      <c r="A771" s="50"/>
      <c r="B771" s="5"/>
      <c r="C771" s="5"/>
      <c r="D771" s="6"/>
      <c r="E771" s="6"/>
      <c r="F771" s="6"/>
      <c r="G771" s="6"/>
    </row>
    <row r="772" spans="1:7" ht="15.75" customHeight="1" x14ac:dyDescent="0.25">
      <c r="A772" s="50"/>
      <c r="B772" s="5"/>
      <c r="C772" s="5"/>
      <c r="D772" s="6"/>
      <c r="E772" s="6"/>
      <c r="F772" s="6"/>
      <c r="G772" s="6"/>
    </row>
    <row r="773" spans="1:7" ht="15.75" customHeight="1" x14ac:dyDescent="0.25">
      <c r="A773" s="50"/>
      <c r="B773" s="5"/>
      <c r="C773" s="5"/>
      <c r="D773" s="6"/>
      <c r="E773" s="6"/>
      <c r="F773" s="6"/>
      <c r="G773" s="6"/>
    </row>
    <row r="774" spans="1:7" ht="15.75" customHeight="1" x14ac:dyDescent="0.25">
      <c r="A774" s="50"/>
      <c r="B774" s="5"/>
      <c r="C774" s="5"/>
      <c r="D774" s="6"/>
      <c r="E774" s="6"/>
      <c r="F774" s="6"/>
      <c r="G774" s="6"/>
    </row>
    <row r="775" spans="1:7" ht="15.75" customHeight="1" x14ac:dyDescent="0.25">
      <c r="A775" s="50"/>
      <c r="B775" s="5"/>
      <c r="C775" s="5"/>
      <c r="D775" s="6"/>
      <c r="E775" s="6"/>
      <c r="F775" s="6"/>
      <c r="G775" s="6"/>
    </row>
    <row r="776" spans="1:7" ht="15.75" customHeight="1" x14ac:dyDescent="0.25">
      <c r="A776" s="50"/>
      <c r="B776" s="5"/>
      <c r="C776" s="5"/>
      <c r="D776" s="6"/>
      <c r="E776" s="6"/>
      <c r="F776" s="6"/>
      <c r="G776" s="6"/>
    </row>
    <row r="777" spans="1:7" ht="15.75" customHeight="1" x14ac:dyDescent="0.25">
      <c r="A777" s="50"/>
      <c r="B777" s="5"/>
      <c r="C777" s="5"/>
      <c r="D777" s="6"/>
      <c r="E777" s="6"/>
      <c r="F777" s="6"/>
      <c r="G777" s="6"/>
    </row>
    <row r="778" spans="1:7" ht="15.75" customHeight="1" x14ac:dyDescent="0.25">
      <c r="A778" s="50"/>
      <c r="B778" s="5"/>
      <c r="C778" s="5"/>
      <c r="D778" s="6"/>
      <c r="E778" s="6"/>
      <c r="F778" s="6"/>
      <c r="G778" s="6"/>
    </row>
    <row r="779" spans="1:7" ht="15.75" customHeight="1" x14ac:dyDescent="0.25">
      <c r="A779" s="50"/>
      <c r="B779" s="5"/>
      <c r="C779" s="5"/>
      <c r="D779" s="6"/>
      <c r="E779" s="6"/>
      <c r="F779" s="6"/>
      <c r="G779" s="6"/>
    </row>
    <row r="780" spans="1:7" ht="15.75" customHeight="1" x14ac:dyDescent="0.25">
      <c r="A780" s="50"/>
      <c r="B780" s="5"/>
      <c r="C780" s="5"/>
      <c r="D780" s="6"/>
      <c r="E780" s="6"/>
      <c r="F780" s="6"/>
      <c r="G780" s="6"/>
    </row>
    <row r="781" spans="1:7" ht="15.75" customHeight="1" x14ac:dyDescent="0.25">
      <c r="A781" s="50"/>
      <c r="B781" s="5"/>
      <c r="C781" s="5"/>
      <c r="D781" s="6"/>
      <c r="E781" s="6"/>
      <c r="F781" s="6"/>
      <c r="G781" s="6"/>
    </row>
    <row r="782" spans="1:7" ht="15.75" customHeight="1" x14ac:dyDescent="0.25">
      <c r="A782" s="50"/>
      <c r="B782" s="5"/>
      <c r="C782" s="5"/>
      <c r="D782" s="6"/>
      <c r="E782" s="6"/>
      <c r="F782" s="6"/>
      <c r="G782" s="6"/>
    </row>
    <row r="783" spans="1:7" ht="15.75" customHeight="1" x14ac:dyDescent="0.25">
      <c r="A783" s="50"/>
      <c r="B783" s="5"/>
      <c r="C783" s="5"/>
      <c r="D783" s="6"/>
      <c r="E783" s="6"/>
      <c r="F783" s="6"/>
      <c r="G783" s="6"/>
    </row>
    <row r="784" spans="1:7" ht="15.75" customHeight="1" x14ac:dyDescent="0.25">
      <c r="A784" s="50"/>
      <c r="B784" s="5"/>
      <c r="C784" s="5"/>
      <c r="D784" s="6"/>
      <c r="E784" s="6"/>
      <c r="F784" s="6"/>
      <c r="G784" s="6"/>
    </row>
    <row r="785" spans="1:7" ht="15.75" customHeight="1" x14ac:dyDescent="0.25">
      <c r="A785" s="50"/>
      <c r="B785" s="5"/>
      <c r="C785" s="5"/>
      <c r="D785" s="6"/>
      <c r="E785" s="6"/>
      <c r="F785" s="6"/>
      <c r="G785" s="6"/>
    </row>
    <row r="786" spans="1:7" ht="15.75" customHeight="1" x14ac:dyDescent="0.25">
      <c r="A786" s="50"/>
      <c r="B786" s="5"/>
      <c r="C786" s="5"/>
      <c r="D786" s="6"/>
      <c r="E786" s="6"/>
      <c r="F786" s="6"/>
      <c r="G786" s="6"/>
    </row>
    <row r="787" spans="1:7" ht="15.75" customHeight="1" x14ac:dyDescent="0.25">
      <c r="A787" s="50"/>
      <c r="B787" s="5"/>
      <c r="C787" s="5"/>
      <c r="D787" s="6"/>
      <c r="E787" s="6"/>
      <c r="F787" s="6"/>
      <c r="G787" s="6"/>
    </row>
    <row r="788" spans="1:7" ht="15.75" customHeight="1" x14ac:dyDescent="0.25">
      <c r="A788" s="50"/>
      <c r="B788" s="5"/>
      <c r="C788" s="5"/>
      <c r="D788" s="6"/>
      <c r="E788" s="6"/>
      <c r="F788" s="6"/>
      <c r="G788" s="6"/>
    </row>
    <row r="789" spans="1:7" ht="15.75" customHeight="1" x14ac:dyDescent="0.25">
      <c r="A789" s="50"/>
      <c r="B789" s="5"/>
      <c r="C789" s="5"/>
      <c r="D789" s="6"/>
      <c r="E789" s="6"/>
      <c r="F789" s="6"/>
      <c r="G789" s="6"/>
    </row>
    <row r="790" spans="1:7" ht="15.75" customHeight="1" x14ac:dyDescent="0.25">
      <c r="A790" s="50"/>
      <c r="B790" s="5"/>
      <c r="C790" s="5"/>
      <c r="D790" s="6"/>
      <c r="E790" s="6"/>
      <c r="F790" s="6"/>
      <c r="G790" s="6"/>
    </row>
    <row r="791" spans="1:7" ht="15.75" customHeight="1" x14ac:dyDescent="0.25">
      <c r="A791" s="50"/>
      <c r="B791" s="5"/>
      <c r="C791" s="5"/>
      <c r="D791" s="6"/>
      <c r="E791" s="6"/>
      <c r="F791" s="6"/>
      <c r="G791" s="6"/>
    </row>
    <row r="792" spans="1:7" ht="15.75" customHeight="1" x14ac:dyDescent="0.25">
      <c r="A792" s="50"/>
      <c r="B792" s="5"/>
      <c r="C792" s="5"/>
      <c r="D792" s="6"/>
      <c r="E792" s="6"/>
      <c r="F792" s="6"/>
      <c r="G792" s="6"/>
    </row>
    <row r="793" spans="1:7" ht="15.75" customHeight="1" x14ac:dyDescent="0.25">
      <c r="A793" s="50"/>
      <c r="B793" s="5"/>
      <c r="C793" s="5"/>
      <c r="D793" s="6"/>
      <c r="E793" s="6"/>
      <c r="F793" s="6"/>
      <c r="G793" s="6"/>
    </row>
    <row r="794" spans="1:7" ht="15.75" customHeight="1" x14ac:dyDescent="0.25">
      <c r="A794" s="50"/>
      <c r="B794" s="5"/>
      <c r="C794" s="5"/>
      <c r="D794" s="6"/>
      <c r="E794" s="6"/>
      <c r="F794" s="6"/>
      <c r="G794" s="6"/>
    </row>
    <row r="795" spans="1:7" ht="15.75" customHeight="1" x14ac:dyDescent="0.25">
      <c r="A795" s="50"/>
      <c r="B795" s="5"/>
      <c r="C795" s="5"/>
      <c r="D795" s="6"/>
      <c r="E795" s="6"/>
      <c r="F795" s="6"/>
      <c r="G795" s="6"/>
    </row>
    <row r="796" spans="1:7" ht="15.75" customHeight="1" x14ac:dyDescent="0.25">
      <c r="A796" s="50"/>
      <c r="B796" s="5"/>
      <c r="C796" s="5"/>
      <c r="D796" s="6"/>
      <c r="E796" s="6"/>
      <c r="F796" s="6"/>
      <c r="G796" s="6"/>
    </row>
    <row r="797" spans="1:7" ht="15.75" customHeight="1" x14ac:dyDescent="0.25">
      <c r="A797" s="50"/>
      <c r="B797" s="5"/>
      <c r="C797" s="5"/>
      <c r="D797" s="6"/>
      <c r="E797" s="6"/>
      <c r="F797" s="6"/>
      <c r="G797" s="6"/>
    </row>
    <row r="798" spans="1:7" ht="15.75" customHeight="1" x14ac:dyDescent="0.25">
      <c r="A798" s="50"/>
      <c r="B798" s="5"/>
      <c r="C798" s="5"/>
      <c r="D798" s="6"/>
      <c r="E798" s="6"/>
      <c r="F798" s="6"/>
      <c r="G798" s="6"/>
    </row>
    <row r="799" spans="1:7" ht="15.75" customHeight="1" x14ac:dyDescent="0.25">
      <c r="A799" s="50"/>
      <c r="B799" s="5"/>
      <c r="C799" s="5"/>
      <c r="D799" s="6"/>
      <c r="E799" s="6"/>
      <c r="F799" s="6"/>
      <c r="G799" s="6"/>
    </row>
    <row r="800" spans="1:7" ht="15.75" customHeight="1" x14ac:dyDescent="0.25">
      <c r="A800" s="50"/>
      <c r="B800" s="5"/>
      <c r="C800" s="5"/>
      <c r="D800" s="6"/>
      <c r="E800" s="6"/>
      <c r="F800" s="6"/>
      <c r="G800" s="6"/>
    </row>
    <row r="801" spans="1:7" ht="15.75" customHeight="1" x14ac:dyDescent="0.25">
      <c r="A801" s="50"/>
      <c r="B801" s="5"/>
      <c r="C801" s="5"/>
      <c r="D801" s="6"/>
      <c r="E801" s="6"/>
      <c r="F801" s="6"/>
      <c r="G801" s="6"/>
    </row>
    <row r="802" spans="1:7" ht="15.75" customHeight="1" x14ac:dyDescent="0.25">
      <c r="A802" s="50"/>
      <c r="B802" s="5"/>
      <c r="C802" s="5"/>
      <c r="D802" s="6"/>
      <c r="E802" s="6"/>
      <c r="F802" s="6"/>
      <c r="G802" s="6"/>
    </row>
    <row r="803" spans="1:7" ht="15.75" customHeight="1" x14ac:dyDescent="0.25">
      <c r="A803" s="50"/>
      <c r="B803" s="5"/>
      <c r="C803" s="5"/>
      <c r="D803" s="6"/>
      <c r="E803" s="6"/>
      <c r="F803" s="6"/>
      <c r="G803" s="6"/>
    </row>
    <row r="804" spans="1:7" ht="15.75" customHeight="1" x14ac:dyDescent="0.25">
      <c r="A804" s="50"/>
      <c r="B804" s="5"/>
      <c r="C804" s="5"/>
      <c r="D804" s="6"/>
      <c r="E804" s="6"/>
      <c r="F804" s="6"/>
      <c r="G804" s="6"/>
    </row>
    <row r="805" spans="1:7" ht="15.75" customHeight="1" x14ac:dyDescent="0.25">
      <c r="A805" s="50"/>
      <c r="B805" s="5"/>
      <c r="C805" s="5"/>
      <c r="D805" s="6"/>
      <c r="E805" s="6"/>
      <c r="F805" s="6"/>
      <c r="G805" s="6"/>
    </row>
    <row r="806" spans="1:7" ht="15.75" customHeight="1" x14ac:dyDescent="0.25">
      <c r="A806" s="50"/>
      <c r="B806" s="5"/>
      <c r="C806" s="5"/>
      <c r="D806" s="6"/>
      <c r="E806" s="6"/>
      <c r="F806" s="6"/>
      <c r="G806" s="6"/>
    </row>
    <row r="807" spans="1:7" ht="15.75" customHeight="1" x14ac:dyDescent="0.25">
      <c r="A807" s="50"/>
      <c r="B807" s="5"/>
      <c r="C807" s="5"/>
      <c r="D807" s="6"/>
      <c r="E807" s="6"/>
      <c r="F807" s="6"/>
      <c r="G807" s="6"/>
    </row>
    <row r="808" spans="1:7" ht="15.75" customHeight="1" x14ac:dyDescent="0.25">
      <c r="A808" s="50"/>
      <c r="B808" s="5"/>
      <c r="C808" s="5"/>
      <c r="D808" s="6"/>
      <c r="E808" s="6"/>
      <c r="F808" s="6"/>
      <c r="G808" s="6"/>
    </row>
    <row r="809" spans="1:7" ht="15.75" customHeight="1" x14ac:dyDescent="0.25">
      <c r="A809" s="50"/>
      <c r="B809" s="5"/>
      <c r="C809" s="5"/>
      <c r="D809" s="6"/>
      <c r="E809" s="6"/>
      <c r="F809" s="6"/>
      <c r="G809" s="6"/>
    </row>
    <row r="810" spans="1:7" ht="15.75" customHeight="1" x14ac:dyDescent="0.25">
      <c r="A810" s="50"/>
      <c r="B810" s="5"/>
      <c r="C810" s="5"/>
      <c r="D810" s="6"/>
      <c r="E810" s="6"/>
      <c r="F810" s="6"/>
      <c r="G810" s="6"/>
    </row>
    <row r="811" spans="1:7" ht="15.75" customHeight="1" x14ac:dyDescent="0.25">
      <c r="A811" s="50"/>
      <c r="B811" s="5"/>
      <c r="C811" s="5"/>
      <c r="D811" s="6"/>
      <c r="E811" s="6"/>
      <c r="F811" s="6"/>
      <c r="G811" s="6"/>
    </row>
    <row r="812" spans="1:7" ht="15.75" customHeight="1" x14ac:dyDescent="0.25">
      <c r="A812" s="50"/>
      <c r="B812" s="5"/>
      <c r="C812" s="5"/>
      <c r="D812" s="6"/>
      <c r="E812" s="6"/>
      <c r="F812" s="6"/>
      <c r="G812" s="6"/>
    </row>
    <row r="813" spans="1:7" ht="15.75" customHeight="1" x14ac:dyDescent="0.25">
      <c r="A813" s="50"/>
      <c r="B813" s="5"/>
      <c r="C813" s="5"/>
      <c r="D813" s="6"/>
      <c r="E813" s="6"/>
      <c r="F813" s="6"/>
      <c r="G813" s="6"/>
    </row>
    <row r="814" spans="1:7" ht="15.75" customHeight="1" x14ac:dyDescent="0.25">
      <c r="A814" s="50"/>
      <c r="B814" s="5"/>
      <c r="C814" s="5"/>
      <c r="D814" s="6"/>
      <c r="E814" s="6"/>
      <c r="F814" s="6"/>
      <c r="G814" s="6"/>
    </row>
    <row r="815" spans="1:7" ht="15.75" customHeight="1" x14ac:dyDescent="0.25">
      <c r="A815" s="50"/>
      <c r="B815" s="5"/>
      <c r="C815" s="5"/>
      <c r="D815" s="6"/>
      <c r="E815" s="6"/>
      <c r="F815" s="6"/>
      <c r="G815" s="6"/>
    </row>
    <row r="816" spans="1:7" ht="15.75" customHeight="1" x14ac:dyDescent="0.25">
      <c r="A816" s="50"/>
      <c r="B816" s="5"/>
      <c r="C816" s="5"/>
      <c r="D816" s="6"/>
      <c r="E816" s="6"/>
      <c r="F816" s="6"/>
      <c r="G816" s="6"/>
    </row>
    <row r="817" spans="1:7" ht="15.75" customHeight="1" x14ac:dyDescent="0.25">
      <c r="A817" s="50"/>
      <c r="B817" s="5"/>
      <c r="C817" s="5"/>
      <c r="D817" s="6"/>
      <c r="E817" s="6"/>
      <c r="F817" s="6"/>
      <c r="G817" s="6"/>
    </row>
    <row r="818" spans="1:7" ht="15.75" customHeight="1" x14ac:dyDescent="0.25">
      <c r="A818" s="50"/>
      <c r="B818" s="5"/>
      <c r="C818" s="5"/>
      <c r="D818" s="6"/>
      <c r="E818" s="6"/>
      <c r="F818" s="6"/>
      <c r="G818" s="6"/>
    </row>
    <row r="819" spans="1:7" ht="15.75" customHeight="1" x14ac:dyDescent="0.25">
      <c r="A819" s="50"/>
      <c r="B819" s="5"/>
      <c r="C819" s="5"/>
      <c r="D819" s="6"/>
      <c r="E819" s="6"/>
      <c r="F819" s="6"/>
      <c r="G819" s="6"/>
    </row>
    <row r="820" spans="1:7" ht="15.75" customHeight="1" x14ac:dyDescent="0.25">
      <c r="A820" s="50"/>
      <c r="B820" s="5"/>
      <c r="C820" s="5"/>
      <c r="D820" s="6"/>
      <c r="E820" s="6"/>
      <c r="F820" s="6"/>
      <c r="G820" s="6"/>
    </row>
    <row r="821" spans="1:7" ht="15.75" customHeight="1" x14ac:dyDescent="0.25">
      <c r="A821" s="50"/>
      <c r="B821" s="5"/>
      <c r="C821" s="5"/>
      <c r="D821" s="6"/>
      <c r="E821" s="6"/>
      <c r="F821" s="6"/>
      <c r="G821" s="6"/>
    </row>
    <row r="822" spans="1:7" ht="15.75" customHeight="1" x14ac:dyDescent="0.25">
      <c r="A822" s="50"/>
      <c r="B822" s="5"/>
      <c r="C822" s="5"/>
      <c r="D822" s="6"/>
      <c r="E822" s="6"/>
      <c r="F822" s="6"/>
      <c r="G822" s="6"/>
    </row>
    <row r="823" spans="1:7" ht="15.75" customHeight="1" x14ac:dyDescent="0.25">
      <c r="A823" s="50"/>
      <c r="B823" s="5"/>
      <c r="C823" s="5"/>
      <c r="D823" s="6"/>
      <c r="E823" s="6"/>
      <c r="F823" s="6"/>
      <c r="G823" s="6"/>
    </row>
    <row r="824" spans="1:7" ht="15.75" customHeight="1" x14ac:dyDescent="0.25">
      <c r="A824" s="50"/>
      <c r="B824" s="5"/>
      <c r="C824" s="5"/>
      <c r="D824" s="6"/>
      <c r="E824" s="6"/>
      <c r="F824" s="6"/>
      <c r="G824" s="6"/>
    </row>
    <row r="825" spans="1:7" ht="15.75" customHeight="1" x14ac:dyDescent="0.25">
      <c r="A825" s="50"/>
      <c r="B825" s="5"/>
      <c r="C825" s="5"/>
      <c r="D825" s="6"/>
      <c r="E825" s="6"/>
      <c r="F825" s="6"/>
      <c r="G825" s="6"/>
    </row>
    <row r="826" spans="1:7" ht="15.75" customHeight="1" x14ac:dyDescent="0.25">
      <c r="A826" s="50"/>
      <c r="B826" s="5"/>
      <c r="C826" s="5"/>
      <c r="D826" s="6"/>
      <c r="E826" s="6"/>
      <c r="F826" s="6"/>
      <c r="G826" s="6"/>
    </row>
    <row r="827" spans="1:7" ht="15.75" customHeight="1" x14ac:dyDescent="0.25">
      <c r="A827" s="50"/>
      <c r="B827" s="5"/>
      <c r="C827" s="5"/>
      <c r="D827" s="6"/>
      <c r="E827" s="6"/>
      <c r="F827" s="6"/>
      <c r="G827" s="6"/>
    </row>
    <row r="828" spans="1:7" ht="15.75" customHeight="1" x14ac:dyDescent="0.25">
      <c r="A828" s="50"/>
      <c r="B828" s="5"/>
      <c r="C828" s="5"/>
      <c r="D828" s="6"/>
      <c r="E828" s="6"/>
      <c r="F828" s="6"/>
      <c r="G828" s="6"/>
    </row>
    <row r="829" spans="1:7" ht="15.75" customHeight="1" x14ac:dyDescent="0.25">
      <c r="A829" s="50"/>
      <c r="B829" s="5"/>
      <c r="C829" s="5"/>
      <c r="D829" s="6"/>
      <c r="E829" s="6"/>
      <c r="F829" s="6"/>
      <c r="G829" s="6"/>
    </row>
    <row r="830" spans="1:7" ht="15.75" customHeight="1" x14ac:dyDescent="0.25">
      <c r="A830" s="50"/>
      <c r="B830" s="5"/>
      <c r="C830" s="5"/>
      <c r="D830" s="6"/>
      <c r="E830" s="6"/>
      <c r="F830" s="6"/>
      <c r="G830" s="6"/>
    </row>
    <row r="831" spans="1:7" ht="15.75" customHeight="1" x14ac:dyDescent="0.25">
      <c r="A831" s="50"/>
      <c r="B831" s="5"/>
      <c r="C831" s="5"/>
      <c r="D831" s="6"/>
      <c r="E831" s="6"/>
      <c r="F831" s="6"/>
      <c r="G831" s="6"/>
    </row>
    <row r="832" spans="1:7" ht="15.75" customHeight="1" x14ac:dyDescent="0.25">
      <c r="A832" s="50"/>
      <c r="B832" s="5"/>
      <c r="C832" s="5"/>
      <c r="D832" s="6"/>
      <c r="E832" s="6"/>
      <c r="F832" s="6"/>
      <c r="G832" s="6"/>
    </row>
    <row r="833" spans="1:7" ht="15.75" customHeight="1" x14ac:dyDescent="0.25">
      <c r="A833" s="50"/>
      <c r="B833" s="5"/>
      <c r="C833" s="5"/>
      <c r="D833" s="6"/>
      <c r="E833" s="6"/>
      <c r="F833" s="6"/>
      <c r="G833" s="6"/>
    </row>
    <row r="834" spans="1:7" ht="15.75" customHeight="1" x14ac:dyDescent="0.25">
      <c r="A834" s="50"/>
      <c r="B834" s="5"/>
      <c r="C834" s="5"/>
      <c r="D834" s="6"/>
      <c r="E834" s="6"/>
      <c r="F834" s="6"/>
      <c r="G834" s="6"/>
    </row>
    <row r="835" spans="1:7" ht="15.75" customHeight="1" x14ac:dyDescent="0.25">
      <c r="A835" s="50"/>
      <c r="B835" s="5"/>
      <c r="C835" s="5"/>
      <c r="D835" s="6"/>
      <c r="E835" s="6"/>
      <c r="F835" s="6"/>
      <c r="G835" s="6"/>
    </row>
    <row r="836" spans="1:7" ht="15.75" customHeight="1" x14ac:dyDescent="0.25">
      <c r="A836" s="50"/>
      <c r="B836" s="5"/>
      <c r="C836" s="5"/>
      <c r="D836" s="6"/>
      <c r="E836" s="6"/>
      <c r="F836" s="6"/>
      <c r="G836" s="6"/>
    </row>
    <row r="837" spans="1:7" ht="15.75" customHeight="1" x14ac:dyDescent="0.25">
      <c r="A837" s="50"/>
      <c r="B837" s="5"/>
      <c r="C837" s="5"/>
      <c r="D837" s="6"/>
      <c r="E837" s="6"/>
      <c r="F837" s="6"/>
      <c r="G837" s="6"/>
    </row>
    <row r="838" spans="1:7" ht="15.75" customHeight="1" x14ac:dyDescent="0.25">
      <c r="A838" s="50"/>
      <c r="B838" s="5"/>
      <c r="C838" s="5"/>
      <c r="D838" s="6"/>
      <c r="E838" s="6"/>
      <c r="F838" s="6"/>
      <c r="G838" s="6"/>
    </row>
    <row r="839" spans="1:7" ht="15.75" customHeight="1" x14ac:dyDescent="0.25">
      <c r="A839" s="50"/>
      <c r="B839" s="5"/>
      <c r="C839" s="5"/>
      <c r="D839" s="6"/>
      <c r="E839" s="6"/>
      <c r="F839" s="6"/>
      <c r="G839" s="6"/>
    </row>
    <row r="840" spans="1:7" ht="15.75" customHeight="1" x14ac:dyDescent="0.25">
      <c r="A840" s="50"/>
      <c r="B840" s="5"/>
      <c r="C840" s="5"/>
      <c r="D840" s="6"/>
      <c r="E840" s="6"/>
      <c r="F840" s="6"/>
      <c r="G840" s="6"/>
    </row>
    <row r="841" spans="1:7" ht="15.75" customHeight="1" x14ac:dyDescent="0.25">
      <c r="A841" s="50"/>
      <c r="B841" s="5"/>
      <c r="C841" s="5"/>
      <c r="D841" s="6"/>
      <c r="E841" s="6"/>
      <c r="F841" s="6"/>
      <c r="G841" s="6"/>
    </row>
    <row r="842" spans="1:7" ht="15.75" customHeight="1" x14ac:dyDescent="0.25">
      <c r="A842" s="50"/>
      <c r="B842" s="5"/>
      <c r="C842" s="5"/>
      <c r="D842" s="6"/>
      <c r="E842" s="6"/>
      <c r="F842" s="6"/>
      <c r="G842" s="6"/>
    </row>
    <row r="843" spans="1:7" ht="15.75" customHeight="1" x14ac:dyDescent="0.25">
      <c r="A843" s="50"/>
      <c r="B843" s="5"/>
      <c r="C843" s="5"/>
      <c r="D843" s="6"/>
      <c r="E843" s="6"/>
      <c r="F843" s="6"/>
      <c r="G843" s="6"/>
    </row>
    <row r="844" spans="1:7" ht="15.75" customHeight="1" x14ac:dyDescent="0.25">
      <c r="A844" s="50"/>
      <c r="B844" s="5"/>
      <c r="C844" s="5"/>
      <c r="D844" s="6"/>
      <c r="E844" s="6"/>
      <c r="F844" s="6"/>
      <c r="G844" s="6"/>
    </row>
    <row r="845" spans="1:7" ht="15.75" customHeight="1" x14ac:dyDescent="0.25">
      <c r="A845" s="50"/>
      <c r="B845" s="5"/>
      <c r="C845" s="5"/>
      <c r="D845" s="6"/>
      <c r="E845" s="6"/>
      <c r="F845" s="6"/>
      <c r="G845" s="6"/>
    </row>
    <row r="846" spans="1:7" ht="15.75" customHeight="1" x14ac:dyDescent="0.25">
      <c r="A846" s="50"/>
      <c r="B846" s="5"/>
      <c r="C846" s="5"/>
      <c r="D846" s="6"/>
      <c r="E846" s="6"/>
      <c r="F846" s="6"/>
      <c r="G846" s="6"/>
    </row>
    <row r="847" spans="1:7" ht="15.75" customHeight="1" x14ac:dyDescent="0.25">
      <c r="A847" s="50"/>
      <c r="B847" s="5"/>
      <c r="C847" s="5"/>
      <c r="D847" s="6"/>
      <c r="E847" s="6"/>
      <c r="F847" s="6"/>
      <c r="G847" s="6"/>
    </row>
    <row r="848" spans="1:7" ht="15.75" customHeight="1" x14ac:dyDescent="0.25">
      <c r="A848" s="50"/>
      <c r="B848" s="5"/>
      <c r="C848" s="5"/>
      <c r="D848" s="6"/>
      <c r="E848" s="6"/>
      <c r="F848" s="6"/>
      <c r="G848" s="6"/>
    </row>
    <row r="849" spans="1:7" ht="15.75" customHeight="1" x14ac:dyDescent="0.25">
      <c r="A849" s="50"/>
      <c r="B849" s="5"/>
      <c r="C849" s="5"/>
      <c r="D849" s="6"/>
      <c r="E849" s="6"/>
      <c r="F849" s="6"/>
      <c r="G849" s="6"/>
    </row>
    <row r="850" spans="1:7" ht="15.75" customHeight="1" x14ac:dyDescent="0.25">
      <c r="A850" s="50"/>
      <c r="B850" s="5"/>
      <c r="C850" s="5"/>
      <c r="D850" s="6"/>
      <c r="E850" s="6"/>
      <c r="F850" s="6"/>
      <c r="G850" s="6"/>
    </row>
    <row r="851" spans="1:7" ht="15.75" customHeight="1" x14ac:dyDescent="0.25">
      <c r="A851" s="50"/>
      <c r="B851" s="5"/>
      <c r="C851" s="5"/>
      <c r="D851" s="6"/>
      <c r="E851" s="6"/>
      <c r="F851" s="6"/>
      <c r="G851" s="6"/>
    </row>
    <row r="852" spans="1:7" ht="15.75" customHeight="1" x14ac:dyDescent="0.25">
      <c r="A852" s="50"/>
      <c r="B852" s="5"/>
      <c r="C852" s="5"/>
      <c r="D852" s="6"/>
      <c r="E852" s="6"/>
      <c r="F852" s="6"/>
      <c r="G852" s="6"/>
    </row>
    <row r="853" spans="1:7" ht="15.75" customHeight="1" x14ac:dyDescent="0.25">
      <c r="A853" s="50"/>
      <c r="B853" s="5"/>
      <c r="C853" s="5"/>
      <c r="D853" s="6"/>
      <c r="E853" s="6"/>
      <c r="F853" s="6"/>
      <c r="G853" s="6"/>
    </row>
    <row r="854" spans="1:7" ht="15.75" customHeight="1" x14ac:dyDescent="0.25">
      <c r="A854" s="50"/>
      <c r="B854" s="5"/>
      <c r="C854" s="5"/>
      <c r="D854" s="6"/>
      <c r="E854" s="6"/>
      <c r="F854" s="6"/>
      <c r="G854" s="6"/>
    </row>
    <row r="855" spans="1:7" ht="15.75" customHeight="1" x14ac:dyDescent="0.25">
      <c r="A855" s="50"/>
      <c r="B855" s="5"/>
      <c r="C855" s="5"/>
      <c r="D855" s="6"/>
      <c r="E855" s="6"/>
      <c r="F855" s="6"/>
      <c r="G855" s="6"/>
    </row>
    <row r="856" spans="1:7" ht="15.75" customHeight="1" x14ac:dyDescent="0.25">
      <c r="A856" s="50"/>
      <c r="B856" s="5"/>
      <c r="C856" s="5"/>
      <c r="D856" s="6"/>
      <c r="E856" s="6"/>
      <c r="F856" s="6"/>
      <c r="G856" s="6"/>
    </row>
    <row r="857" spans="1:7" ht="15.75" customHeight="1" x14ac:dyDescent="0.25">
      <c r="A857" s="50"/>
      <c r="B857" s="5"/>
      <c r="C857" s="5"/>
      <c r="D857" s="6"/>
      <c r="E857" s="6"/>
      <c r="F857" s="6"/>
      <c r="G857" s="6"/>
    </row>
    <row r="858" spans="1:7" ht="15.75" customHeight="1" x14ac:dyDescent="0.25">
      <c r="A858" s="50"/>
      <c r="B858" s="5"/>
      <c r="C858" s="5"/>
      <c r="D858" s="6"/>
      <c r="E858" s="6"/>
      <c r="F858" s="6"/>
      <c r="G858" s="6"/>
    </row>
    <row r="859" spans="1:7" ht="15.75" customHeight="1" x14ac:dyDescent="0.25">
      <c r="A859" s="50"/>
      <c r="B859" s="5"/>
      <c r="C859" s="5"/>
      <c r="D859" s="6"/>
      <c r="E859" s="6"/>
      <c r="F859" s="6"/>
      <c r="G859" s="6"/>
    </row>
    <row r="860" spans="1:7" ht="15.75" customHeight="1" x14ac:dyDescent="0.25">
      <c r="A860" s="50"/>
      <c r="B860" s="5"/>
      <c r="C860" s="5"/>
      <c r="D860" s="6"/>
      <c r="E860" s="6"/>
      <c r="F860" s="6"/>
      <c r="G860" s="6"/>
    </row>
    <row r="861" spans="1:7" ht="15.75" customHeight="1" x14ac:dyDescent="0.25">
      <c r="A861" s="50"/>
      <c r="B861" s="5"/>
      <c r="C861" s="5"/>
      <c r="D861" s="6"/>
      <c r="E861" s="6"/>
      <c r="F861" s="6"/>
      <c r="G861" s="6"/>
    </row>
    <row r="862" spans="1:7" ht="15.75" customHeight="1" x14ac:dyDescent="0.25">
      <c r="A862" s="50"/>
      <c r="B862" s="5"/>
      <c r="C862" s="5"/>
      <c r="D862" s="6"/>
      <c r="E862" s="6"/>
      <c r="F862" s="6"/>
      <c r="G862" s="6"/>
    </row>
    <row r="863" spans="1:7" ht="15.75" customHeight="1" x14ac:dyDescent="0.25">
      <c r="A863" s="50"/>
      <c r="B863" s="5"/>
      <c r="C863" s="5"/>
      <c r="D863" s="6"/>
      <c r="E863" s="6"/>
      <c r="F863" s="6"/>
      <c r="G863" s="6"/>
    </row>
    <row r="864" spans="1:7" ht="15.75" customHeight="1" x14ac:dyDescent="0.25">
      <c r="A864" s="50"/>
      <c r="B864" s="5"/>
      <c r="C864" s="5"/>
      <c r="D864" s="6"/>
      <c r="E864" s="6"/>
      <c r="F864" s="6"/>
      <c r="G864" s="6"/>
    </row>
    <row r="865" spans="1:7" ht="15.75" customHeight="1" x14ac:dyDescent="0.25">
      <c r="A865" s="50"/>
      <c r="B865" s="5"/>
      <c r="C865" s="5"/>
      <c r="D865" s="6"/>
      <c r="E865" s="6"/>
      <c r="F865" s="6"/>
      <c r="G865" s="6"/>
    </row>
    <row r="866" spans="1:7" ht="15.75" customHeight="1" x14ac:dyDescent="0.25">
      <c r="A866" s="50"/>
      <c r="B866" s="5"/>
      <c r="C866" s="5"/>
      <c r="D866" s="6"/>
      <c r="E866" s="6"/>
      <c r="F866" s="6"/>
      <c r="G866" s="6"/>
    </row>
    <row r="867" spans="1:7" ht="15.75" customHeight="1" x14ac:dyDescent="0.25">
      <c r="A867" s="50"/>
      <c r="B867" s="5"/>
      <c r="C867" s="5"/>
      <c r="D867" s="6"/>
      <c r="E867" s="6"/>
      <c r="F867" s="6"/>
      <c r="G867" s="6"/>
    </row>
    <row r="868" spans="1:7" ht="15.75" customHeight="1" x14ac:dyDescent="0.25">
      <c r="A868" s="50"/>
      <c r="B868" s="5"/>
      <c r="C868" s="5"/>
      <c r="D868" s="6"/>
      <c r="E868" s="6"/>
      <c r="F868" s="6"/>
      <c r="G868" s="6"/>
    </row>
    <row r="869" spans="1:7" ht="15.75" customHeight="1" x14ac:dyDescent="0.25">
      <c r="A869" s="50"/>
      <c r="B869" s="5"/>
      <c r="C869" s="5"/>
      <c r="D869" s="6"/>
      <c r="E869" s="6"/>
      <c r="F869" s="6"/>
      <c r="G869" s="6"/>
    </row>
    <row r="870" spans="1:7" ht="15.75" customHeight="1" x14ac:dyDescent="0.25">
      <c r="A870" s="50"/>
      <c r="B870" s="5"/>
      <c r="C870" s="5"/>
      <c r="D870" s="6"/>
      <c r="E870" s="6"/>
      <c r="F870" s="6"/>
      <c r="G870" s="6"/>
    </row>
    <row r="871" spans="1:7" ht="15.75" customHeight="1" x14ac:dyDescent="0.25">
      <c r="A871" s="50"/>
      <c r="B871" s="5"/>
      <c r="C871" s="5"/>
      <c r="D871" s="6"/>
      <c r="E871" s="6"/>
      <c r="F871" s="6"/>
      <c r="G871" s="6"/>
    </row>
    <row r="872" spans="1:7" ht="15.75" customHeight="1" x14ac:dyDescent="0.25">
      <c r="A872" s="50"/>
      <c r="B872" s="5"/>
      <c r="C872" s="5"/>
      <c r="D872" s="6"/>
      <c r="E872" s="6"/>
      <c r="F872" s="6"/>
      <c r="G872" s="6"/>
    </row>
    <row r="873" spans="1:7" ht="15.75" customHeight="1" x14ac:dyDescent="0.25">
      <c r="A873" s="50"/>
      <c r="B873" s="5"/>
      <c r="C873" s="5"/>
      <c r="D873" s="6"/>
      <c r="E873" s="6"/>
      <c r="F873" s="6"/>
      <c r="G873" s="6"/>
    </row>
    <row r="874" spans="1:7" ht="15.75" customHeight="1" x14ac:dyDescent="0.25">
      <c r="A874" s="50"/>
      <c r="B874" s="5"/>
      <c r="C874" s="5"/>
      <c r="D874" s="6"/>
      <c r="E874" s="6"/>
      <c r="F874" s="6"/>
      <c r="G874" s="6"/>
    </row>
    <row r="875" spans="1:7" ht="15.75" customHeight="1" x14ac:dyDescent="0.25">
      <c r="A875" s="50"/>
      <c r="B875" s="5"/>
      <c r="C875" s="5"/>
      <c r="D875" s="6"/>
      <c r="E875" s="6"/>
      <c r="F875" s="6"/>
      <c r="G875" s="6"/>
    </row>
    <row r="876" spans="1:7" ht="15.75" customHeight="1" x14ac:dyDescent="0.25">
      <c r="A876" s="50"/>
      <c r="B876" s="5"/>
      <c r="C876" s="5"/>
      <c r="D876" s="6"/>
      <c r="E876" s="6"/>
      <c r="F876" s="6"/>
      <c r="G876" s="6"/>
    </row>
    <row r="877" spans="1:7" ht="15.75" customHeight="1" x14ac:dyDescent="0.25">
      <c r="A877" s="50"/>
      <c r="B877" s="5"/>
      <c r="C877" s="5"/>
      <c r="D877" s="6"/>
      <c r="E877" s="6"/>
      <c r="F877" s="6"/>
      <c r="G877" s="6"/>
    </row>
    <row r="878" spans="1:7" ht="15.75" customHeight="1" x14ac:dyDescent="0.25">
      <c r="A878" s="50"/>
      <c r="B878" s="5"/>
      <c r="C878" s="5"/>
      <c r="D878" s="6"/>
      <c r="E878" s="6"/>
      <c r="F878" s="6"/>
      <c r="G878" s="6"/>
    </row>
    <row r="879" spans="1:7" ht="15.75" customHeight="1" x14ac:dyDescent="0.25">
      <c r="A879" s="50"/>
      <c r="B879" s="5"/>
      <c r="C879" s="5"/>
      <c r="D879" s="6"/>
      <c r="E879" s="6"/>
      <c r="F879" s="6"/>
      <c r="G879" s="6"/>
    </row>
    <row r="880" spans="1:7" ht="15.75" customHeight="1" x14ac:dyDescent="0.25">
      <c r="A880" s="50"/>
      <c r="B880" s="5"/>
      <c r="C880" s="5"/>
      <c r="D880" s="6"/>
      <c r="E880" s="6"/>
      <c r="F880" s="6"/>
      <c r="G880" s="6"/>
    </row>
    <row r="881" spans="1:7" ht="15.75" customHeight="1" x14ac:dyDescent="0.25">
      <c r="A881" s="50"/>
      <c r="B881" s="5"/>
      <c r="C881" s="5"/>
      <c r="D881" s="6"/>
      <c r="E881" s="6"/>
      <c r="F881" s="6"/>
      <c r="G881" s="6"/>
    </row>
    <row r="882" spans="1:7" ht="15.75" customHeight="1" x14ac:dyDescent="0.25">
      <c r="A882" s="50"/>
      <c r="B882" s="5"/>
      <c r="C882" s="5"/>
      <c r="D882" s="6"/>
      <c r="E882" s="6"/>
      <c r="F882" s="6"/>
      <c r="G882" s="6"/>
    </row>
    <row r="883" spans="1:7" ht="15.75" customHeight="1" x14ac:dyDescent="0.25">
      <c r="A883" s="50"/>
      <c r="B883" s="5"/>
      <c r="C883" s="5"/>
      <c r="D883" s="6"/>
      <c r="E883" s="6"/>
      <c r="F883" s="6"/>
      <c r="G883" s="6"/>
    </row>
    <row r="884" spans="1:7" ht="15.75" customHeight="1" x14ac:dyDescent="0.25">
      <c r="A884" s="50"/>
      <c r="B884" s="5"/>
      <c r="C884" s="5"/>
      <c r="D884" s="6"/>
      <c r="E884" s="6"/>
      <c r="F884" s="6"/>
      <c r="G884" s="6"/>
    </row>
    <row r="885" spans="1:7" ht="15.75" customHeight="1" x14ac:dyDescent="0.25">
      <c r="A885" s="50"/>
      <c r="B885" s="5"/>
      <c r="C885" s="5"/>
      <c r="D885" s="6"/>
      <c r="E885" s="6"/>
      <c r="F885" s="6"/>
      <c r="G885" s="6"/>
    </row>
    <row r="886" spans="1:7" ht="15.75" customHeight="1" x14ac:dyDescent="0.25">
      <c r="A886" s="50"/>
      <c r="B886" s="5"/>
      <c r="C886" s="5"/>
      <c r="D886" s="6"/>
      <c r="E886" s="6"/>
      <c r="F886" s="6"/>
      <c r="G886" s="6"/>
    </row>
    <row r="887" spans="1:7" ht="15.75" customHeight="1" x14ac:dyDescent="0.25">
      <c r="A887" s="50"/>
      <c r="B887" s="5"/>
      <c r="C887" s="5"/>
      <c r="D887" s="6"/>
      <c r="E887" s="6"/>
      <c r="F887" s="6"/>
      <c r="G887" s="6"/>
    </row>
    <row r="888" spans="1:7" ht="15.75" customHeight="1" x14ac:dyDescent="0.25">
      <c r="A888" s="50"/>
      <c r="B888" s="5"/>
      <c r="C888" s="5"/>
      <c r="D888" s="6"/>
      <c r="E888" s="6"/>
      <c r="F888" s="6"/>
      <c r="G888" s="6"/>
    </row>
    <row r="889" spans="1:7" ht="15.75" customHeight="1" x14ac:dyDescent="0.25">
      <c r="A889" s="50"/>
      <c r="B889" s="5"/>
      <c r="C889" s="5"/>
      <c r="D889" s="6"/>
      <c r="E889" s="6"/>
      <c r="F889" s="6"/>
      <c r="G889" s="6"/>
    </row>
    <row r="890" spans="1:7" ht="15.75" customHeight="1" x14ac:dyDescent="0.25">
      <c r="A890" s="50"/>
      <c r="B890" s="5"/>
      <c r="C890" s="5"/>
      <c r="D890" s="6"/>
      <c r="E890" s="6"/>
      <c r="F890" s="6"/>
      <c r="G890" s="6"/>
    </row>
    <row r="891" spans="1:7" ht="15.75" customHeight="1" x14ac:dyDescent="0.25">
      <c r="A891" s="50"/>
      <c r="B891" s="5"/>
      <c r="C891" s="5"/>
      <c r="D891" s="6"/>
      <c r="E891" s="6"/>
      <c r="F891" s="6"/>
      <c r="G891" s="6"/>
    </row>
    <row r="892" spans="1:7" ht="15.75" customHeight="1" x14ac:dyDescent="0.25">
      <c r="A892" s="50"/>
      <c r="B892" s="5"/>
      <c r="C892" s="5"/>
      <c r="D892" s="6"/>
      <c r="E892" s="6"/>
      <c r="F892" s="6"/>
      <c r="G892" s="6"/>
    </row>
    <row r="893" spans="1:7" ht="15.75" customHeight="1" x14ac:dyDescent="0.25">
      <c r="A893" s="50"/>
      <c r="B893" s="5"/>
      <c r="C893" s="5"/>
      <c r="D893" s="6"/>
      <c r="E893" s="6"/>
      <c r="F893" s="6"/>
      <c r="G893" s="6"/>
    </row>
    <row r="894" spans="1:7" ht="15.75" customHeight="1" x14ac:dyDescent="0.25">
      <c r="A894" s="50"/>
      <c r="B894" s="5"/>
      <c r="C894" s="5"/>
      <c r="D894" s="6"/>
      <c r="E894" s="6"/>
      <c r="F894" s="6"/>
      <c r="G894" s="6"/>
    </row>
    <row r="895" spans="1:7" ht="15.75" customHeight="1" x14ac:dyDescent="0.25">
      <c r="A895" s="50"/>
      <c r="B895" s="5"/>
      <c r="C895" s="5"/>
      <c r="D895" s="6"/>
      <c r="E895" s="6"/>
      <c r="F895" s="6"/>
      <c r="G895" s="6"/>
    </row>
    <row r="896" spans="1:7" ht="15.75" customHeight="1" x14ac:dyDescent="0.25">
      <c r="A896" s="50"/>
      <c r="B896" s="5"/>
      <c r="C896" s="5"/>
      <c r="D896" s="6"/>
      <c r="E896" s="6"/>
      <c r="F896" s="6"/>
      <c r="G896" s="6"/>
    </row>
    <row r="897" spans="1:7" ht="15.75" customHeight="1" x14ac:dyDescent="0.25">
      <c r="A897" s="50"/>
      <c r="B897" s="5"/>
      <c r="C897" s="5"/>
      <c r="D897" s="6"/>
      <c r="E897" s="6"/>
      <c r="F897" s="6"/>
      <c r="G897" s="6"/>
    </row>
    <row r="898" spans="1:7" ht="15.75" customHeight="1" x14ac:dyDescent="0.25">
      <c r="A898" s="50"/>
      <c r="B898" s="5"/>
      <c r="C898" s="5"/>
      <c r="D898" s="6"/>
      <c r="E898" s="6"/>
      <c r="F898" s="6"/>
      <c r="G898" s="6"/>
    </row>
    <row r="899" spans="1:7" ht="15.75" customHeight="1" x14ac:dyDescent="0.25">
      <c r="A899" s="50"/>
      <c r="B899" s="5"/>
      <c r="C899" s="5"/>
      <c r="D899" s="6"/>
      <c r="E899" s="6"/>
      <c r="F899" s="6"/>
      <c r="G899" s="6"/>
    </row>
    <row r="900" spans="1:7" ht="15.75" customHeight="1" x14ac:dyDescent="0.25">
      <c r="A900" s="50"/>
      <c r="B900" s="5"/>
      <c r="C900" s="5"/>
      <c r="D900" s="6"/>
      <c r="E900" s="6"/>
      <c r="F900" s="6"/>
      <c r="G900" s="6"/>
    </row>
    <row r="901" spans="1:7" ht="15.75" customHeight="1" x14ac:dyDescent="0.25">
      <c r="A901" s="50"/>
      <c r="B901" s="5"/>
      <c r="C901" s="5"/>
      <c r="D901" s="6"/>
      <c r="E901" s="6"/>
      <c r="F901" s="6"/>
      <c r="G901" s="6"/>
    </row>
    <row r="902" spans="1:7" ht="15.75" customHeight="1" x14ac:dyDescent="0.25">
      <c r="A902" s="50"/>
      <c r="B902" s="5"/>
      <c r="C902" s="5"/>
      <c r="D902" s="6"/>
      <c r="E902" s="6"/>
      <c r="F902" s="6"/>
      <c r="G902" s="6"/>
    </row>
    <row r="903" spans="1:7" ht="15.75" customHeight="1" x14ac:dyDescent="0.25">
      <c r="A903" s="50"/>
      <c r="B903" s="5"/>
      <c r="C903" s="5"/>
      <c r="D903" s="6"/>
      <c r="E903" s="6"/>
      <c r="F903" s="6"/>
      <c r="G903" s="6"/>
    </row>
    <row r="904" spans="1:7" ht="15.75" customHeight="1" x14ac:dyDescent="0.25">
      <c r="A904" s="50"/>
      <c r="B904" s="5"/>
      <c r="C904" s="5"/>
      <c r="D904" s="6"/>
      <c r="E904" s="6"/>
      <c r="F904" s="6"/>
      <c r="G904" s="6"/>
    </row>
    <row r="905" spans="1:7" ht="15.75" customHeight="1" x14ac:dyDescent="0.25">
      <c r="A905" s="50"/>
      <c r="B905" s="5"/>
      <c r="C905" s="5"/>
      <c r="D905" s="6"/>
      <c r="E905" s="6"/>
      <c r="F905" s="6"/>
      <c r="G905" s="6"/>
    </row>
    <row r="906" spans="1:7" ht="15.75" customHeight="1" x14ac:dyDescent="0.25">
      <c r="A906" s="50"/>
      <c r="B906" s="5"/>
      <c r="C906" s="5"/>
      <c r="D906" s="6"/>
      <c r="E906" s="6"/>
      <c r="F906" s="6"/>
      <c r="G906" s="6"/>
    </row>
    <row r="907" spans="1:7" ht="15.75" customHeight="1" x14ac:dyDescent="0.25">
      <c r="A907" s="50"/>
      <c r="B907" s="5"/>
      <c r="C907" s="5"/>
      <c r="D907" s="6"/>
      <c r="E907" s="6"/>
      <c r="F907" s="6"/>
      <c r="G907" s="6"/>
    </row>
    <row r="908" spans="1:7" ht="15.75" customHeight="1" x14ac:dyDescent="0.25">
      <c r="A908" s="50"/>
      <c r="B908" s="5"/>
      <c r="C908" s="5"/>
      <c r="D908" s="6"/>
      <c r="E908" s="6"/>
      <c r="F908" s="6"/>
      <c r="G908" s="6"/>
    </row>
    <row r="909" spans="1:7" ht="15.75" customHeight="1" x14ac:dyDescent="0.25">
      <c r="A909" s="50"/>
      <c r="B909" s="5"/>
      <c r="C909" s="5"/>
      <c r="D909" s="6"/>
      <c r="E909" s="6"/>
      <c r="F909" s="6"/>
      <c r="G909" s="6"/>
    </row>
    <row r="910" spans="1:7" ht="15.75" customHeight="1" x14ac:dyDescent="0.25">
      <c r="A910" s="50"/>
      <c r="B910" s="5"/>
      <c r="C910" s="5"/>
      <c r="D910" s="6"/>
      <c r="E910" s="6"/>
      <c r="F910" s="6"/>
      <c r="G910" s="6"/>
    </row>
    <row r="911" spans="1:7" ht="15.75" customHeight="1" x14ac:dyDescent="0.25">
      <c r="A911" s="50"/>
      <c r="B911" s="5"/>
      <c r="C911" s="5"/>
      <c r="D911" s="6"/>
      <c r="E911" s="6"/>
      <c r="F911" s="6"/>
      <c r="G911" s="6"/>
    </row>
    <row r="912" spans="1:7" ht="15.75" customHeight="1" x14ac:dyDescent="0.25">
      <c r="A912" s="50"/>
      <c r="B912" s="5"/>
      <c r="C912" s="5"/>
      <c r="D912" s="6"/>
      <c r="E912" s="6"/>
      <c r="F912" s="6"/>
      <c r="G912" s="6"/>
    </row>
    <row r="913" spans="1:7" ht="15.75" customHeight="1" x14ac:dyDescent="0.25">
      <c r="A913" s="50"/>
      <c r="B913" s="5"/>
      <c r="C913" s="5"/>
      <c r="D913" s="6"/>
      <c r="E913" s="6"/>
      <c r="F913" s="6"/>
      <c r="G913" s="6"/>
    </row>
    <row r="914" spans="1:7" ht="15.75" customHeight="1" x14ac:dyDescent="0.25">
      <c r="A914" s="50"/>
      <c r="B914" s="5"/>
      <c r="C914" s="5"/>
      <c r="D914" s="6"/>
      <c r="E914" s="6"/>
      <c r="F914" s="6"/>
      <c r="G914" s="6"/>
    </row>
    <row r="915" spans="1:7" ht="15.75" customHeight="1" x14ac:dyDescent="0.25">
      <c r="A915" s="50"/>
      <c r="B915" s="5"/>
      <c r="C915" s="5"/>
      <c r="D915" s="6"/>
      <c r="E915" s="6"/>
      <c r="F915" s="6"/>
      <c r="G915" s="6"/>
    </row>
    <row r="916" spans="1:7" ht="15.75" customHeight="1" x14ac:dyDescent="0.25">
      <c r="A916" s="50"/>
      <c r="B916" s="5"/>
      <c r="C916" s="5"/>
      <c r="D916" s="6"/>
      <c r="E916" s="6"/>
      <c r="F916" s="6"/>
      <c r="G916" s="6"/>
    </row>
    <row r="917" spans="1:7" ht="15.75" customHeight="1" x14ac:dyDescent="0.25">
      <c r="A917" s="50"/>
      <c r="B917" s="5"/>
      <c r="C917" s="5"/>
      <c r="D917" s="6"/>
      <c r="E917" s="6"/>
      <c r="F917" s="6"/>
      <c r="G917" s="6"/>
    </row>
    <row r="918" spans="1:7" ht="15.75" customHeight="1" x14ac:dyDescent="0.25">
      <c r="A918" s="50"/>
      <c r="B918" s="5"/>
      <c r="C918" s="5"/>
      <c r="D918" s="6"/>
      <c r="E918" s="6"/>
      <c r="F918" s="6"/>
      <c r="G918" s="6"/>
    </row>
    <row r="919" spans="1:7" ht="15.75" customHeight="1" x14ac:dyDescent="0.25">
      <c r="A919" s="50"/>
      <c r="B919" s="5"/>
      <c r="C919" s="5"/>
      <c r="D919" s="6"/>
      <c r="E919" s="6"/>
      <c r="F919" s="6"/>
      <c r="G919" s="6"/>
    </row>
    <row r="920" spans="1:7" ht="15.75" customHeight="1" x14ac:dyDescent="0.25">
      <c r="A920" s="50"/>
      <c r="B920" s="5"/>
      <c r="C920" s="5"/>
      <c r="D920" s="6"/>
      <c r="E920" s="6"/>
      <c r="F920" s="6"/>
      <c r="G920" s="6"/>
    </row>
    <row r="921" spans="1:7" ht="15.75" customHeight="1" x14ac:dyDescent="0.25">
      <c r="A921" s="50"/>
      <c r="B921" s="5"/>
      <c r="C921" s="5"/>
      <c r="D921" s="6"/>
      <c r="E921" s="6"/>
      <c r="F921" s="6"/>
      <c r="G921" s="6"/>
    </row>
    <row r="922" spans="1:7" ht="15.75" customHeight="1" x14ac:dyDescent="0.25">
      <c r="A922" s="50"/>
      <c r="B922" s="5"/>
      <c r="C922" s="5"/>
      <c r="D922" s="6"/>
      <c r="E922" s="6"/>
      <c r="F922" s="6"/>
      <c r="G922" s="6"/>
    </row>
    <row r="923" spans="1:7" ht="15.75" customHeight="1" x14ac:dyDescent="0.25">
      <c r="A923" s="50"/>
      <c r="B923" s="5"/>
      <c r="C923" s="5"/>
      <c r="D923" s="6"/>
      <c r="E923" s="6"/>
      <c r="F923" s="6"/>
      <c r="G923" s="6"/>
    </row>
    <row r="924" spans="1:7" ht="15.75" customHeight="1" x14ac:dyDescent="0.25">
      <c r="A924" s="50"/>
      <c r="B924" s="5"/>
      <c r="C924" s="5"/>
      <c r="D924" s="6"/>
      <c r="E924" s="6"/>
      <c r="F924" s="6"/>
      <c r="G924" s="6"/>
    </row>
    <row r="925" spans="1:7" ht="15.75" customHeight="1" x14ac:dyDescent="0.25">
      <c r="A925" s="50"/>
      <c r="B925" s="5"/>
      <c r="C925" s="5"/>
      <c r="D925" s="6"/>
      <c r="E925" s="6"/>
      <c r="F925" s="6"/>
      <c r="G925" s="6"/>
    </row>
    <row r="926" spans="1:7" ht="15.75" customHeight="1" x14ac:dyDescent="0.25">
      <c r="A926" s="50"/>
      <c r="B926" s="5"/>
      <c r="C926" s="5"/>
      <c r="D926" s="6"/>
      <c r="E926" s="6"/>
      <c r="F926" s="6"/>
      <c r="G926" s="6"/>
    </row>
    <row r="927" spans="1:7" ht="15.75" customHeight="1" x14ac:dyDescent="0.25">
      <c r="A927" s="50"/>
      <c r="B927" s="5"/>
      <c r="C927" s="5"/>
      <c r="D927" s="6"/>
      <c r="E927" s="6"/>
      <c r="F927" s="6"/>
      <c r="G927" s="6"/>
    </row>
    <row r="928" spans="1:7" ht="15.75" customHeight="1" x14ac:dyDescent="0.25">
      <c r="A928" s="50"/>
      <c r="B928" s="5"/>
      <c r="C928" s="5"/>
      <c r="D928" s="6"/>
      <c r="E928" s="6"/>
      <c r="F928" s="6"/>
      <c r="G928" s="6"/>
    </row>
    <row r="929" spans="1:7" ht="15.75" customHeight="1" x14ac:dyDescent="0.25">
      <c r="A929" s="50"/>
      <c r="B929" s="5"/>
      <c r="C929" s="5"/>
      <c r="D929" s="6"/>
      <c r="E929" s="6"/>
      <c r="F929" s="6"/>
      <c r="G929" s="6"/>
    </row>
    <row r="930" spans="1:7" ht="15.75" customHeight="1" x14ac:dyDescent="0.25">
      <c r="A930" s="50"/>
      <c r="B930" s="5"/>
      <c r="C930" s="5"/>
      <c r="D930" s="6"/>
      <c r="E930" s="6"/>
      <c r="F930" s="6"/>
      <c r="G930" s="6"/>
    </row>
    <row r="931" spans="1:7" ht="15.75" customHeight="1" x14ac:dyDescent="0.25">
      <c r="A931" s="50"/>
      <c r="B931" s="5"/>
      <c r="C931" s="5"/>
      <c r="D931" s="6"/>
      <c r="E931" s="6"/>
      <c r="F931" s="6"/>
      <c r="G931" s="6"/>
    </row>
    <row r="932" spans="1:7" ht="15.75" customHeight="1" x14ac:dyDescent="0.25">
      <c r="A932" s="50"/>
      <c r="B932" s="5"/>
      <c r="C932" s="5"/>
      <c r="D932" s="6"/>
      <c r="E932" s="6"/>
      <c r="F932" s="6"/>
      <c r="G932" s="6"/>
    </row>
    <row r="933" spans="1:7" ht="15.75" customHeight="1" x14ac:dyDescent="0.25">
      <c r="A933" s="50"/>
      <c r="B933" s="5"/>
      <c r="C933" s="5"/>
      <c r="D933" s="6"/>
      <c r="E933" s="6"/>
      <c r="F933" s="6"/>
      <c r="G933" s="6"/>
    </row>
    <row r="934" spans="1:7" ht="15.75" customHeight="1" x14ac:dyDescent="0.25">
      <c r="A934" s="50"/>
      <c r="B934" s="5"/>
      <c r="C934" s="5"/>
      <c r="D934" s="6"/>
      <c r="E934" s="6"/>
      <c r="F934" s="6"/>
      <c r="G934" s="6"/>
    </row>
    <row r="935" spans="1:7" ht="15.75" customHeight="1" x14ac:dyDescent="0.25">
      <c r="A935" s="50"/>
      <c r="B935" s="5"/>
      <c r="C935" s="5"/>
      <c r="D935" s="6"/>
      <c r="E935" s="6"/>
      <c r="F935" s="6"/>
      <c r="G935" s="6"/>
    </row>
    <row r="936" spans="1:7" ht="15.75" customHeight="1" x14ac:dyDescent="0.25">
      <c r="A936" s="50"/>
      <c r="B936" s="5"/>
      <c r="C936" s="5"/>
      <c r="D936" s="6"/>
      <c r="E936" s="6"/>
      <c r="F936" s="6"/>
      <c r="G936" s="6"/>
    </row>
    <row r="937" spans="1:7" ht="15.75" customHeight="1" x14ac:dyDescent="0.25">
      <c r="A937" s="50"/>
      <c r="B937" s="5"/>
      <c r="C937" s="5"/>
      <c r="D937" s="6"/>
      <c r="E937" s="6"/>
      <c r="F937" s="6"/>
      <c r="G937" s="6"/>
    </row>
    <row r="938" spans="1:7" ht="15.75" customHeight="1" x14ac:dyDescent="0.25">
      <c r="A938" s="50"/>
      <c r="B938" s="5"/>
      <c r="C938" s="5"/>
      <c r="D938" s="6"/>
      <c r="E938" s="6"/>
      <c r="F938" s="6"/>
      <c r="G938" s="6"/>
    </row>
    <row r="939" spans="1:7" ht="15.75" customHeight="1" x14ac:dyDescent="0.25">
      <c r="A939" s="50"/>
      <c r="B939" s="5"/>
      <c r="C939" s="5"/>
      <c r="D939" s="6"/>
      <c r="E939" s="6"/>
      <c r="F939" s="6"/>
      <c r="G939" s="6"/>
    </row>
    <row r="940" spans="1:7" ht="15.75" customHeight="1" x14ac:dyDescent="0.25">
      <c r="A940" s="50"/>
      <c r="B940" s="5"/>
      <c r="C940" s="5"/>
      <c r="D940" s="6"/>
      <c r="E940" s="6"/>
      <c r="F940" s="6"/>
      <c r="G940" s="6"/>
    </row>
    <row r="941" spans="1:7" ht="15.75" customHeight="1" x14ac:dyDescent="0.25">
      <c r="A941" s="50"/>
      <c r="B941" s="5"/>
      <c r="C941" s="5"/>
      <c r="D941" s="6"/>
      <c r="E941" s="6"/>
      <c r="F941" s="6"/>
      <c r="G941" s="6"/>
    </row>
    <row r="942" spans="1:7" ht="15.75" customHeight="1" x14ac:dyDescent="0.25">
      <c r="A942" s="50"/>
      <c r="B942" s="5"/>
      <c r="C942" s="5"/>
      <c r="D942" s="6"/>
      <c r="E942" s="6"/>
      <c r="F942" s="6"/>
      <c r="G942" s="6"/>
    </row>
    <row r="943" spans="1:7" ht="15.75" customHeight="1" x14ac:dyDescent="0.25">
      <c r="A943" s="50"/>
      <c r="B943" s="5"/>
      <c r="C943" s="5"/>
      <c r="D943" s="6"/>
      <c r="E943" s="6"/>
      <c r="F943" s="6"/>
      <c r="G943" s="6"/>
    </row>
    <row r="944" spans="1:7" ht="15.75" customHeight="1" x14ac:dyDescent="0.25">
      <c r="A944" s="50"/>
      <c r="B944" s="5"/>
      <c r="C944" s="5"/>
      <c r="D944" s="6"/>
      <c r="E944" s="6"/>
      <c r="F944" s="6"/>
      <c r="G944" s="6"/>
    </row>
    <row r="945" spans="1:7" ht="15.75" customHeight="1" x14ac:dyDescent="0.25">
      <c r="A945" s="50"/>
      <c r="B945" s="5"/>
      <c r="C945" s="5"/>
      <c r="D945" s="6"/>
      <c r="E945" s="6"/>
      <c r="F945" s="6"/>
      <c r="G945" s="6"/>
    </row>
    <row r="946" spans="1:7" ht="15.75" customHeight="1" x14ac:dyDescent="0.25">
      <c r="A946" s="50"/>
      <c r="B946" s="5"/>
      <c r="C946" s="5"/>
      <c r="D946" s="6"/>
      <c r="E946" s="6"/>
      <c r="F946" s="6"/>
      <c r="G946" s="6"/>
    </row>
    <row r="947" spans="1:7" ht="15.75" customHeight="1" x14ac:dyDescent="0.25">
      <c r="A947" s="50"/>
      <c r="B947" s="5"/>
      <c r="C947" s="5"/>
      <c r="D947" s="6"/>
      <c r="E947" s="6"/>
      <c r="F947" s="6"/>
      <c r="G947" s="6"/>
    </row>
    <row r="948" spans="1:7" ht="15.75" customHeight="1" x14ac:dyDescent="0.25">
      <c r="A948" s="50"/>
      <c r="B948" s="5"/>
      <c r="C948" s="5"/>
      <c r="D948" s="6"/>
      <c r="E948" s="6"/>
      <c r="F948" s="6"/>
      <c r="G948" s="6"/>
    </row>
    <row r="949" spans="1:7" ht="15.75" customHeight="1" x14ac:dyDescent="0.25">
      <c r="A949" s="50"/>
      <c r="B949" s="5"/>
      <c r="C949" s="5"/>
      <c r="D949" s="6"/>
      <c r="E949" s="6"/>
      <c r="F949" s="6"/>
      <c r="G949" s="6"/>
    </row>
    <row r="950" spans="1:7" ht="15.75" customHeight="1" x14ac:dyDescent="0.25">
      <c r="A950" s="50"/>
      <c r="B950" s="5"/>
      <c r="C950" s="5"/>
      <c r="D950" s="6"/>
      <c r="E950" s="6"/>
      <c r="F950" s="6"/>
      <c r="G950" s="6"/>
    </row>
    <row r="951" spans="1:7" ht="15.75" customHeight="1" x14ac:dyDescent="0.25">
      <c r="A951" s="50"/>
      <c r="B951" s="5"/>
      <c r="C951" s="5"/>
      <c r="D951" s="6"/>
      <c r="E951" s="6"/>
      <c r="F951" s="6"/>
      <c r="G951" s="6"/>
    </row>
    <row r="952" spans="1:7" ht="15.75" customHeight="1" x14ac:dyDescent="0.25">
      <c r="A952" s="50"/>
      <c r="B952" s="5"/>
      <c r="C952" s="5"/>
      <c r="D952" s="6"/>
      <c r="E952" s="6"/>
      <c r="F952" s="6"/>
      <c r="G952" s="6"/>
    </row>
    <row r="953" spans="1:7" ht="15.75" customHeight="1" x14ac:dyDescent="0.25">
      <c r="A953" s="50"/>
      <c r="B953" s="5"/>
      <c r="C953" s="5"/>
      <c r="D953" s="6"/>
      <c r="E953" s="6"/>
      <c r="F953" s="6"/>
      <c r="G953" s="6"/>
    </row>
    <row r="954" spans="1:7" ht="15.75" customHeight="1" x14ac:dyDescent="0.25">
      <c r="A954" s="50"/>
      <c r="B954" s="5"/>
      <c r="C954" s="5"/>
      <c r="D954" s="6"/>
      <c r="E954" s="6"/>
      <c r="F954" s="6"/>
      <c r="G954" s="6"/>
    </row>
    <row r="955" spans="1:7" ht="15.75" customHeight="1" x14ac:dyDescent="0.25">
      <c r="A955" s="50"/>
      <c r="B955" s="5"/>
      <c r="C955" s="5"/>
      <c r="D955" s="6"/>
      <c r="E955" s="6"/>
      <c r="F955" s="6"/>
      <c r="G955" s="6"/>
    </row>
    <row r="956" spans="1:7" ht="15.75" customHeight="1" x14ac:dyDescent="0.25">
      <c r="A956" s="50"/>
      <c r="B956" s="5"/>
      <c r="C956" s="5"/>
      <c r="D956" s="6"/>
      <c r="E956" s="6"/>
      <c r="F956" s="6"/>
      <c r="G956" s="6"/>
    </row>
    <row r="957" spans="1:7" ht="15.75" customHeight="1" x14ac:dyDescent="0.25">
      <c r="A957" s="50"/>
      <c r="B957" s="5"/>
      <c r="C957" s="5"/>
      <c r="D957" s="6"/>
      <c r="E957" s="6"/>
      <c r="F957" s="6"/>
      <c r="G957" s="6"/>
    </row>
    <row r="958" spans="1:7" ht="15.75" customHeight="1" x14ac:dyDescent="0.25">
      <c r="A958" s="50"/>
      <c r="B958" s="5"/>
      <c r="C958" s="5"/>
      <c r="D958" s="6"/>
      <c r="E958" s="6"/>
      <c r="F958" s="6"/>
      <c r="G958" s="6"/>
    </row>
    <row r="959" spans="1:7" ht="15.75" customHeight="1" x14ac:dyDescent="0.25">
      <c r="A959" s="50"/>
      <c r="B959" s="5"/>
      <c r="C959" s="5"/>
      <c r="D959" s="6"/>
      <c r="E959" s="6"/>
      <c r="F959" s="6"/>
      <c r="G959" s="6"/>
    </row>
    <row r="960" spans="1:7" ht="15.75" customHeight="1" x14ac:dyDescent="0.25">
      <c r="A960" s="50"/>
      <c r="B960" s="5"/>
      <c r="C960" s="5"/>
      <c r="D960" s="6"/>
      <c r="E960" s="6"/>
      <c r="F960" s="6"/>
      <c r="G960" s="6"/>
    </row>
    <row r="961" spans="1:7" ht="15.75" customHeight="1" x14ac:dyDescent="0.25">
      <c r="A961" s="50"/>
      <c r="B961" s="5"/>
      <c r="C961" s="5"/>
      <c r="D961" s="6"/>
      <c r="E961" s="6"/>
      <c r="F961" s="6"/>
      <c r="G961" s="6"/>
    </row>
    <row r="962" spans="1:7" ht="15.75" customHeight="1" x14ac:dyDescent="0.25">
      <c r="A962" s="50"/>
      <c r="B962" s="5"/>
      <c r="C962" s="5"/>
      <c r="D962" s="6"/>
      <c r="E962" s="6"/>
      <c r="F962" s="6"/>
      <c r="G962" s="6"/>
    </row>
    <row r="963" spans="1:7" ht="15.75" customHeight="1" x14ac:dyDescent="0.25">
      <c r="A963" s="50"/>
      <c r="B963" s="5"/>
      <c r="C963" s="5"/>
      <c r="D963" s="6"/>
      <c r="E963" s="6"/>
      <c r="F963" s="6"/>
      <c r="G963" s="6"/>
    </row>
    <row r="964" spans="1:7" ht="15.75" customHeight="1" x14ac:dyDescent="0.25">
      <c r="A964" s="50"/>
      <c r="B964" s="5"/>
      <c r="C964" s="5"/>
      <c r="D964" s="6"/>
      <c r="E964" s="6"/>
      <c r="F964" s="6"/>
      <c r="G964" s="6"/>
    </row>
    <row r="965" spans="1:7" ht="15.75" customHeight="1" x14ac:dyDescent="0.25">
      <c r="A965" s="50"/>
      <c r="B965" s="5"/>
      <c r="C965" s="5"/>
      <c r="D965" s="6"/>
      <c r="E965" s="6"/>
      <c r="F965" s="6"/>
      <c r="G965" s="6"/>
    </row>
    <row r="966" spans="1:7" ht="15.75" customHeight="1" x14ac:dyDescent="0.25">
      <c r="A966" s="50"/>
      <c r="B966" s="5"/>
      <c r="C966" s="5"/>
      <c r="D966" s="6"/>
      <c r="E966" s="6"/>
      <c r="F966" s="6"/>
      <c r="G966" s="6"/>
    </row>
    <row r="967" spans="1:7" ht="15.75" customHeight="1" x14ac:dyDescent="0.25">
      <c r="A967" s="50"/>
      <c r="B967" s="5"/>
      <c r="C967" s="5"/>
      <c r="D967" s="6"/>
      <c r="E967" s="6"/>
      <c r="F967" s="6"/>
      <c r="G967" s="6"/>
    </row>
    <row r="968" spans="1:7" ht="15.75" customHeight="1" x14ac:dyDescent="0.25">
      <c r="A968" s="50"/>
      <c r="B968" s="5"/>
      <c r="C968" s="5"/>
      <c r="D968" s="6"/>
      <c r="E968" s="6"/>
      <c r="F968" s="6"/>
      <c r="G968" s="6"/>
    </row>
    <row r="969" spans="1:7" ht="15.75" customHeight="1" x14ac:dyDescent="0.25">
      <c r="A969" s="50"/>
      <c r="B969" s="5"/>
      <c r="C969" s="5"/>
      <c r="D969" s="6"/>
      <c r="E969" s="6"/>
      <c r="F969" s="6"/>
      <c r="G969" s="6"/>
    </row>
    <row r="970" spans="1:7" ht="15.75" customHeight="1" x14ac:dyDescent="0.25">
      <c r="A970" s="50"/>
      <c r="B970" s="5"/>
      <c r="C970" s="5"/>
      <c r="D970" s="6"/>
      <c r="E970" s="6"/>
      <c r="F970" s="6"/>
      <c r="G970" s="6"/>
    </row>
    <row r="971" spans="1:7" ht="15.75" customHeight="1" x14ac:dyDescent="0.25">
      <c r="A971" s="50"/>
      <c r="B971" s="5"/>
      <c r="C971" s="5"/>
      <c r="D971" s="6"/>
      <c r="E971" s="6"/>
      <c r="F971" s="6"/>
      <c r="G971" s="6"/>
    </row>
    <row r="972" spans="1:7" ht="15.75" customHeight="1" x14ac:dyDescent="0.25">
      <c r="A972" s="50"/>
      <c r="B972" s="5"/>
      <c r="C972" s="5"/>
      <c r="D972" s="6"/>
      <c r="E972" s="6"/>
      <c r="F972" s="6"/>
      <c r="G972" s="6"/>
    </row>
    <row r="973" spans="1:7" ht="15.75" customHeight="1" x14ac:dyDescent="0.25">
      <c r="A973" s="50"/>
      <c r="B973" s="5"/>
      <c r="C973" s="5"/>
      <c r="D973" s="6"/>
      <c r="E973" s="6"/>
      <c r="F973" s="6"/>
      <c r="G973" s="6"/>
    </row>
    <row r="974" spans="1:7" ht="15.75" customHeight="1" x14ac:dyDescent="0.25">
      <c r="A974" s="50"/>
      <c r="B974" s="5"/>
      <c r="C974" s="5"/>
      <c r="D974" s="6"/>
      <c r="E974" s="6"/>
      <c r="F974" s="6"/>
      <c r="G974" s="6"/>
    </row>
    <row r="975" spans="1:7" ht="15.75" customHeight="1" x14ac:dyDescent="0.25">
      <c r="A975" s="50"/>
      <c r="B975" s="5"/>
      <c r="C975" s="5"/>
      <c r="D975" s="6"/>
      <c r="E975" s="6"/>
      <c r="F975" s="6"/>
      <c r="G975" s="6"/>
    </row>
    <row r="976" spans="1:7" ht="15.75" customHeight="1" x14ac:dyDescent="0.25">
      <c r="A976" s="50"/>
      <c r="B976" s="5"/>
      <c r="C976" s="5"/>
      <c r="D976" s="6"/>
      <c r="E976" s="6"/>
      <c r="F976" s="6"/>
      <c r="G976" s="6"/>
    </row>
    <row r="977" spans="1:7" ht="15.75" customHeight="1" x14ac:dyDescent="0.25">
      <c r="A977" s="50"/>
      <c r="B977" s="5"/>
      <c r="C977" s="5"/>
      <c r="D977" s="6"/>
      <c r="E977" s="6"/>
      <c r="F977" s="6"/>
      <c r="G977" s="6"/>
    </row>
    <row r="978" spans="1:7" ht="15.75" customHeight="1" x14ac:dyDescent="0.25">
      <c r="A978" s="50"/>
      <c r="B978" s="5"/>
      <c r="C978" s="5"/>
      <c r="D978" s="6"/>
      <c r="E978" s="6"/>
      <c r="F978" s="6"/>
      <c r="G978" s="6"/>
    </row>
    <row r="979" spans="1:7" ht="15.75" customHeight="1" x14ac:dyDescent="0.25">
      <c r="A979" s="50"/>
      <c r="B979" s="5"/>
      <c r="C979" s="5"/>
      <c r="D979" s="6"/>
      <c r="E979" s="6"/>
      <c r="F979" s="6"/>
      <c r="G979" s="6"/>
    </row>
    <row r="980" spans="1:7" ht="15.75" customHeight="1" x14ac:dyDescent="0.25">
      <c r="A980" s="50"/>
      <c r="B980" s="5"/>
      <c r="C980" s="5"/>
      <c r="D980" s="6"/>
      <c r="E980" s="6"/>
      <c r="F980" s="6"/>
      <c r="G980" s="6"/>
    </row>
    <row r="981" spans="1:7" ht="15.75" customHeight="1" x14ac:dyDescent="0.25">
      <c r="A981" s="50"/>
      <c r="B981" s="5"/>
      <c r="C981" s="5"/>
      <c r="D981" s="6"/>
      <c r="E981" s="6"/>
      <c r="F981" s="6"/>
      <c r="G981" s="6"/>
    </row>
    <row r="982" spans="1:7" ht="15.75" customHeight="1" x14ac:dyDescent="0.25">
      <c r="A982" s="50"/>
      <c r="B982" s="5"/>
      <c r="C982" s="5"/>
      <c r="D982" s="6"/>
      <c r="E982" s="6"/>
      <c r="F982" s="6"/>
      <c r="G982" s="6"/>
    </row>
    <row r="983" spans="1:7" ht="15.75" customHeight="1" x14ac:dyDescent="0.25">
      <c r="A983" s="50"/>
      <c r="B983" s="5"/>
      <c r="C983" s="5"/>
      <c r="D983" s="6"/>
      <c r="E983" s="6"/>
      <c r="F983" s="6"/>
      <c r="G983" s="6"/>
    </row>
    <row r="984" spans="1:7" ht="15.75" customHeight="1" x14ac:dyDescent="0.25">
      <c r="A984" s="50"/>
      <c r="B984" s="5"/>
      <c r="C984" s="5"/>
      <c r="D984" s="6"/>
      <c r="E984" s="6"/>
      <c r="F984" s="6"/>
      <c r="G984" s="6"/>
    </row>
    <row r="985" spans="1:7" ht="15.75" customHeight="1" x14ac:dyDescent="0.25">
      <c r="A985" s="50"/>
      <c r="B985" s="5"/>
      <c r="C985" s="5"/>
      <c r="D985" s="6"/>
      <c r="E985" s="6"/>
      <c r="F985" s="6"/>
      <c r="G985" s="6"/>
    </row>
    <row r="986" spans="1:7" ht="15.75" customHeight="1" x14ac:dyDescent="0.25">
      <c r="A986" s="50"/>
      <c r="B986" s="5"/>
      <c r="C986" s="5"/>
      <c r="D986" s="6"/>
      <c r="E986" s="6"/>
      <c r="F986" s="6"/>
      <c r="G986" s="6"/>
    </row>
    <row r="987" spans="1:7" ht="15.75" customHeight="1" x14ac:dyDescent="0.25">
      <c r="A987" s="50"/>
      <c r="B987" s="5"/>
      <c r="C987" s="5"/>
      <c r="D987" s="6"/>
      <c r="E987" s="6"/>
      <c r="F987" s="6"/>
      <c r="G987" s="6"/>
    </row>
    <row r="988" spans="1:7" ht="15.75" customHeight="1" x14ac:dyDescent="0.25">
      <c r="A988" s="50"/>
      <c r="B988" s="5"/>
      <c r="C988" s="5"/>
      <c r="D988" s="6"/>
      <c r="E988" s="6"/>
      <c r="F988" s="6"/>
      <c r="G988" s="6"/>
    </row>
    <row r="989" spans="1:7" ht="15.75" customHeight="1" x14ac:dyDescent="0.25">
      <c r="A989" s="50"/>
      <c r="B989" s="5"/>
      <c r="C989" s="5"/>
      <c r="D989" s="6"/>
      <c r="E989" s="6"/>
      <c r="F989" s="6"/>
      <c r="G989" s="6"/>
    </row>
    <row r="990" spans="1:7" ht="15.75" customHeight="1" x14ac:dyDescent="0.25">
      <c r="A990" s="50"/>
      <c r="B990" s="5"/>
      <c r="C990" s="5"/>
      <c r="D990" s="6"/>
      <c r="E990" s="6"/>
      <c r="F990" s="6"/>
      <c r="G990" s="6"/>
    </row>
    <row r="991" spans="1:7" ht="15.75" customHeight="1" x14ac:dyDescent="0.25">
      <c r="A991" s="50"/>
      <c r="B991" s="5"/>
      <c r="C991" s="5"/>
      <c r="D991" s="6"/>
      <c r="E991" s="6"/>
      <c r="F991" s="6"/>
      <c r="G991" s="6"/>
    </row>
    <row r="992" spans="1:7" ht="15.75" customHeight="1" x14ac:dyDescent="0.25">
      <c r="A992" s="50"/>
      <c r="B992" s="5"/>
      <c r="C992" s="5"/>
      <c r="D992" s="6"/>
      <c r="E992" s="6"/>
      <c r="F992" s="6"/>
      <c r="G992" s="6"/>
    </row>
    <row r="993" spans="1:7" ht="15.75" customHeight="1" x14ac:dyDescent="0.25">
      <c r="A993" s="50"/>
      <c r="B993" s="5"/>
      <c r="C993" s="5"/>
      <c r="D993" s="6"/>
      <c r="E993" s="6"/>
      <c r="F993" s="6"/>
      <c r="G993" s="6"/>
    </row>
    <row r="994" spans="1:7" ht="15.75" customHeight="1" x14ac:dyDescent="0.25">
      <c r="A994" s="50"/>
      <c r="B994" s="5"/>
      <c r="C994" s="5"/>
      <c r="D994" s="6"/>
      <c r="E994" s="6"/>
      <c r="F994" s="6"/>
      <c r="G994" s="6"/>
    </row>
    <row r="995" spans="1:7" ht="15.75" customHeight="1" x14ac:dyDescent="0.25">
      <c r="A995" s="50"/>
      <c r="B995" s="5"/>
      <c r="C995" s="5"/>
      <c r="D995" s="6"/>
      <c r="E995" s="6"/>
      <c r="F995" s="6"/>
      <c r="G995" s="6"/>
    </row>
    <row r="996" spans="1:7" ht="15.75" customHeight="1" x14ac:dyDescent="0.25">
      <c r="A996" s="50"/>
      <c r="B996" s="5"/>
      <c r="C996" s="5"/>
      <c r="D996" s="6"/>
      <c r="E996" s="6"/>
      <c r="F996" s="6"/>
      <c r="G996" s="6"/>
    </row>
    <row r="997" spans="1:7" ht="15.75" customHeight="1" x14ac:dyDescent="0.25">
      <c r="A997" s="50"/>
      <c r="B997" s="5"/>
      <c r="C997" s="5"/>
      <c r="D997" s="6"/>
      <c r="E997" s="6"/>
      <c r="F997" s="6"/>
      <c r="G997" s="6"/>
    </row>
    <row r="998" spans="1:7" ht="15.75" customHeight="1" x14ac:dyDescent="0.25">
      <c r="A998" s="50"/>
      <c r="B998" s="5"/>
      <c r="C998" s="5"/>
      <c r="D998" s="6"/>
      <c r="E998" s="6"/>
      <c r="F998" s="6"/>
      <c r="G998" s="6"/>
    </row>
    <row r="999" spans="1:7" ht="15.75" customHeight="1" x14ac:dyDescent="0.25">
      <c r="A999" s="50"/>
      <c r="B999" s="5"/>
      <c r="C999" s="5"/>
      <c r="D999" s="6"/>
      <c r="E999" s="6"/>
      <c r="F999" s="6"/>
      <c r="G999" s="6"/>
    </row>
    <row r="1000" spans="1:7" ht="15.75" customHeight="1" x14ac:dyDescent="0.25">
      <c r="A1000" s="50"/>
      <c r="B1000" s="5"/>
      <c r="C1000" s="5"/>
      <c r="D1000" s="6"/>
      <c r="E1000" s="6"/>
      <c r="F1000" s="6"/>
      <c r="G1000" s="6"/>
    </row>
    <row r="1001" spans="1:7" ht="15.75" customHeight="1" x14ac:dyDescent="0.25">
      <c r="A1001" s="50"/>
      <c r="B1001" s="5"/>
      <c r="C1001" s="5"/>
      <c r="D1001" s="6"/>
      <c r="E1001" s="6"/>
      <c r="F1001" s="6"/>
      <c r="G1001" s="6"/>
    </row>
    <row r="1002" spans="1:7" ht="15.75" customHeight="1" x14ac:dyDescent="0.25">
      <c r="A1002" s="50"/>
      <c r="B1002" s="5"/>
      <c r="C1002" s="5"/>
      <c r="D1002" s="6"/>
      <c r="E1002" s="6"/>
      <c r="F1002" s="6"/>
      <c r="G1002" s="6"/>
    </row>
  </sheetData>
  <phoneticPr fontId="36" type="noConversion"/>
  <conditionalFormatting sqref="G2">
    <cfRule type="cellIs" dxfId="125" priority="1" operator="lessThan">
      <formula>0</formula>
    </cfRule>
    <cfRule type="cellIs" dxfId="124" priority="2" operator="greaterThan">
      <formula>0</formula>
    </cfRule>
  </conditionalFormatting>
  <hyperlinks>
    <hyperlink ref="D1" location="CLIENTES!A1" display="volver" xr:uid="{00000000-0004-0000-0100-000000000000}"/>
  </hyperlink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A5F58-5089-41B0-8320-527AF4FB788F}">
  <dimension ref="A1:G46"/>
  <sheetViews>
    <sheetView workbookViewId="0">
      <selection activeCell="D1" sqref="D1"/>
    </sheetView>
  </sheetViews>
  <sheetFormatPr baseColWidth="10" defaultRowHeight="15" x14ac:dyDescent="0.25"/>
  <cols>
    <col min="1" max="1" width="14.42578125" customWidth="1"/>
    <col min="2" max="2" width="25" customWidth="1"/>
    <col min="3" max="3" width="16.5703125" customWidth="1"/>
    <col min="4" max="4" width="20.7109375" customWidth="1"/>
    <col min="5" max="5" width="14.85546875" customWidth="1"/>
    <col min="7" max="7" width="23.140625" customWidth="1"/>
  </cols>
  <sheetData>
    <row r="1" spans="1:7" ht="19.5" thickBot="1" x14ac:dyDescent="0.35">
      <c r="A1" s="12" t="s">
        <v>222</v>
      </c>
      <c r="D1" s="102" t="s">
        <v>52</v>
      </c>
      <c r="F1" s="72" t="s">
        <v>58</v>
      </c>
      <c r="G1" s="74">
        <f>SUM(C2:C1048576) - SUM(B2:B1048576)</f>
        <v>0</v>
      </c>
    </row>
    <row r="2" spans="1:7" ht="19.5" thickBot="1" x14ac:dyDescent="0.35">
      <c r="A2" s="13" t="s">
        <v>53</v>
      </c>
      <c r="B2" s="14" t="s">
        <v>54</v>
      </c>
      <c r="C2" s="14" t="s">
        <v>55</v>
      </c>
      <c r="D2" s="13" t="s">
        <v>56</v>
      </c>
      <c r="E2" s="13" t="s">
        <v>57</v>
      </c>
      <c r="F2" s="71" t="s">
        <v>58</v>
      </c>
      <c r="G2" s="73">
        <f>SUM(C3:C1048576) - SUM(B3:B1048576)</f>
        <v>0</v>
      </c>
    </row>
    <row r="3" spans="1:7" x14ac:dyDescent="0.25">
      <c r="A3" s="15">
        <v>46053</v>
      </c>
      <c r="B3" s="3">
        <v>58200</v>
      </c>
      <c r="C3" s="3"/>
      <c r="D3" s="17"/>
      <c r="E3" s="18"/>
      <c r="F3" s="19"/>
      <c r="G3" s="20"/>
    </row>
    <row r="4" spans="1:7" x14ac:dyDescent="0.25">
      <c r="A4" s="87">
        <v>46053</v>
      </c>
      <c r="B4" s="33"/>
      <c r="C4">
        <v>58200</v>
      </c>
    </row>
    <row r="5" spans="1:7" x14ac:dyDescent="0.25">
      <c r="A5" s="15"/>
      <c r="B5" s="3"/>
      <c r="C5" s="3"/>
      <c r="D5" s="17"/>
      <c r="E5" s="18"/>
    </row>
    <row r="6" spans="1:7" x14ac:dyDescent="0.25">
      <c r="A6" s="15"/>
      <c r="B6" s="3"/>
      <c r="C6" s="3"/>
      <c r="D6" s="17"/>
      <c r="E6" s="18"/>
    </row>
    <row r="7" spans="1:7" x14ac:dyDescent="0.25">
      <c r="A7" s="15"/>
      <c r="B7" s="3"/>
      <c r="C7" s="3"/>
      <c r="D7" s="17"/>
      <c r="E7" s="18"/>
    </row>
    <row r="8" spans="1:7" x14ac:dyDescent="0.25">
      <c r="A8" s="15"/>
      <c r="B8" s="3"/>
      <c r="C8" s="3"/>
      <c r="D8" s="17"/>
      <c r="E8" s="18"/>
    </row>
    <row r="9" spans="1:7" x14ac:dyDescent="0.25">
      <c r="A9" s="15"/>
      <c r="B9" s="3"/>
      <c r="C9" s="3"/>
      <c r="D9" s="17"/>
      <c r="E9" s="18"/>
    </row>
    <row r="10" spans="1:7" x14ac:dyDescent="0.25">
      <c r="A10" s="15"/>
      <c r="B10" s="3"/>
      <c r="C10" s="3"/>
      <c r="D10" s="17"/>
      <c r="E10" s="18"/>
    </row>
    <row r="11" spans="1:7" x14ac:dyDescent="0.25">
      <c r="A11" s="15"/>
      <c r="B11" s="3"/>
      <c r="C11" s="3"/>
      <c r="D11" s="17"/>
      <c r="E11" s="18"/>
    </row>
    <row r="12" spans="1:7" x14ac:dyDescent="0.25">
      <c r="A12" s="15"/>
      <c r="B12" s="3"/>
      <c r="C12" s="3"/>
      <c r="D12" s="17"/>
      <c r="E12" s="18"/>
    </row>
    <row r="13" spans="1:7" x14ac:dyDescent="0.25">
      <c r="A13" s="15"/>
      <c r="B13" s="3"/>
      <c r="C13" s="3"/>
      <c r="D13" s="17"/>
      <c r="E13" s="18"/>
    </row>
    <row r="14" spans="1:7" x14ac:dyDescent="0.25">
      <c r="A14" s="15"/>
      <c r="B14" s="3"/>
      <c r="C14" s="3"/>
      <c r="D14" s="17"/>
      <c r="E14" s="18"/>
    </row>
    <row r="15" spans="1:7" x14ac:dyDescent="0.25">
      <c r="A15" s="15"/>
      <c r="B15" s="3"/>
      <c r="C15" s="3"/>
      <c r="D15" s="17"/>
      <c r="E15" s="18"/>
    </row>
    <row r="16" spans="1:7" x14ac:dyDescent="0.25">
      <c r="A16" s="15"/>
      <c r="B16" s="3"/>
      <c r="C16" s="3"/>
      <c r="D16" s="17"/>
      <c r="E16" s="18"/>
    </row>
    <row r="17" spans="1:5" x14ac:dyDescent="0.25">
      <c r="A17" s="15"/>
      <c r="B17" s="3"/>
      <c r="C17" s="3"/>
      <c r="D17" s="17"/>
      <c r="E17" s="18"/>
    </row>
    <row r="18" spans="1:5" x14ac:dyDescent="0.25">
      <c r="A18" s="15"/>
      <c r="B18" s="3"/>
      <c r="C18" s="3"/>
      <c r="D18" s="17"/>
      <c r="E18" s="18"/>
    </row>
    <row r="19" spans="1:5" x14ac:dyDescent="0.25">
      <c r="A19" s="15"/>
      <c r="B19" s="3"/>
      <c r="C19" s="3"/>
      <c r="D19" s="17"/>
      <c r="E19" s="18"/>
    </row>
    <row r="20" spans="1:5" x14ac:dyDescent="0.25">
      <c r="A20" s="15"/>
      <c r="B20" s="3"/>
      <c r="C20" s="3"/>
      <c r="D20" s="17"/>
      <c r="E20" s="18"/>
    </row>
    <row r="21" spans="1:5" x14ac:dyDescent="0.25">
      <c r="A21" s="15"/>
      <c r="B21" s="3"/>
      <c r="C21" s="3"/>
      <c r="D21" s="17"/>
      <c r="E21" s="18"/>
    </row>
    <row r="22" spans="1:5" x14ac:dyDescent="0.25">
      <c r="A22" s="15"/>
      <c r="B22" s="3"/>
      <c r="C22" s="3"/>
      <c r="D22" s="17"/>
      <c r="E22" s="18"/>
    </row>
    <row r="23" spans="1:5" x14ac:dyDescent="0.25">
      <c r="A23" s="15"/>
      <c r="B23" s="3"/>
      <c r="C23" s="3"/>
      <c r="D23" s="17"/>
      <c r="E23" s="58"/>
    </row>
    <row r="24" spans="1:5" x14ac:dyDescent="0.25">
      <c r="A24" s="15"/>
      <c r="B24" s="3"/>
      <c r="C24" s="3"/>
      <c r="D24" s="17"/>
      <c r="E24" s="58"/>
    </row>
    <row r="25" spans="1:5" x14ac:dyDescent="0.25">
      <c r="A25" s="15"/>
      <c r="B25" s="3"/>
      <c r="C25" s="3"/>
      <c r="D25" s="59"/>
      <c r="E25" s="18"/>
    </row>
    <row r="26" spans="1:5" x14ac:dyDescent="0.25">
      <c r="A26" s="15"/>
      <c r="B26" s="3"/>
      <c r="C26" s="3"/>
      <c r="D26" s="17"/>
      <c r="E26" s="18"/>
    </row>
    <row r="27" spans="1:5" x14ac:dyDescent="0.25">
      <c r="A27" s="15"/>
      <c r="B27" s="3"/>
      <c r="C27" s="3"/>
      <c r="D27" s="17"/>
      <c r="E27" s="18"/>
    </row>
    <row r="28" spans="1:5" x14ac:dyDescent="0.25">
      <c r="A28" s="15"/>
      <c r="B28" s="3"/>
      <c r="C28" s="3"/>
      <c r="D28" s="17"/>
      <c r="E28" s="18"/>
    </row>
    <row r="29" spans="1:5" x14ac:dyDescent="0.25">
      <c r="A29" s="15"/>
      <c r="B29" s="3"/>
      <c r="C29" s="3"/>
      <c r="D29" s="17"/>
      <c r="E29" s="18"/>
    </row>
    <row r="30" spans="1:5" x14ac:dyDescent="0.25">
      <c r="A30" s="15"/>
      <c r="B30" s="3"/>
      <c r="C30" s="3"/>
      <c r="D30" s="17"/>
      <c r="E30" s="18"/>
    </row>
    <row r="31" spans="1:5" x14ac:dyDescent="0.25">
      <c r="A31" s="15"/>
      <c r="B31" s="3"/>
      <c r="C31" s="3"/>
      <c r="D31" s="17"/>
      <c r="E31" s="18"/>
    </row>
    <row r="32" spans="1:5" x14ac:dyDescent="0.25">
      <c r="A32" s="15"/>
      <c r="B32" s="3"/>
      <c r="C32" s="3"/>
      <c r="D32" s="17"/>
      <c r="E32" s="18"/>
    </row>
    <row r="33" spans="1:5" x14ac:dyDescent="0.25">
      <c r="A33" s="15"/>
      <c r="B33" s="3"/>
      <c r="C33" s="3"/>
      <c r="D33" s="17"/>
      <c r="E33" s="18"/>
    </row>
    <row r="34" spans="1:5" x14ac:dyDescent="0.25">
      <c r="A34" s="15"/>
      <c r="B34" s="3"/>
      <c r="C34" s="3"/>
      <c r="D34" s="17"/>
      <c r="E34" s="18"/>
    </row>
    <row r="35" spans="1:5" x14ac:dyDescent="0.25">
      <c r="A35" s="15"/>
      <c r="B35" s="3"/>
      <c r="C35" s="3"/>
      <c r="D35" s="17"/>
      <c r="E35" s="18"/>
    </row>
    <row r="36" spans="1:5" x14ac:dyDescent="0.25">
      <c r="A36" s="15"/>
      <c r="B36" s="3"/>
      <c r="C36" s="3"/>
      <c r="D36" s="17"/>
      <c r="E36" s="18"/>
    </row>
    <row r="37" spans="1:5" x14ac:dyDescent="0.25">
      <c r="A37" s="15"/>
      <c r="B37" s="3"/>
      <c r="C37" s="3"/>
      <c r="D37" s="17"/>
      <c r="E37" s="18"/>
    </row>
    <row r="38" spans="1:5" x14ac:dyDescent="0.25">
      <c r="A38" s="15"/>
      <c r="B38" s="3"/>
      <c r="C38" s="3"/>
      <c r="D38" s="17"/>
      <c r="E38" s="18"/>
    </row>
    <row r="39" spans="1:5" x14ac:dyDescent="0.25">
      <c r="A39" s="15"/>
      <c r="B39" s="3"/>
      <c r="C39" s="3"/>
      <c r="D39" s="17"/>
      <c r="E39" s="18"/>
    </row>
    <row r="40" spans="1:5" x14ac:dyDescent="0.25">
      <c r="A40" s="15"/>
      <c r="B40" s="3"/>
      <c r="C40" s="3"/>
      <c r="D40" s="17"/>
      <c r="E40" s="18"/>
    </row>
    <row r="41" spans="1:5" x14ac:dyDescent="0.25">
      <c r="A41" s="15"/>
      <c r="B41" s="3"/>
      <c r="C41" s="3"/>
      <c r="D41" s="17"/>
      <c r="E41" s="18"/>
    </row>
    <row r="42" spans="1:5" x14ac:dyDescent="0.25">
      <c r="A42" s="15"/>
      <c r="B42" s="3"/>
      <c r="C42" s="3"/>
      <c r="D42" s="17"/>
      <c r="E42" s="18"/>
    </row>
    <row r="43" spans="1:5" x14ac:dyDescent="0.25">
      <c r="A43" s="15"/>
      <c r="B43" s="3"/>
      <c r="C43" s="3"/>
      <c r="D43" s="17"/>
      <c r="E43" s="18"/>
    </row>
    <row r="44" spans="1:5" x14ac:dyDescent="0.25">
      <c r="A44" s="15"/>
      <c r="B44" s="3"/>
      <c r="C44" s="3"/>
      <c r="D44" s="17"/>
      <c r="E44" s="18"/>
    </row>
    <row r="46" spans="1:5" x14ac:dyDescent="0.25">
      <c r="A46" s="15"/>
      <c r="B46" s="3"/>
      <c r="C46" s="3"/>
      <c r="D46" s="17"/>
      <c r="E46" s="18"/>
    </row>
  </sheetData>
  <conditionalFormatting sqref="G1:G3">
    <cfRule type="cellIs" dxfId="123" priority="1" operator="lessThan">
      <formula>0</formula>
    </cfRule>
    <cfRule type="cellIs" dxfId="122" priority="2" operator="greaterThan">
      <formula>0</formula>
    </cfRule>
  </conditionalFormatting>
  <hyperlinks>
    <hyperlink ref="D1" location="CLIENTES!A1" display="volver" xr:uid="{1EC93E44-A0A5-4481-92D5-ED57E59D6AF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4"/>
  <sheetViews>
    <sheetView workbookViewId="0">
      <pane ySplit="1" topLeftCell="A2" activePane="bottomLeft" state="frozen"/>
      <selection pane="bottomLeft" activeCell="D1" sqref="D1"/>
    </sheetView>
  </sheetViews>
  <sheetFormatPr baseColWidth="10" defaultColWidth="14.42578125" defaultRowHeight="15" customHeight="1" x14ac:dyDescent="0.25"/>
  <cols>
    <col min="1" max="1" width="26.7109375" customWidth="1"/>
    <col min="2" max="2" width="25.85546875" customWidth="1"/>
    <col min="3" max="3" width="15.85546875" customWidth="1"/>
    <col min="4" max="4" width="21.28515625" customWidth="1"/>
    <col min="5" max="5" width="19.5703125" customWidth="1"/>
    <col min="6" max="6" width="10.7109375" customWidth="1"/>
    <col min="7" max="7" width="22.85546875" customWidth="1"/>
    <col min="8" max="26" width="10.7109375" customWidth="1"/>
  </cols>
  <sheetData>
    <row r="1" spans="1:7" ht="24.75" customHeight="1" thickBot="1" x14ac:dyDescent="0.35">
      <c r="A1" s="48" t="s">
        <v>154</v>
      </c>
      <c r="D1" s="102" t="s">
        <v>52</v>
      </c>
      <c r="F1" s="72" t="s">
        <v>58</v>
      </c>
      <c r="G1" s="74">
        <f>SUM(C2:C1048576) - SUM(B2:B1048576)</f>
        <v>-4735935</v>
      </c>
    </row>
    <row r="2" spans="1:7" ht="28.5" customHeight="1" thickBot="1" x14ac:dyDescent="0.35">
      <c r="A2" s="13" t="s">
        <v>53</v>
      </c>
      <c r="B2" s="14" t="s">
        <v>54</v>
      </c>
      <c r="C2" s="14" t="s">
        <v>55</v>
      </c>
      <c r="D2" s="13" t="s">
        <v>56</v>
      </c>
      <c r="E2" s="13" t="s">
        <v>57</v>
      </c>
      <c r="F2" s="71" t="s">
        <v>58</v>
      </c>
      <c r="G2" s="73">
        <f>SUM(C3:C1048576) - SUM(B3:B1048576)</f>
        <v>-4735935</v>
      </c>
    </row>
    <row r="3" spans="1:7" ht="15" customHeight="1" x14ac:dyDescent="0.25">
      <c r="A3" s="15">
        <v>45322</v>
      </c>
      <c r="B3" s="3">
        <v>953286</v>
      </c>
      <c r="C3" s="16"/>
      <c r="D3" s="17"/>
      <c r="E3" s="18" t="s">
        <v>61</v>
      </c>
      <c r="F3" s="19"/>
      <c r="G3" s="20"/>
    </row>
    <row r="4" spans="1:7" x14ac:dyDescent="0.25">
      <c r="A4" s="15">
        <v>45351</v>
      </c>
      <c r="B4" s="3"/>
      <c r="C4" s="3">
        <v>263500</v>
      </c>
      <c r="D4" s="17" t="s">
        <v>62</v>
      </c>
      <c r="E4" s="18"/>
    </row>
    <row r="5" spans="1:7" x14ac:dyDescent="0.25">
      <c r="A5" s="15">
        <v>45351</v>
      </c>
      <c r="B5" s="3"/>
      <c r="C5" s="3">
        <v>689800</v>
      </c>
      <c r="D5" s="17" t="s">
        <v>63</v>
      </c>
      <c r="E5" s="18"/>
    </row>
    <row r="6" spans="1:7" x14ac:dyDescent="0.25">
      <c r="A6" s="15">
        <v>45351</v>
      </c>
      <c r="B6" s="3">
        <v>1628134</v>
      </c>
      <c r="C6" s="3"/>
      <c r="D6" s="17"/>
      <c r="E6" s="18" t="s">
        <v>64</v>
      </c>
    </row>
    <row r="7" spans="1:7" x14ac:dyDescent="0.25">
      <c r="A7" s="15">
        <v>45351</v>
      </c>
      <c r="B7" s="3">
        <v>2448743</v>
      </c>
      <c r="C7" s="3"/>
      <c r="D7" s="17"/>
      <c r="E7" s="18" t="s">
        <v>65</v>
      </c>
    </row>
    <row r="8" spans="1:7" x14ac:dyDescent="0.25">
      <c r="A8" s="15">
        <v>45357</v>
      </c>
      <c r="B8" s="3"/>
      <c r="C8" s="3">
        <v>969800</v>
      </c>
      <c r="D8" s="17" t="s">
        <v>66</v>
      </c>
      <c r="E8" s="18"/>
    </row>
    <row r="9" spans="1:7" x14ac:dyDescent="0.25">
      <c r="A9" s="15">
        <v>45379</v>
      </c>
      <c r="B9" s="3"/>
      <c r="C9" s="3">
        <v>1540000</v>
      </c>
      <c r="D9" s="17" t="s">
        <v>67</v>
      </c>
      <c r="E9" s="18"/>
    </row>
    <row r="10" spans="1:7" x14ac:dyDescent="0.25">
      <c r="A10" s="15">
        <v>45384</v>
      </c>
      <c r="B10" s="3">
        <v>1848289</v>
      </c>
      <c r="C10" s="3"/>
      <c r="D10" s="17"/>
      <c r="E10" s="18" t="s">
        <v>65</v>
      </c>
    </row>
    <row r="11" spans="1:7" x14ac:dyDescent="0.25">
      <c r="A11" s="15">
        <v>45384</v>
      </c>
      <c r="B11" s="3">
        <v>1394300</v>
      </c>
      <c r="C11" s="3"/>
      <c r="D11" s="17"/>
      <c r="E11" s="18" t="s">
        <v>64</v>
      </c>
    </row>
    <row r="12" spans="1:7" x14ac:dyDescent="0.25">
      <c r="A12" s="15">
        <v>45404</v>
      </c>
      <c r="B12" s="3"/>
      <c r="C12" s="3">
        <v>2000000</v>
      </c>
      <c r="D12" s="17" t="s">
        <v>67</v>
      </c>
      <c r="E12" s="18"/>
    </row>
    <row r="13" spans="1:7" x14ac:dyDescent="0.25">
      <c r="A13" s="15">
        <v>45421</v>
      </c>
      <c r="B13" s="3">
        <v>1729206</v>
      </c>
      <c r="C13" s="3"/>
      <c r="D13" s="17"/>
      <c r="E13" s="18" t="s">
        <v>64</v>
      </c>
    </row>
    <row r="14" spans="1:7" x14ac:dyDescent="0.25">
      <c r="A14" s="15">
        <v>45421</v>
      </c>
      <c r="B14" s="3">
        <v>1994837</v>
      </c>
      <c r="C14" s="3"/>
      <c r="D14" s="17"/>
      <c r="E14" s="18" t="s">
        <v>65</v>
      </c>
    </row>
    <row r="15" spans="1:7" x14ac:dyDescent="0.25">
      <c r="A15" s="15">
        <v>45441</v>
      </c>
      <c r="B15" s="3"/>
      <c r="C15" s="3">
        <v>7500000</v>
      </c>
      <c r="D15" s="17" t="s">
        <v>68</v>
      </c>
      <c r="E15" s="18"/>
    </row>
    <row r="16" spans="1:7" x14ac:dyDescent="0.25">
      <c r="A16" s="15">
        <v>45444</v>
      </c>
      <c r="B16" s="3">
        <v>1429525</v>
      </c>
      <c r="C16" s="3"/>
      <c r="D16" s="17"/>
      <c r="E16" s="18" t="s">
        <v>64</v>
      </c>
    </row>
    <row r="17" spans="1:5" x14ac:dyDescent="0.25">
      <c r="A17" s="15">
        <v>45444</v>
      </c>
      <c r="B17" s="3">
        <v>1496255</v>
      </c>
      <c r="C17" s="3"/>
      <c r="D17" s="17"/>
      <c r="E17" s="18" t="s">
        <v>65</v>
      </c>
    </row>
    <row r="18" spans="1:5" x14ac:dyDescent="0.25">
      <c r="A18" s="15">
        <v>45469</v>
      </c>
      <c r="B18" s="3"/>
      <c r="C18" s="3">
        <v>453000</v>
      </c>
      <c r="D18" s="17" t="s">
        <v>59</v>
      </c>
      <c r="E18" s="18"/>
    </row>
    <row r="19" spans="1:5" x14ac:dyDescent="0.25">
      <c r="A19" s="15">
        <v>45474</v>
      </c>
      <c r="B19" s="3">
        <v>995140</v>
      </c>
      <c r="C19" s="3"/>
      <c r="D19" s="17"/>
      <c r="E19" s="18" t="s">
        <v>65</v>
      </c>
    </row>
    <row r="20" spans="1:5" x14ac:dyDescent="0.25">
      <c r="A20" s="15">
        <v>45474</v>
      </c>
      <c r="B20" s="3">
        <v>1256099</v>
      </c>
      <c r="C20" s="3"/>
      <c r="D20" s="17"/>
      <c r="E20" s="18" t="s">
        <v>64</v>
      </c>
    </row>
    <row r="21" spans="1:5" ht="15.75" customHeight="1" x14ac:dyDescent="0.25">
      <c r="A21" s="15">
        <v>45491</v>
      </c>
      <c r="B21" s="3"/>
      <c r="C21" s="3">
        <v>1000000</v>
      </c>
      <c r="D21" s="17" t="s">
        <v>63</v>
      </c>
      <c r="E21" s="18"/>
    </row>
    <row r="22" spans="1:5" ht="15.75" customHeight="1" x14ac:dyDescent="0.25">
      <c r="A22" s="15">
        <v>45498</v>
      </c>
      <c r="B22" s="3"/>
      <c r="C22" s="3">
        <v>940000</v>
      </c>
      <c r="D22" s="17" t="s">
        <v>69</v>
      </c>
      <c r="E22" s="18"/>
    </row>
    <row r="23" spans="1:5" ht="15.75" customHeight="1" x14ac:dyDescent="0.25">
      <c r="A23" s="15">
        <v>45504</v>
      </c>
      <c r="B23" s="3">
        <v>2906564</v>
      </c>
      <c r="C23" s="3"/>
      <c r="D23" s="17"/>
      <c r="E23" s="58" t="s">
        <v>65</v>
      </c>
    </row>
    <row r="24" spans="1:5" ht="15.75" customHeight="1" x14ac:dyDescent="0.25">
      <c r="A24" s="15">
        <v>45504</v>
      </c>
      <c r="B24" s="3">
        <v>2051926</v>
      </c>
      <c r="C24" s="3"/>
      <c r="D24" s="17"/>
      <c r="E24" s="58" t="s">
        <v>64</v>
      </c>
    </row>
    <row r="25" spans="1:5" ht="15.75" customHeight="1" x14ac:dyDescent="0.25">
      <c r="A25" s="15">
        <v>45504</v>
      </c>
      <c r="B25" s="3"/>
      <c r="C25" s="3">
        <v>1370000</v>
      </c>
      <c r="D25" s="59" t="s">
        <v>104</v>
      </c>
      <c r="E25" s="18"/>
    </row>
    <row r="26" spans="1:5" ht="15.75" customHeight="1" x14ac:dyDescent="0.25">
      <c r="A26" s="15">
        <v>45525</v>
      </c>
      <c r="B26" s="3"/>
      <c r="C26" s="3">
        <v>300000</v>
      </c>
      <c r="D26" s="17" t="s">
        <v>113</v>
      </c>
      <c r="E26" s="18"/>
    </row>
    <row r="27" spans="1:5" ht="15.75" customHeight="1" x14ac:dyDescent="0.25">
      <c r="A27" s="15">
        <v>45530</v>
      </c>
      <c r="B27" s="3"/>
      <c r="C27" s="3">
        <v>2008000</v>
      </c>
      <c r="D27" s="17" t="s">
        <v>118</v>
      </c>
      <c r="E27" s="18"/>
    </row>
    <row r="28" spans="1:5" ht="15.75" customHeight="1" x14ac:dyDescent="0.25">
      <c r="A28" s="15">
        <v>45535</v>
      </c>
      <c r="B28" s="3">
        <v>1540111</v>
      </c>
      <c r="C28" s="3"/>
      <c r="D28" s="17"/>
      <c r="E28" s="18" t="s">
        <v>65</v>
      </c>
    </row>
    <row r="29" spans="1:5" ht="15.75" customHeight="1" x14ac:dyDescent="0.25">
      <c r="A29" s="15">
        <v>45535</v>
      </c>
      <c r="B29" s="3">
        <v>2094228</v>
      </c>
      <c r="C29" s="3"/>
      <c r="D29" s="17"/>
      <c r="E29" s="18" t="s">
        <v>64</v>
      </c>
    </row>
    <row r="30" spans="1:5" ht="15.75" customHeight="1" x14ac:dyDescent="0.25">
      <c r="A30" s="15">
        <v>45540</v>
      </c>
      <c r="B30" s="3"/>
      <c r="C30" s="3">
        <v>1310000</v>
      </c>
      <c r="D30" s="17" t="s">
        <v>66</v>
      </c>
      <c r="E30" s="18"/>
    </row>
    <row r="31" spans="1:5" ht="15.75" customHeight="1" x14ac:dyDescent="0.25">
      <c r="A31" s="15">
        <v>45555</v>
      </c>
      <c r="B31" s="3"/>
      <c r="C31" s="3">
        <v>1500000</v>
      </c>
      <c r="D31" s="17" t="s">
        <v>128</v>
      </c>
      <c r="E31" s="18"/>
    </row>
    <row r="32" spans="1:5" ht="15.75" customHeight="1" x14ac:dyDescent="0.25">
      <c r="A32" s="15">
        <v>45554</v>
      </c>
      <c r="B32" s="3"/>
      <c r="C32" s="3">
        <v>1000000</v>
      </c>
      <c r="D32" s="17" t="s">
        <v>128</v>
      </c>
      <c r="E32" s="18"/>
    </row>
    <row r="33" spans="1:5" ht="15.75" customHeight="1" x14ac:dyDescent="0.25">
      <c r="A33" s="15">
        <v>45565</v>
      </c>
      <c r="B33" s="3">
        <v>3032317</v>
      </c>
      <c r="C33" s="3"/>
      <c r="D33" s="17"/>
      <c r="E33" s="18" t="s">
        <v>65</v>
      </c>
    </row>
    <row r="34" spans="1:5" ht="15.75" customHeight="1" x14ac:dyDescent="0.25">
      <c r="A34" s="15">
        <v>45565</v>
      </c>
      <c r="B34" s="3">
        <v>2131406</v>
      </c>
      <c r="C34" s="3"/>
      <c r="D34" s="17"/>
      <c r="E34" s="18" t="s">
        <v>64</v>
      </c>
    </row>
    <row r="35" spans="1:5" ht="15.75" customHeight="1" x14ac:dyDescent="0.25">
      <c r="A35" s="15">
        <v>45567</v>
      </c>
      <c r="B35" s="3"/>
      <c r="C35" s="3">
        <v>1000000</v>
      </c>
      <c r="D35" s="17" t="s">
        <v>128</v>
      </c>
      <c r="E35" s="18"/>
    </row>
    <row r="36" spans="1:5" ht="15.75" customHeight="1" x14ac:dyDescent="0.25">
      <c r="A36" s="15">
        <v>45567</v>
      </c>
      <c r="B36" s="3"/>
      <c r="C36" s="3">
        <v>60750</v>
      </c>
      <c r="D36" s="17" t="s">
        <v>129</v>
      </c>
      <c r="E36" s="18"/>
    </row>
    <row r="37" spans="1:5" ht="15.75" customHeight="1" x14ac:dyDescent="0.25">
      <c r="A37" s="15">
        <v>45572</v>
      </c>
      <c r="B37" s="3"/>
      <c r="C37" s="3">
        <v>1790980</v>
      </c>
      <c r="D37" s="17" t="s">
        <v>132</v>
      </c>
      <c r="E37" s="18"/>
    </row>
    <row r="38" spans="1:5" ht="15.75" customHeight="1" x14ac:dyDescent="0.25">
      <c r="A38" s="15">
        <v>45581</v>
      </c>
      <c r="B38" s="3"/>
      <c r="C38" s="3">
        <v>964968</v>
      </c>
      <c r="D38" s="17" t="s">
        <v>142</v>
      </c>
      <c r="E38" s="18"/>
    </row>
    <row r="39" spans="1:5" ht="15.75" customHeight="1" x14ac:dyDescent="0.25">
      <c r="A39" s="15">
        <v>45594</v>
      </c>
      <c r="B39" s="3"/>
      <c r="C39" s="3">
        <v>2255750</v>
      </c>
      <c r="D39" s="17" t="s">
        <v>132</v>
      </c>
      <c r="E39" s="18"/>
    </row>
    <row r="40" spans="1:5" ht="15.75" customHeight="1" x14ac:dyDescent="0.25">
      <c r="A40" s="15">
        <v>45596</v>
      </c>
      <c r="B40" s="3">
        <v>2138730</v>
      </c>
      <c r="C40" s="3"/>
      <c r="D40" s="17"/>
      <c r="E40" s="18" t="s">
        <v>64</v>
      </c>
    </row>
    <row r="41" spans="1:5" ht="15.75" customHeight="1" x14ac:dyDescent="0.25">
      <c r="A41" s="15">
        <v>45596</v>
      </c>
      <c r="B41" s="3">
        <v>3103820</v>
      </c>
      <c r="C41" s="3"/>
      <c r="D41" s="17"/>
      <c r="E41" s="18" t="s">
        <v>65</v>
      </c>
    </row>
    <row r="42" spans="1:5" ht="15.75" customHeight="1" x14ac:dyDescent="0.25">
      <c r="A42" s="15">
        <v>45626</v>
      </c>
      <c r="B42" s="3">
        <v>1828181</v>
      </c>
      <c r="C42" s="3"/>
      <c r="D42" s="17"/>
      <c r="E42" s="18" t="s">
        <v>64</v>
      </c>
    </row>
    <row r="43" spans="1:5" ht="15.75" customHeight="1" x14ac:dyDescent="0.25">
      <c r="A43" s="15">
        <v>45626</v>
      </c>
      <c r="B43" s="3">
        <v>4941541</v>
      </c>
      <c r="C43" s="3"/>
      <c r="D43" s="17"/>
      <c r="E43" s="18" t="s">
        <v>65</v>
      </c>
    </row>
    <row r="44" spans="1:5" ht="15.75" customHeight="1" x14ac:dyDescent="0.25">
      <c r="A44" s="15">
        <v>45648</v>
      </c>
      <c r="B44" s="3"/>
      <c r="C44" s="3">
        <v>450000</v>
      </c>
      <c r="D44" s="17" t="s">
        <v>142</v>
      </c>
      <c r="E44" s="18"/>
    </row>
    <row r="45" spans="1:5" ht="15.75" customHeight="1" x14ac:dyDescent="0.25">
      <c r="A45" s="15">
        <v>45657</v>
      </c>
      <c r="B45" s="3">
        <v>6352934</v>
      </c>
      <c r="C45" s="3"/>
      <c r="D45" s="17"/>
      <c r="E45" s="18" t="s">
        <v>65</v>
      </c>
    </row>
    <row r="46" spans="1:5" ht="15.75" customHeight="1" x14ac:dyDescent="0.25">
      <c r="A46" s="15">
        <v>45660</v>
      </c>
      <c r="B46" s="3"/>
      <c r="C46" s="3">
        <v>4987500</v>
      </c>
      <c r="D46" s="17" t="s">
        <v>63</v>
      </c>
      <c r="E46" s="18" t="s">
        <v>65</v>
      </c>
    </row>
    <row r="47" spans="1:5" ht="15.75" customHeight="1" x14ac:dyDescent="0.25">
      <c r="A47" s="15">
        <v>45664</v>
      </c>
      <c r="B47" s="3"/>
      <c r="C47" s="3">
        <v>2000000</v>
      </c>
      <c r="D47" s="17" t="s">
        <v>63</v>
      </c>
      <c r="E47" s="18" t="s">
        <v>64</v>
      </c>
    </row>
    <row r="48" spans="1:5" ht="15.75" customHeight="1" x14ac:dyDescent="0.25">
      <c r="A48" s="15">
        <v>45678</v>
      </c>
      <c r="B48" s="3"/>
      <c r="C48" s="3">
        <v>4362000</v>
      </c>
      <c r="D48" s="59" t="s">
        <v>67</v>
      </c>
      <c r="E48" s="18"/>
    </row>
    <row r="49" spans="1:5" ht="15.75" customHeight="1" x14ac:dyDescent="0.25">
      <c r="A49" s="15">
        <v>45688</v>
      </c>
      <c r="B49" s="3"/>
      <c r="C49" s="3">
        <v>3000000</v>
      </c>
      <c r="D49" s="17" t="s">
        <v>67</v>
      </c>
      <c r="E49" s="18" t="s">
        <v>65</v>
      </c>
    </row>
    <row r="50" spans="1:5" ht="15.75" customHeight="1" x14ac:dyDescent="0.25">
      <c r="A50" s="15">
        <v>45688</v>
      </c>
      <c r="B50" s="3">
        <v>4407436</v>
      </c>
      <c r="C50" s="3"/>
      <c r="D50" s="17"/>
      <c r="E50" s="18"/>
    </row>
    <row r="51" spans="1:5" ht="15.75" customHeight="1" x14ac:dyDescent="0.25">
      <c r="A51" s="15">
        <v>45700</v>
      </c>
      <c r="B51" s="3"/>
      <c r="C51" s="3">
        <v>6000000</v>
      </c>
      <c r="D51" s="17" t="s">
        <v>67</v>
      </c>
      <c r="E51" s="18"/>
    </row>
    <row r="52" spans="1:5" ht="15.75" customHeight="1" x14ac:dyDescent="0.25">
      <c r="A52" s="15">
        <v>45712</v>
      </c>
      <c r="B52" s="3"/>
      <c r="C52" s="3">
        <v>3000000</v>
      </c>
      <c r="D52" s="17" t="s">
        <v>67</v>
      </c>
      <c r="E52" s="18"/>
    </row>
    <row r="53" spans="1:5" ht="15.75" customHeight="1" x14ac:dyDescent="0.25">
      <c r="A53" s="15">
        <v>45716</v>
      </c>
      <c r="B53" s="3">
        <v>3772859</v>
      </c>
      <c r="C53" s="3"/>
      <c r="D53" s="17"/>
      <c r="E53" s="18"/>
    </row>
    <row r="54" spans="1:5" ht="15.75" customHeight="1" x14ac:dyDescent="0.25">
      <c r="A54" s="15">
        <v>45728</v>
      </c>
      <c r="B54" s="3"/>
      <c r="C54" s="3">
        <v>2000000</v>
      </c>
      <c r="D54" s="17" t="s">
        <v>109</v>
      </c>
      <c r="E54" s="18"/>
    </row>
    <row r="55" spans="1:5" ht="15.75" customHeight="1" x14ac:dyDescent="0.25">
      <c r="A55" s="15">
        <v>45741</v>
      </c>
      <c r="B55" s="3"/>
      <c r="C55" s="3">
        <v>1808856</v>
      </c>
      <c r="D55" s="17" t="s">
        <v>164</v>
      </c>
      <c r="E55" s="18"/>
    </row>
    <row r="56" spans="1:5" ht="15.75" customHeight="1" x14ac:dyDescent="0.25">
      <c r="A56" s="15">
        <v>45747</v>
      </c>
      <c r="B56" s="3">
        <v>3497800</v>
      </c>
      <c r="C56" s="3"/>
      <c r="D56" s="17"/>
      <c r="E56" s="18"/>
    </row>
    <row r="57" spans="1:5" ht="15.75" customHeight="1" x14ac:dyDescent="0.25">
      <c r="A57" s="15" t="s">
        <v>64</v>
      </c>
      <c r="B57" s="3">
        <v>960739</v>
      </c>
      <c r="C57" s="3"/>
      <c r="D57" s="17" t="s">
        <v>201</v>
      </c>
      <c r="E57" s="18" t="s">
        <v>200</v>
      </c>
    </row>
    <row r="58" spans="1:5" ht="15.75" customHeight="1" x14ac:dyDescent="0.25">
      <c r="A58" s="15">
        <v>45777</v>
      </c>
      <c r="B58" s="3">
        <v>2816899</v>
      </c>
      <c r="C58" s="3"/>
      <c r="D58" s="17"/>
      <c r="E58" s="18"/>
    </row>
    <row r="59" spans="1:5" ht="15.75" customHeight="1" x14ac:dyDescent="0.25">
      <c r="A59" s="15">
        <v>45787</v>
      </c>
      <c r="B59" s="3"/>
      <c r="C59" s="3">
        <v>1000000</v>
      </c>
      <c r="D59" s="17" t="s">
        <v>109</v>
      </c>
      <c r="E59" s="18"/>
    </row>
    <row r="60" spans="1:5" ht="15.75" customHeight="1" x14ac:dyDescent="0.25">
      <c r="A60" s="15">
        <v>45807</v>
      </c>
      <c r="B60" s="3">
        <v>2806013</v>
      </c>
      <c r="C60" s="3"/>
      <c r="D60" s="17"/>
      <c r="E60" s="18"/>
    </row>
    <row r="61" spans="1:5" ht="15.75" customHeight="1" x14ac:dyDescent="0.25">
      <c r="A61" s="15">
        <v>45831</v>
      </c>
      <c r="B61" s="3"/>
      <c r="C61" s="3">
        <v>6000000</v>
      </c>
      <c r="D61" s="17"/>
      <c r="E61" s="18"/>
    </row>
    <row r="62" spans="1:5" ht="15.75" customHeight="1" x14ac:dyDescent="0.25">
      <c r="A62" s="15">
        <v>45838</v>
      </c>
      <c r="B62" s="3">
        <v>2418441</v>
      </c>
      <c r="C62" s="3"/>
      <c r="D62" s="17"/>
      <c r="E62" s="18"/>
    </row>
    <row r="63" spans="1:5" ht="15.75" customHeight="1" x14ac:dyDescent="0.25">
      <c r="A63" s="15">
        <v>45856</v>
      </c>
      <c r="B63" s="3"/>
      <c r="C63" s="3">
        <v>1030000</v>
      </c>
      <c r="D63" s="17"/>
      <c r="E63" s="18"/>
    </row>
    <row r="64" spans="1:5" ht="15.75" customHeight="1" x14ac:dyDescent="0.25">
      <c r="A64" s="15">
        <v>45869</v>
      </c>
      <c r="B64" s="3">
        <v>3180865</v>
      </c>
      <c r="C64" s="3"/>
      <c r="D64" s="17"/>
      <c r="E64" s="18"/>
    </row>
    <row r="65" spans="1:5" ht="15.75" customHeight="1" x14ac:dyDescent="0.25">
      <c r="A65" s="15">
        <v>45870</v>
      </c>
      <c r="B65" s="3"/>
      <c r="C65" s="3">
        <v>2000000</v>
      </c>
      <c r="D65" s="17"/>
      <c r="E65" s="18"/>
    </row>
    <row r="66" spans="1:5" ht="15.75" customHeight="1" x14ac:dyDescent="0.25">
      <c r="A66" s="15">
        <v>45892</v>
      </c>
      <c r="B66" s="3"/>
      <c r="C66" s="3">
        <v>1000000</v>
      </c>
      <c r="D66" s="17"/>
      <c r="E66" s="18"/>
    </row>
    <row r="67" spans="1:5" ht="15.75" customHeight="1" x14ac:dyDescent="0.25">
      <c r="A67" s="15">
        <v>45900</v>
      </c>
      <c r="B67" s="3">
        <v>3071562</v>
      </c>
      <c r="C67" s="3"/>
      <c r="D67" s="17"/>
      <c r="E67" s="18"/>
    </row>
    <row r="68" spans="1:5" ht="15.75" customHeight="1" x14ac:dyDescent="0.25">
      <c r="A68" s="15">
        <v>45911</v>
      </c>
      <c r="B68" s="3"/>
      <c r="C68" s="3">
        <v>1000000</v>
      </c>
      <c r="D68" s="17"/>
      <c r="E68" s="18"/>
    </row>
    <row r="69" spans="1:5" ht="15.75" customHeight="1" x14ac:dyDescent="0.25">
      <c r="A69" s="15">
        <v>45919</v>
      </c>
      <c r="B69" s="3"/>
      <c r="C69" s="3">
        <v>1000000</v>
      </c>
      <c r="D69" s="17"/>
      <c r="E69" s="18"/>
    </row>
    <row r="70" spans="1:5" ht="15.75" customHeight="1" x14ac:dyDescent="0.25">
      <c r="A70" s="15">
        <v>45930</v>
      </c>
      <c r="B70" s="3">
        <v>4661625</v>
      </c>
      <c r="C70" s="3"/>
      <c r="D70" s="17"/>
      <c r="E70" s="18"/>
    </row>
    <row r="71" spans="1:5" ht="15.75" customHeight="1" x14ac:dyDescent="0.25">
      <c r="A71" s="15">
        <v>45934</v>
      </c>
      <c r="B71" s="3"/>
      <c r="C71" s="3">
        <v>1500000</v>
      </c>
      <c r="D71" s="17" t="s">
        <v>67</v>
      </c>
      <c r="E71" s="18"/>
    </row>
    <row r="72" spans="1:5" ht="15.75" customHeight="1" x14ac:dyDescent="0.25">
      <c r="A72" s="15">
        <v>45943</v>
      </c>
      <c r="B72" s="3"/>
      <c r="C72" s="3">
        <v>1000000</v>
      </c>
      <c r="D72" s="17" t="s">
        <v>166</v>
      </c>
      <c r="E72" s="18"/>
    </row>
    <row r="73" spans="1:5" ht="15.75" customHeight="1" x14ac:dyDescent="0.25">
      <c r="A73" s="15">
        <v>45951</v>
      </c>
      <c r="B73" s="3"/>
      <c r="C73" s="3">
        <v>1000000</v>
      </c>
      <c r="D73" s="17" t="s">
        <v>166</v>
      </c>
      <c r="E73" s="18"/>
    </row>
    <row r="74" spans="1:5" ht="15.75" customHeight="1" x14ac:dyDescent="0.25">
      <c r="A74" s="15">
        <v>45955</v>
      </c>
      <c r="B74" s="3"/>
      <c r="C74" s="3">
        <v>1000000</v>
      </c>
      <c r="D74" s="17" t="s">
        <v>166</v>
      </c>
      <c r="E74" s="18"/>
    </row>
    <row r="75" spans="1:5" ht="15.75" customHeight="1" x14ac:dyDescent="0.25">
      <c r="A75" s="15">
        <v>45961</v>
      </c>
      <c r="B75" s="3">
        <v>3776265</v>
      </c>
      <c r="C75" s="3"/>
      <c r="D75" s="17"/>
      <c r="E75" s="18"/>
    </row>
    <row r="76" spans="1:5" ht="15.75" customHeight="1" x14ac:dyDescent="0.25">
      <c r="A76" s="15">
        <v>45971</v>
      </c>
      <c r="B76" s="3"/>
      <c r="C76" s="3">
        <v>1000000</v>
      </c>
      <c r="D76" s="17"/>
      <c r="E76" s="18"/>
    </row>
    <row r="77" spans="1:5" ht="15.75" customHeight="1" x14ac:dyDescent="0.25">
      <c r="A77" s="15">
        <v>45976</v>
      </c>
      <c r="B77" s="3"/>
      <c r="C77" s="3">
        <v>15000000</v>
      </c>
      <c r="D77" s="17" t="s">
        <v>67</v>
      </c>
      <c r="E77" s="18"/>
    </row>
    <row r="78" spans="1:5" ht="15.75" customHeight="1" x14ac:dyDescent="0.25">
      <c r="A78" s="15">
        <v>45991</v>
      </c>
      <c r="B78" s="3">
        <v>6595386</v>
      </c>
      <c r="C78" s="3"/>
      <c r="D78" s="17"/>
      <c r="E78" s="18"/>
    </row>
    <row r="79" spans="1:5" ht="15.75" customHeight="1" x14ac:dyDescent="0.25">
      <c r="A79" s="15">
        <v>46000</v>
      </c>
      <c r="B79" s="3"/>
      <c r="C79" s="3">
        <v>600000</v>
      </c>
      <c r="D79" s="17" t="s">
        <v>170</v>
      </c>
      <c r="E79" s="18"/>
    </row>
    <row r="80" spans="1:5" ht="15.75" customHeight="1" x14ac:dyDescent="0.25">
      <c r="A80" s="15">
        <v>46000</v>
      </c>
      <c r="B80" s="3"/>
      <c r="C80" s="3">
        <v>600000</v>
      </c>
      <c r="D80" s="17" t="s">
        <v>91</v>
      </c>
      <c r="E80" s="18"/>
    </row>
    <row r="81" spans="1:5" ht="15.75" customHeight="1" x14ac:dyDescent="0.25">
      <c r="A81" s="15">
        <v>46022</v>
      </c>
      <c r="B81" s="3">
        <v>7567002</v>
      </c>
      <c r="C81" s="3"/>
      <c r="D81" s="17"/>
      <c r="E81" s="18"/>
    </row>
    <row r="82" spans="1:5" ht="15.75" customHeight="1" x14ac:dyDescent="0.25">
      <c r="A82" s="15">
        <v>46036</v>
      </c>
      <c r="B82" s="3"/>
      <c r="C82" s="3">
        <v>7573560</v>
      </c>
      <c r="D82" s="17" t="s">
        <v>67</v>
      </c>
      <c r="E82" s="18"/>
    </row>
    <row r="83" spans="1:5" ht="15.75" customHeight="1" x14ac:dyDescent="0.25">
      <c r="A83" s="15">
        <v>46053</v>
      </c>
      <c r="B83" s="3">
        <v>8605690</v>
      </c>
      <c r="C83" s="3"/>
      <c r="D83" s="17"/>
      <c r="E83" s="18"/>
    </row>
    <row r="84" spans="1:5" ht="15.75" customHeight="1" x14ac:dyDescent="0.25">
      <c r="A84" s="15">
        <v>46055</v>
      </c>
      <c r="B84" s="3">
        <v>347108</v>
      </c>
      <c r="C84" s="3">
        <v>2000000</v>
      </c>
      <c r="D84" s="17" t="s">
        <v>223</v>
      </c>
      <c r="E84" s="18"/>
    </row>
    <row r="85" spans="1:5" ht="15.75" customHeight="1" x14ac:dyDescent="0.25">
      <c r="A85" s="15">
        <v>46066</v>
      </c>
      <c r="B85" s="3"/>
      <c r="C85" s="3">
        <v>2000000</v>
      </c>
      <c r="D85" s="17"/>
      <c r="E85" s="18"/>
    </row>
    <row r="86" spans="1:5" ht="15.75" customHeight="1" x14ac:dyDescent="0.25">
      <c r="A86" s="15">
        <v>46072</v>
      </c>
      <c r="B86" s="3"/>
      <c r="C86" s="3">
        <v>3000000</v>
      </c>
      <c r="D86" s="17" t="s">
        <v>165</v>
      </c>
      <c r="E86" s="18"/>
    </row>
    <row r="87" spans="1:5" ht="15.75" customHeight="1" x14ac:dyDescent="0.25">
      <c r="A87" s="15">
        <v>46081</v>
      </c>
      <c r="B87" s="3">
        <v>6983137</v>
      </c>
      <c r="C87" s="3"/>
      <c r="D87" s="17"/>
      <c r="E87" s="18"/>
    </row>
    <row r="88" spans="1:5" ht="15.75" customHeight="1" x14ac:dyDescent="0.25">
      <c r="A88" s="15">
        <v>46083</v>
      </c>
      <c r="B88" s="3"/>
      <c r="C88" s="3">
        <v>1500000</v>
      </c>
      <c r="D88" s="17"/>
      <c r="E88" s="18"/>
    </row>
    <row r="89" spans="1:5" ht="15.75" customHeight="1" x14ac:dyDescent="0.25">
      <c r="A89" s="15">
        <v>46094</v>
      </c>
      <c r="B89" s="3"/>
      <c r="C89" s="3">
        <v>1000000</v>
      </c>
      <c r="D89" s="17"/>
      <c r="E89" s="18"/>
    </row>
    <row r="90" spans="1:5" ht="15.75" customHeight="1" x14ac:dyDescent="0.25">
      <c r="A90" s="15">
        <v>46100</v>
      </c>
      <c r="B90" s="3"/>
      <c r="C90" s="3">
        <v>1700000</v>
      </c>
      <c r="D90" s="17" t="s">
        <v>109</v>
      </c>
      <c r="E90" s="18"/>
    </row>
    <row r="91" spans="1:5" ht="15.75" customHeight="1" x14ac:dyDescent="0.25">
      <c r="A91" s="15"/>
      <c r="B91" s="3"/>
      <c r="C91" s="3"/>
      <c r="D91" s="17"/>
      <c r="E91" s="18"/>
    </row>
    <row r="92" spans="1:5" ht="15.75" customHeight="1" x14ac:dyDescent="0.25">
      <c r="A92" s="15"/>
      <c r="B92" s="3"/>
      <c r="C92" s="3"/>
      <c r="D92" s="17"/>
      <c r="E92" s="18"/>
    </row>
    <row r="93" spans="1:5" ht="15.75" customHeight="1" x14ac:dyDescent="0.25">
      <c r="A93" s="15"/>
      <c r="B93" s="3"/>
      <c r="C93" s="3"/>
      <c r="D93" s="17"/>
      <c r="E93" s="18"/>
    </row>
    <row r="94" spans="1:5" ht="15.75" customHeight="1" x14ac:dyDescent="0.25">
      <c r="A94" s="15"/>
      <c r="B94" s="3"/>
      <c r="C94" s="3"/>
      <c r="D94" s="17"/>
      <c r="E94" s="18"/>
    </row>
    <row r="95" spans="1:5" ht="15.75" customHeight="1" x14ac:dyDescent="0.25">
      <c r="A95" s="15"/>
      <c r="B95" s="3"/>
      <c r="C95" s="3"/>
      <c r="D95" s="17"/>
      <c r="E95" s="18"/>
    </row>
    <row r="96" spans="1:5" ht="15.75" customHeight="1" x14ac:dyDescent="0.25">
      <c r="A96" s="15"/>
      <c r="B96" s="3"/>
      <c r="C96" s="3"/>
      <c r="D96" s="17"/>
      <c r="E96" s="18"/>
    </row>
    <row r="97" spans="1:5" ht="15.75" customHeight="1" x14ac:dyDescent="0.25">
      <c r="A97" s="15"/>
      <c r="B97" s="3"/>
      <c r="C97" s="3"/>
      <c r="D97" s="17"/>
      <c r="E97" s="18"/>
    </row>
    <row r="98" spans="1:5" ht="15.75" customHeight="1" x14ac:dyDescent="0.25">
      <c r="A98" s="15"/>
      <c r="B98" s="3"/>
      <c r="C98" s="3"/>
      <c r="D98" s="17"/>
      <c r="E98" s="18"/>
    </row>
    <row r="99" spans="1:5" ht="15.75" customHeight="1" x14ac:dyDescent="0.25">
      <c r="A99" s="15"/>
      <c r="B99" s="3"/>
      <c r="C99" s="3"/>
      <c r="D99" s="17"/>
      <c r="E99" s="18"/>
    </row>
    <row r="100" spans="1:5" ht="15.75" customHeight="1" x14ac:dyDescent="0.25">
      <c r="A100" s="15"/>
      <c r="B100" s="3"/>
      <c r="C100" s="3"/>
      <c r="D100" s="17"/>
      <c r="E100" s="18"/>
    </row>
    <row r="101" spans="1:5" ht="15.75" customHeight="1" x14ac:dyDescent="0.25">
      <c r="A101" s="15"/>
      <c r="B101" s="3"/>
      <c r="C101" s="3"/>
      <c r="D101" s="17"/>
      <c r="E101" s="18"/>
    </row>
    <row r="102" spans="1:5" ht="15.75" customHeight="1" x14ac:dyDescent="0.25">
      <c r="A102" s="15"/>
      <c r="B102" s="3"/>
      <c r="C102" s="3"/>
      <c r="D102" s="17"/>
      <c r="E102" s="18"/>
    </row>
    <row r="103" spans="1:5" ht="15.75" customHeight="1" x14ac:dyDescent="0.25">
      <c r="A103" s="15"/>
      <c r="B103" s="3"/>
      <c r="C103" s="3"/>
      <c r="D103" s="17"/>
      <c r="E103" s="18"/>
    </row>
    <row r="104" spans="1:5" ht="15.75" customHeight="1" x14ac:dyDescent="0.25">
      <c r="A104" s="15"/>
      <c r="B104" s="3"/>
      <c r="C104" s="3"/>
      <c r="D104" s="17"/>
      <c r="E104" s="18"/>
    </row>
    <row r="105" spans="1:5" ht="15.75" customHeight="1" x14ac:dyDescent="0.25">
      <c r="A105" s="15"/>
      <c r="B105" s="3"/>
      <c r="C105" s="3"/>
      <c r="D105" s="17"/>
      <c r="E105" s="18"/>
    </row>
    <row r="106" spans="1:5" ht="15.75" customHeight="1" x14ac:dyDescent="0.25">
      <c r="A106" s="15"/>
      <c r="B106" s="3"/>
      <c r="C106" s="3"/>
      <c r="D106" s="17"/>
      <c r="E106" s="18"/>
    </row>
    <row r="107" spans="1:5" ht="15.75" customHeight="1" x14ac:dyDescent="0.25">
      <c r="A107" s="15"/>
      <c r="B107" s="3"/>
      <c r="C107" s="3"/>
      <c r="D107" s="17"/>
      <c r="E107" s="18"/>
    </row>
    <row r="108" spans="1:5" ht="15.75" customHeight="1" x14ac:dyDescent="0.25">
      <c r="A108" s="15"/>
      <c r="B108" s="3"/>
      <c r="C108" s="3"/>
      <c r="D108" s="17"/>
      <c r="E108" s="18"/>
    </row>
    <row r="109" spans="1:5" ht="15.75" customHeight="1" x14ac:dyDescent="0.25">
      <c r="A109" s="15"/>
      <c r="B109" s="3"/>
      <c r="C109" s="3"/>
      <c r="D109" s="17"/>
      <c r="E109" s="18"/>
    </row>
    <row r="110" spans="1:5" ht="15.75" customHeight="1" x14ac:dyDescent="0.25">
      <c r="A110" s="15"/>
      <c r="B110" s="3"/>
      <c r="C110" s="3"/>
      <c r="D110" s="17"/>
      <c r="E110" s="18"/>
    </row>
    <row r="111" spans="1:5" ht="15.75" customHeight="1" x14ac:dyDescent="0.25">
      <c r="A111" s="15"/>
      <c r="B111" s="3"/>
      <c r="C111" s="3"/>
      <c r="D111" s="17"/>
      <c r="E111" s="18"/>
    </row>
    <row r="112" spans="1:5" ht="15.75" customHeight="1" x14ac:dyDescent="0.25">
      <c r="A112" s="15"/>
      <c r="B112" s="3"/>
      <c r="C112" s="3"/>
      <c r="D112" s="17"/>
      <c r="E112" s="18"/>
    </row>
    <row r="113" spans="1:5" ht="15.75" customHeight="1" x14ac:dyDescent="0.25">
      <c r="A113" s="15"/>
      <c r="B113" s="3"/>
      <c r="C113" s="3"/>
      <c r="D113" s="17"/>
      <c r="E113" s="18"/>
    </row>
    <row r="114" spans="1:5" ht="15.75" customHeight="1" x14ac:dyDescent="0.25">
      <c r="A114" s="15"/>
      <c r="B114" s="3"/>
      <c r="C114" s="3"/>
      <c r="D114" s="17"/>
      <c r="E114" s="18"/>
    </row>
    <row r="115" spans="1:5" ht="15.75" customHeight="1" x14ac:dyDescent="0.25">
      <c r="A115" s="15"/>
      <c r="B115" s="3"/>
      <c r="C115" s="3"/>
      <c r="D115" s="17"/>
      <c r="E115" s="18"/>
    </row>
    <row r="116" spans="1:5" ht="15.75" customHeight="1" x14ac:dyDescent="0.25">
      <c r="A116" s="15"/>
      <c r="B116" s="3"/>
      <c r="C116" s="3"/>
      <c r="D116" s="17"/>
      <c r="E116" s="18"/>
    </row>
    <row r="117" spans="1:5" ht="15.75" customHeight="1" x14ac:dyDescent="0.25">
      <c r="A117" s="15"/>
      <c r="B117" s="3"/>
      <c r="C117" s="3"/>
      <c r="D117" s="17"/>
      <c r="E117" s="18"/>
    </row>
    <row r="118" spans="1:5" ht="15.75" customHeight="1" x14ac:dyDescent="0.25">
      <c r="A118" s="15"/>
      <c r="B118" s="3"/>
      <c r="C118" s="3"/>
      <c r="D118" s="17"/>
      <c r="E118" s="18"/>
    </row>
    <row r="119" spans="1:5" ht="15.75" customHeight="1" x14ac:dyDescent="0.25">
      <c r="A119" s="15"/>
      <c r="B119" s="3"/>
      <c r="C119" s="3"/>
      <c r="D119" s="17"/>
      <c r="E119" s="18"/>
    </row>
    <row r="120" spans="1:5" ht="15.75" customHeight="1" x14ac:dyDescent="0.25">
      <c r="A120" s="15"/>
      <c r="B120" s="3"/>
      <c r="C120" s="3"/>
      <c r="D120" s="17"/>
      <c r="E120" s="18"/>
    </row>
    <row r="121" spans="1:5" ht="15.75" customHeight="1" x14ac:dyDescent="0.25">
      <c r="A121" s="15"/>
      <c r="B121" s="3"/>
      <c r="C121" s="3"/>
      <c r="D121" s="17"/>
      <c r="E121" s="18"/>
    </row>
    <row r="122" spans="1:5" ht="15.75" customHeight="1" x14ac:dyDescent="0.25">
      <c r="A122" s="15"/>
      <c r="B122" s="3"/>
      <c r="C122" s="3"/>
      <c r="D122" s="17"/>
      <c r="E122" s="18"/>
    </row>
    <row r="123" spans="1:5" ht="15.75" customHeight="1" x14ac:dyDescent="0.25">
      <c r="A123" s="15"/>
      <c r="B123" s="3"/>
      <c r="C123" s="3"/>
      <c r="D123" s="17"/>
      <c r="E123" s="18"/>
    </row>
    <row r="124" spans="1:5" ht="15.75" customHeight="1" x14ac:dyDescent="0.25">
      <c r="A124" s="15"/>
      <c r="B124" s="3"/>
      <c r="C124" s="3"/>
      <c r="D124" s="17"/>
      <c r="E124" s="18"/>
    </row>
    <row r="125" spans="1:5" ht="15.75" customHeight="1" x14ac:dyDescent="0.25">
      <c r="A125" s="15"/>
      <c r="B125" s="3"/>
      <c r="C125" s="3"/>
      <c r="D125" s="17"/>
      <c r="E125" s="18"/>
    </row>
    <row r="126" spans="1:5" ht="15.75" customHeight="1" x14ac:dyDescent="0.25">
      <c r="A126" s="15"/>
      <c r="B126" s="3"/>
      <c r="C126" s="3"/>
      <c r="D126" s="17"/>
      <c r="E126" s="18"/>
    </row>
    <row r="127" spans="1:5" ht="15.75" customHeight="1" x14ac:dyDescent="0.25">
      <c r="A127" s="15"/>
      <c r="B127" s="3"/>
      <c r="C127" s="3"/>
      <c r="D127" s="17"/>
      <c r="E127" s="18"/>
    </row>
    <row r="128" spans="1:5" ht="15.75" customHeight="1" x14ac:dyDescent="0.25">
      <c r="A128" s="15"/>
      <c r="B128" s="3"/>
      <c r="C128" s="3"/>
      <c r="D128" s="17"/>
      <c r="E128" s="18"/>
    </row>
    <row r="129" spans="1:5" ht="15.75" customHeight="1" x14ac:dyDescent="0.25">
      <c r="A129" s="15"/>
      <c r="B129" s="3"/>
      <c r="C129" s="3"/>
      <c r="D129" s="17"/>
      <c r="E129" s="18"/>
    </row>
    <row r="130" spans="1:5" ht="15.75" customHeight="1" x14ac:dyDescent="0.25">
      <c r="A130" s="15"/>
      <c r="B130" s="3"/>
      <c r="C130" s="3"/>
      <c r="D130" s="17"/>
      <c r="E130" s="18"/>
    </row>
    <row r="131" spans="1:5" ht="15.75" customHeight="1" x14ac:dyDescent="0.25">
      <c r="A131" s="15"/>
      <c r="B131" s="3"/>
      <c r="C131" s="3"/>
      <c r="D131" s="17"/>
      <c r="E131" s="18"/>
    </row>
    <row r="132" spans="1:5" ht="15.75" customHeight="1" x14ac:dyDescent="0.25">
      <c r="A132" s="15"/>
      <c r="B132" s="3"/>
      <c r="C132" s="3"/>
      <c r="D132" s="17"/>
      <c r="E132" s="18"/>
    </row>
    <row r="133" spans="1:5" ht="15.75" customHeight="1" x14ac:dyDescent="0.25">
      <c r="A133" s="15"/>
      <c r="B133" s="3"/>
      <c r="C133" s="3"/>
      <c r="D133" s="17"/>
      <c r="E133" s="18"/>
    </row>
    <row r="134" spans="1:5" ht="15.75" customHeight="1" x14ac:dyDescent="0.25">
      <c r="A134" s="15"/>
      <c r="B134" s="3"/>
      <c r="C134" s="3"/>
      <c r="D134" s="17"/>
      <c r="E134" s="18"/>
    </row>
    <row r="135" spans="1:5" ht="15.75" customHeight="1" x14ac:dyDescent="0.25">
      <c r="A135" s="15"/>
      <c r="B135" s="3"/>
      <c r="C135" s="3"/>
      <c r="D135" s="17"/>
      <c r="E135" s="18"/>
    </row>
    <row r="136" spans="1:5" ht="15.75" customHeight="1" x14ac:dyDescent="0.25">
      <c r="A136" s="15"/>
      <c r="B136" s="3"/>
      <c r="C136" s="3"/>
      <c r="D136" s="17"/>
      <c r="E136" s="18"/>
    </row>
    <row r="137" spans="1:5" ht="15.75" customHeight="1" x14ac:dyDescent="0.25">
      <c r="A137" s="15"/>
      <c r="B137" s="3"/>
      <c r="C137" s="3"/>
      <c r="D137" s="17"/>
      <c r="E137" s="18"/>
    </row>
    <row r="138" spans="1:5" ht="15.75" customHeight="1" x14ac:dyDescent="0.25">
      <c r="A138" s="15"/>
      <c r="B138" s="3"/>
      <c r="C138" s="3"/>
      <c r="D138" s="17"/>
      <c r="E138" s="18"/>
    </row>
    <row r="139" spans="1:5" ht="15.75" customHeight="1" x14ac:dyDescent="0.25">
      <c r="A139" s="15"/>
      <c r="B139" s="3"/>
      <c r="C139" s="3"/>
      <c r="D139" s="17"/>
      <c r="E139" s="18"/>
    </row>
    <row r="140" spans="1:5" ht="15.75" customHeight="1" x14ac:dyDescent="0.25">
      <c r="A140" s="15"/>
      <c r="B140" s="3"/>
      <c r="C140" s="3"/>
      <c r="D140" s="17"/>
      <c r="E140" s="18"/>
    </row>
    <row r="141" spans="1:5" ht="15.75" customHeight="1" x14ac:dyDescent="0.25">
      <c r="A141" s="15"/>
      <c r="B141" s="3"/>
      <c r="C141" s="3"/>
      <c r="D141" s="17"/>
      <c r="E141" s="18"/>
    </row>
    <row r="142" spans="1:5" ht="15.75" customHeight="1" x14ac:dyDescent="0.25">
      <c r="A142" s="15"/>
      <c r="B142" s="3"/>
      <c r="C142" s="3"/>
      <c r="D142" s="17"/>
      <c r="E142" s="18"/>
    </row>
    <row r="143" spans="1:5" ht="15.75" customHeight="1" x14ac:dyDescent="0.25">
      <c r="A143" s="15"/>
      <c r="B143" s="3"/>
      <c r="C143" s="3"/>
      <c r="D143" s="17"/>
      <c r="E143" s="18"/>
    </row>
    <row r="144" spans="1:5" ht="15.75" customHeight="1" x14ac:dyDescent="0.25">
      <c r="A144" s="15"/>
      <c r="B144" s="3"/>
      <c r="C144" s="3"/>
      <c r="D144" s="17"/>
      <c r="E144" s="18"/>
    </row>
    <row r="145" spans="1:5" ht="15.75" customHeight="1" x14ac:dyDescent="0.25">
      <c r="A145" s="15"/>
      <c r="B145" s="3"/>
      <c r="C145" s="3"/>
      <c r="D145" s="17"/>
      <c r="E145" s="18"/>
    </row>
    <row r="146" spans="1:5" ht="15.75" customHeight="1" x14ac:dyDescent="0.25">
      <c r="A146" s="15"/>
      <c r="B146" s="3"/>
      <c r="C146" s="3"/>
      <c r="D146" s="17"/>
      <c r="E146" s="18"/>
    </row>
    <row r="147" spans="1:5" ht="15.75" customHeight="1" x14ac:dyDescent="0.25">
      <c r="A147" s="15"/>
      <c r="B147" s="3"/>
      <c r="C147" s="3"/>
      <c r="D147" s="17"/>
      <c r="E147" s="18"/>
    </row>
    <row r="148" spans="1:5" ht="15.75" customHeight="1" x14ac:dyDescent="0.25">
      <c r="A148" s="15"/>
      <c r="B148" s="3"/>
      <c r="C148" s="3"/>
      <c r="D148" s="17"/>
      <c r="E148" s="18"/>
    </row>
    <row r="149" spans="1:5" ht="15.75" customHeight="1" x14ac:dyDescent="0.25">
      <c r="A149" s="15"/>
      <c r="B149" s="3"/>
      <c r="C149" s="3"/>
      <c r="D149" s="17"/>
      <c r="E149" s="18"/>
    </row>
    <row r="150" spans="1:5" ht="15.75" customHeight="1" x14ac:dyDescent="0.25">
      <c r="A150" s="15"/>
      <c r="B150" s="3"/>
      <c r="C150" s="3"/>
      <c r="D150" s="17"/>
      <c r="E150" s="18"/>
    </row>
    <row r="151" spans="1:5" ht="15.75" customHeight="1" x14ac:dyDescent="0.25">
      <c r="A151" s="15"/>
      <c r="B151" s="3"/>
      <c r="C151" s="3"/>
      <c r="D151" s="17"/>
      <c r="E151" s="18"/>
    </row>
    <row r="152" spans="1:5" ht="15.75" customHeight="1" x14ac:dyDescent="0.25">
      <c r="A152" s="15"/>
      <c r="B152" s="3"/>
      <c r="C152" s="3"/>
      <c r="D152" s="17"/>
      <c r="E152" s="18"/>
    </row>
    <row r="153" spans="1:5" ht="15.75" customHeight="1" x14ac:dyDescent="0.25">
      <c r="A153" s="15"/>
      <c r="B153" s="3"/>
      <c r="C153" s="3"/>
      <c r="D153" s="17"/>
      <c r="E153" s="18"/>
    </row>
    <row r="154" spans="1:5" ht="15.75" customHeight="1" x14ac:dyDescent="0.25">
      <c r="A154" s="15"/>
      <c r="B154" s="3"/>
      <c r="C154" s="3"/>
      <c r="D154" s="17"/>
      <c r="E154" s="18"/>
    </row>
    <row r="155" spans="1:5" ht="15.75" customHeight="1" x14ac:dyDescent="0.25">
      <c r="A155" s="15"/>
      <c r="B155" s="3"/>
      <c r="C155" s="3"/>
      <c r="D155" s="17"/>
      <c r="E155" s="18"/>
    </row>
    <row r="156" spans="1:5" ht="15.75" customHeight="1" x14ac:dyDescent="0.25">
      <c r="A156" s="15"/>
      <c r="B156" s="3"/>
      <c r="C156" s="3"/>
      <c r="D156" s="17"/>
      <c r="E156" s="18"/>
    </row>
    <row r="157" spans="1:5" ht="15.75" customHeight="1" x14ac:dyDescent="0.25">
      <c r="A157" s="15"/>
      <c r="B157" s="3"/>
      <c r="C157" s="3"/>
      <c r="D157" s="17"/>
      <c r="E157" s="18"/>
    </row>
    <row r="158" spans="1:5" ht="15.75" customHeight="1" x14ac:dyDescent="0.25">
      <c r="A158" s="15"/>
      <c r="B158" s="3"/>
      <c r="C158" s="3"/>
      <c r="D158" s="17"/>
      <c r="E158" s="18"/>
    </row>
    <row r="159" spans="1:5" ht="15.75" customHeight="1" x14ac:dyDescent="0.25">
      <c r="A159" s="15"/>
      <c r="B159" s="3"/>
      <c r="C159" s="3"/>
      <c r="D159" s="17"/>
      <c r="E159" s="18"/>
    </row>
    <row r="160" spans="1:5" ht="15.75" customHeight="1" x14ac:dyDescent="0.25">
      <c r="A160" s="15"/>
      <c r="B160" s="3"/>
      <c r="C160" s="3"/>
      <c r="D160" s="17"/>
      <c r="E160" s="18"/>
    </row>
    <row r="161" spans="1:5" ht="15.75" customHeight="1" x14ac:dyDescent="0.25">
      <c r="A161" s="15"/>
      <c r="B161" s="3"/>
      <c r="C161" s="3"/>
      <c r="D161" s="17"/>
      <c r="E161" s="18"/>
    </row>
    <row r="162" spans="1:5" ht="15.75" customHeight="1" x14ac:dyDescent="0.25">
      <c r="A162" s="15"/>
      <c r="B162" s="3"/>
      <c r="C162" s="3"/>
      <c r="D162" s="17"/>
      <c r="E162" s="18"/>
    </row>
    <row r="163" spans="1:5" ht="15.75" customHeight="1" x14ac:dyDescent="0.25">
      <c r="A163" s="15"/>
      <c r="B163" s="3"/>
      <c r="C163" s="3"/>
      <c r="D163" s="17"/>
      <c r="E163" s="18"/>
    </row>
    <row r="164" spans="1:5" ht="15.75" customHeight="1" x14ac:dyDescent="0.25">
      <c r="A164" s="15"/>
      <c r="B164" s="3"/>
      <c r="C164" s="3"/>
      <c r="D164" s="17"/>
      <c r="E164" s="18"/>
    </row>
    <row r="165" spans="1:5" ht="15.75" customHeight="1" x14ac:dyDescent="0.25">
      <c r="A165" s="15"/>
      <c r="B165" s="3"/>
      <c r="C165" s="3"/>
      <c r="D165" s="17"/>
      <c r="E165" s="18"/>
    </row>
    <row r="166" spans="1:5" ht="15.75" customHeight="1" x14ac:dyDescent="0.25">
      <c r="A166" s="15"/>
      <c r="B166" s="3"/>
      <c r="C166" s="3"/>
      <c r="D166" s="17"/>
      <c r="E166" s="18"/>
    </row>
    <row r="167" spans="1:5" ht="15.75" customHeight="1" x14ac:dyDescent="0.25">
      <c r="A167" s="15"/>
      <c r="B167" s="3"/>
      <c r="C167" s="3"/>
      <c r="D167" s="17"/>
      <c r="E167" s="18"/>
    </row>
    <row r="168" spans="1:5" ht="15.75" customHeight="1" x14ac:dyDescent="0.25">
      <c r="A168" s="15"/>
      <c r="B168" s="3"/>
      <c r="C168" s="3"/>
      <c r="D168" s="17"/>
      <c r="E168" s="18"/>
    </row>
    <row r="169" spans="1:5" ht="15.75" customHeight="1" x14ac:dyDescent="0.25">
      <c r="A169" s="15"/>
      <c r="B169" s="3"/>
      <c r="C169" s="3"/>
      <c r="D169" s="17"/>
      <c r="E169" s="18"/>
    </row>
    <row r="170" spans="1:5" ht="15.75" customHeight="1" x14ac:dyDescent="0.25">
      <c r="A170" s="15"/>
      <c r="B170" s="3"/>
      <c r="C170" s="3"/>
      <c r="D170" s="17"/>
      <c r="E170" s="18"/>
    </row>
    <row r="171" spans="1:5" ht="15.75" customHeight="1" x14ac:dyDescent="0.25">
      <c r="A171" s="15"/>
      <c r="B171" s="3"/>
      <c r="C171" s="3"/>
      <c r="D171" s="17"/>
      <c r="E171" s="18"/>
    </row>
    <row r="172" spans="1:5" ht="15.75" customHeight="1" x14ac:dyDescent="0.25">
      <c r="A172" s="15"/>
      <c r="B172" s="3"/>
      <c r="C172" s="3"/>
      <c r="D172" s="17"/>
      <c r="E172" s="18"/>
    </row>
    <row r="173" spans="1:5" ht="15.75" customHeight="1" x14ac:dyDescent="0.25">
      <c r="A173" s="15"/>
      <c r="B173" s="3"/>
      <c r="C173" s="3"/>
      <c r="D173" s="17"/>
      <c r="E173" s="18"/>
    </row>
    <row r="174" spans="1:5" ht="15.75" customHeight="1" x14ac:dyDescent="0.25">
      <c r="A174" s="15"/>
      <c r="B174" s="3"/>
      <c r="C174" s="3"/>
      <c r="D174" s="17"/>
      <c r="E174" s="18"/>
    </row>
    <row r="175" spans="1:5" ht="15.75" customHeight="1" x14ac:dyDescent="0.25">
      <c r="A175" s="15"/>
      <c r="B175" s="3"/>
      <c r="C175" s="3"/>
      <c r="D175" s="17"/>
      <c r="E175" s="18"/>
    </row>
    <row r="176" spans="1:5" ht="15.75" customHeight="1" x14ac:dyDescent="0.25">
      <c r="A176" s="15"/>
      <c r="B176" s="3"/>
      <c r="C176" s="3"/>
      <c r="D176" s="17"/>
      <c r="E176" s="18"/>
    </row>
    <row r="177" spans="1:5" ht="15.75" customHeight="1" x14ac:dyDescent="0.25">
      <c r="A177" s="15"/>
      <c r="B177" s="3"/>
      <c r="C177" s="3"/>
      <c r="D177" s="17"/>
      <c r="E177" s="18"/>
    </row>
    <row r="178" spans="1:5" ht="15.75" customHeight="1" x14ac:dyDescent="0.25">
      <c r="A178" s="15"/>
      <c r="B178" s="3"/>
      <c r="C178" s="3"/>
      <c r="D178" s="17"/>
      <c r="E178" s="18"/>
    </row>
    <row r="179" spans="1:5" ht="15.75" customHeight="1" x14ac:dyDescent="0.25">
      <c r="A179" s="15"/>
      <c r="B179" s="3"/>
      <c r="C179" s="3"/>
      <c r="D179" s="17"/>
      <c r="E179" s="18"/>
    </row>
    <row r="180" spans="1:5" ht="15.75" customHeight="1" x14ac:dyDescent="0.25">
      <c r="A180" s="15"/>
      <c r="B180" s="3"/>
      <c r="C180" s="3"/>
      <c r="D180" s="17"/>
      <c r="E180" s="18"/>
    </row>
    <row r="181" spans="1:5" ht="15.75" customHeight="1" x14ac:dyDescent="0.25">
      <c r="A181" s="15"/>
      <c r="B181" s="3"/>
      <c r="C181" s="3"/>
      <c r="D181" s="17"/>
      <c r="E181" s="18"/>
    </row>
    <row r="182" spans="1:5" ht="15.75" customHeight="1" x14ac:dyDescent="0.25">
      <c r="A182" s="15"/>
      <c r="B182" s="3"/>
      <c r="C182" s="3"/>
      <c r="D182" s="17"/>
      <c r="E182" s="18"/>
    </row>
    <row r="183" spans="1:5" ht="15.75" customHeight="1" x14ac:dyDescent="0.25">
      <c r="A183" s="15"/>
      <c r="B183" s="3"/>
      <c r="C183" s="3"/>
      <c r="D183" s="17"/>
      <c r="E183" s="18"/>
    </row>
    <row r="184" spans="1:5" ht="15.75" customHeight="1" x14ac:dyDescent="0.25">
      <c r="A184" s="15"/>
      <c r="B184" s="3"/>
      <c r="C184" s="3"/>
      <c r="D184" s="17"/>
      <c r="E184" s="18"/>
    </row>
    <row r="185" spans="1:5" ht="15.75" customHeight="1" x14ac:dyDescent="0.25">
      <c r="A185" s="15"/>
      <c r="B185" s="3"/>
      <c r="C185" s="3"/>
      <c r="D185" s="17"/>
      <c r="E185" s="18"/>
    </row>
    <row r="186" spans="1:5" ht="15.75" customHeight="1" x14ac:dyDescent="0.25">
      <c r="A186" s="15"/>
      <c r="B186" s="3"/>
      <c r="C186" s="3"/>
      <c r="D186" s="17"/>
      <c r="E186" s="18"/>
    </row>
    <row r="187" spans="1:5" ht="15.75" customHeight="1" x14ac:dyDescent="0.25">
      <c r="A187" s="15"/>
      <c r="B187" s="3"/>
      <c r="C187" s="3"/>
      <c r="D187" s="17"/>
      <c r="E187" s="18"/>
    </row>
    <row r="188" spans="1:5" ht="15.75" customHeight="1" x14ac:dyDescent="0.25">
      <c r="A188" s="15"/>
      <c r="B188" s="3"/>
      <c r="C188" s="3"/>
      <c r="D188" s="17"/>
      <c r="E188" s="18"/>
    </row>
    <row r="189" spans="1:5" ht="15.75" customHeight="1" x14ac:dyDescent="0.25">
      <c r="A189" s="15"/>
      <c r="B189" s="3"/>
      <c r="C189" s="3"/>
      <c r="D189" s="17"/>
      <c r="E189" s="18"/>
    </row>
    <row r="190" spans="1:5" ht="15.75" customHeight="1" x14ac:dyDescent="0.25">
      <c r="A190" s="15"/>
      <c r="B190" s="3"/>
      <c r="C190" s="3"/>
      <c r="D190" s="17"/>
      <c r="E190" s="18"/>
    </row>
    <row r="191" spans="1:5" ht="15.75" customHeight="1" x14ac:dyDescent="0.25">
      <c r="A191" s="15"/>
      <c r="B191" s="3"/>
      <c r="C191" s="3"/>
      <c r="D191" s="17"/>
      <c r="E191" s="18"/>
    </row>
    <row r="192" spans="1:5" ht="15.75" customHeight="1" x14ac:dyDescent="0.25">
      <c r="A192" s="15"/>
      <c r="B192" s="3"/>
      <c r="C192" s="3"/>
      <c r="D192" s="17"/>
      <c r="E192" s="18"/>
    </row>
    <row r="193" spans="1:5" ht="15.75" customHeight="1" x14ac:dyDescent="0.25">
      <c r="A193" s="15"/>
      <c r="B193" s="3"/>
      <c r="C193" s="3"/>
      <c r="D193" s="17"/>
      <c r="E193" s="18"/>
    </row>
    <row r="194" spans="1:5" ht="15.75" customHeight="1" x14ac:dyDescent="0.25">
      <c r="A194" s="15"/>
      <c r="B194" s="3"/>
      <c r="C194" s="3"/>
      <c r="D194" s="17"/>
      <c r="E194" s="18"/>
    </row>
    <row r="195" spans="1:5" ht="15.75" customHeight="1" x14ac:dyDescent="0.25">
      <c r="A195" s="15"/>
      <c r="B195" s="3"/>
      <c r="C195" s="3"/>
      <c r="D195" s="17"/>
      <c r="E195" s="18"/>
    </row>
    <row r="196" spans="1:5" ht="15.75" customHeight="1" x14ac:dyDescent="0.25">
      <c r="A196" s="15"/>
      <c r="B196" s="3"/>
      <c r="C196" s="3"/>
      <c r="D196" s="17"/>
      <c r="E196" s="18"/>
    </row>
    <row r="197" spans="1:5" ht="15.75" customHeight="1" x14ac:dyDescent="0.25">
      <c r="A197" s="15"/>
      <c r="B197" s="3"/>
      <c r="C197" s="3"/>
      <c r="D197" s="17"/>
      <c r="E197" s="18"/>
    </row>
    <row r="198" spans="1:5" ht="15.75" customHeight="1" x14ac:dyDescent="0.25">
      <c r="A198" s="15"/>
      <c r="B198" s="3"/>
      <c r="C198" s="3"/>
      <c r="D198" s="17"/>
      <c r="E198" s="18"/>
    </row>
    <row r="199" spans="1:5" ht="15.75" customHeight="1" x14ac:dyDescent="0.25">
      <c r="A199" s="15"/>
      <c r="B199" s="3"/>
      <c r="C199" s="3"/>
      <c r="D199" s="17"/>
      <c r="E199" s="18"/>
    </row>
    <row r="200" spans="1:5" ht="15.75" customHeight="1" x14ac:dyDescent="0.25">
      <c r="A200" s="15"/>
      <c r="B200" s="3"/>
      <c r="C200" s="3"/>
      <c r="D200" s="17"/>
      <c r="E200" s="18"/>
    </row>
    <row r="201" spans="1:5" ht="15.75" customHeight="1" x14ac:dyDescent="0.25">
      <c r="A201" s="15"/>
      <c r="B201" s="3"/>
      <c r="C201" s="3"/>
      <c r="D201" s="17"/>
      <c r="E201" s="18"/>
    </row>
    <row r="202" spans="1:5" ht="15.75" customHeight="1" x14ac:dyDescent="0.25">
      <c r="A202" s="15"/>
      <c r="B202" s="3"/>
      <c r="C202" s="3"/>
      <c r="D202" s="17"/>
      <c r="E202" s="18"/>
    </row>
    <row r="203" spans="1:5" ht="15.75" customHeight="1" x14ac:dyDescent="0.25">
      <c r="A203" s="15"/>
      <c r="B203" s="3"/>
      <c r="C203" s="3"/>
      <c r="D203" s="17"/>
      <c r="E203" s="18"/>
    </row>
    <row r="204" spans="1:5" ht="15.75" customHeight="1" x14ac:dyDescent="0.25">
      <c r="A204" s="15"/>
      <c r="B204" s="3"/>
      <c r="C204" s="3"/>
      <c r="D204" s="17"/>
      <c r="E204" s="18"/>
    </row>
    <row r="205" spans="1:5" ht="15.75" customHeight="1" x14ac:dyDescent="0.25">
      <c r="A205" s="15"/>
      <c r="B205" s="3"/>
      <c r="C205" s="3"/>
      <c r="D205" s="17"/>
      <c r="E205" s="18"/>
    </row>
    <row r="206" spans="1:5" ht="15.75" customHeight="1" x14ac:dyDescent="0.25">
      <c r="A206" s="15"/>
      <c r="B206" s="3"/>
      <c r="C206" s="3"/>
      <c r="D206" s="17"/>
      <c r="E206" s="18"/>
    </row>
    <row r="207" spans="1:5" ht="15.75" customHeight="1" x14ac:dyDescent="0.25">
      <c r="A207" s="15"/>
      <c r="B207" s="3"/>
      <c r="C207" s="3"/>
      <c r="D207" s="17"/>
      <c r="E207" s="18"/>
    </row>
    <row r="208" spans="1:5" ht="15.75" customHeight="1" x14ac:dyDescent="0.25">
      <c r="A208" s="15"/>
      <c r="B208" s="3"/>
      <c r="C208" s="3"/>
      <c r="D208" s="17"/>
      <c r="E208" s="18"/>
    </row>
    <row r="209" spans="1:5" ht="15.75" customHeight="1" x14ac:dyDescent="0.25">
      <c r="A209" s="15"/>
      <c r="B209" s="3"/>
      <c r="C209" s="3"/>
      <c r="D209" s="17"/>
      <c r="E209" s="18"/>
    </row>
    <row r="210" spans="1:5" ht="15.75" customHeight="1" x14ac:dyDescent="0.25">
      <c r="A210" s="15"/>
      <c r="B210" s="3"/>
      <c r="C210" s="3"/>
      <c r="D210" s="17"/>
      <c r="E210" s="18"/>
    </row>
    <row r="211" spans="1:5" ht="15.75" customHeight="1" x14ac:dyDescent="0.25">
      <c r="A211" s="15"/>
      <c r="B211" s="3"/>
      <c r="C211" s="3"/>
      <c r="D211" s="17"/>
      <c r="E211" s="18"/>
    </row>
    <row r="212" spans="1:5" ht="15.75" customHeight="1" x14ac:dyDescent="0.25">
      <c r="A212" s="15"/>
      <c r="B212" s="3"/>
      <c r="C212" s="3"/>
      <c r="D212" s="17"/>
      <c r="E212" s="18"/>
    </row>
    <row r="213" spans="1:5" ht="15.75" customHeight="1" x14ac:dyDescent="0.25">
      <c r="A213" s="15"/>
      <c r="B213" s="3"/>
      <c r="C213" s="3"/>
      <c r="D213" s="17"/>
      <c r="E213" s="18"/>
    </row>
    <row r="214" spans="1:5" ht="15.75" customHeight="1" x14ac:dyDescent="0.25">
      <c r="A214" s="15"/>
      <c r="B214" s="3"/>
      <c r="C214" s="3"/>
      <c r="D214" s="17"/>
      <c r="E214" s="18"/>
    </row>
    <row r="215" spans="1:5" ht="15.75" customHeight="1" x14ac:dyDescent="0.25">
      <c r="A215" s="15"/>
      <c r="B215" s="3"/>
      <c r="C215" s="3"/>
      <c r="D215" s="17"/>
      <c r="E215" s="18"/>
    </row>
    <row r="216" spans="1:5" ht="15.75" customHeight="1" x14ac:dyDescent="0.25">
      <c r="A216" s="15"/>
      <c r="B216" s="3"/>
      <c r="C216" s="3"/>
      <c r="D216" s="17"/>
      <c r="E216" s="18"/>
    </row>
    <row r="217" spans="1:5" ht="15.75" customHeight="1" x14ac:dyDescent="0.25">
      <c r="A217" s="15"/>
      <c r="B217" s="3"/>
      <c r="C217" s="3"/>
      <c r="D217" s="17"/>
      <c r="E217" s="18"/>
    </row>
    <row r="218" spans="1:5" ht="15.75" customHeight="1" x14ac:dyDescent="0.25">
      <c r="A218" s="15"/>
      <c r="B218" s="3"/>
      <c r="C218" s="3"/>
      <c r="D218" s="17"/>
      <c r="E218" s="18"/>
    </row>
    <row r="219" spans="1:5" ht="15.75" customHeight="1" x14ac:dyDescent="0.25">
      <c r="A219" s="15"/>
      <c r="B219" s="3"/>
      <c r="C219" s="3"/>
      <c r="D219" s="17"/>
      <c r="E219" s="18"/>
    </row>
    <row r="220" spans="1:5" ht="15.75" customHeight="1" x14ac:dyDescent="0.25">
      <c r="A220" s="15"/>
      <c r="B220" s="3"/>
      <c r="C220" s="3"/>
      <c r="D220" s="17"/>
      <c r="E220" s="18"/>
    </row>
    <row r="221" spans="1:5" ht="15.75" customHeight="1" x14ac:dyDescent="0.25">
      <c r="A221" s="15"/>
      <c r="B221" s="3"/>
      <c r="C221" s="3"/>
      <c r="D221" s="17"/>
      <c r="E221" s="18"/>
    </row>
    <row r="222" spans="1:5" ht="15.75" customHeight="1" x14ac:dyDescent="0.25">
      <c r="A222" s="15"/>
      <c r="B222" s="3"/>
      <c r="C222" s="3"/>
      <c r="D222" s="17"/>
      <c r="E222" s="18"/>
    </row>
    <row r="223" spans="1:5" ht="15.75" customHeight="1" x14ac:dyDescent="0.25">
      <c r="A223" s="15"/>
      <c r="B223" s="3"/>
      <c r="C223" s="3"/>
      <c r="D223" s="17"/>
      <c r="E223" s="18"/>
    </row>
    <row r="224" spans="1:5" ht="15.75" customHeight="1" x14ac:dyDescent="0.25">
      <c r="A224" s="15"/>
      <c r="B224" s="3"/>
      <c r="C224" s="3"/>
      <c r="D224" s="17"/>
      <c r="E224" s="18"/>
    </row>
    <row r="225" spans="1:5" ht="15.75" customHeight="1" x14ac:dyDescent="0.25">
      <c r="A225" s="15"/>
      <c r="B225" s="3"/>
      <c r="C225" s="3"/>
      <c r="D225" s="17"/>
      <c r="E225" s="18"/>
    </row>
    <row r="226" spans="1:5" ht="15.75" customHeight="1" x14ac:dyDescent="0.25">
      <c r="A226" s="15"/>
      <c r="B226" s="3"/>
      <c r="C226" s="3"/>
      <c r="D226" s="17"/>
      <c r="E226" s="18"/>
    </row>
    <row r="227" spans="1:5" ht="15.75" customHeight="1" x14ac:dyDescent="0.25">
      <c r="A227" s="15"/>
      <c r="B227" s="3"/>
      <c r="C227" s="3"/>
      <c r="D227" s="17"/>
      <c r="E227" s="18"/>
    </row>
    <row r="228" spans="1:5" ht="15.75" customHeight="1" x14ac:dyDescent="0.25">
      <c r="A228" s="15"/>
      <c r="B228" s="3"/>
      <c r="C228" s="3"/>
      <c r="D228" s="17"/>
      <c r="E228" s="18"/>
    </row>
    <row r="229" spans="1:5" ht="15.75" customHeight="1" x14ac:dyDescent="0.25">
      <c r="A229" s="15"/>
      <c r="B229" s="3"/>
      <c r="C229" s="3"/>
      <c r="D229" s="17"/>
      <c r="E229" s="18"/>
    </row>
    <row r="230" spans="1:5" ht="15.75" customHeight="1" x14ac:dyDescent="0.25">
      <c r="A230" s="15"/>
      <c r="B230" s="3"/>
      <c r="C230" s="3"/>
      <c r="D230" s="17"/>
      <c r="E230" s="18"/>
    </row>
    <row r="231" spans="1:5" ht="15.75" customHeight="1" x14ac:dyDescent="0.25">
      <c r="A231" s="15"/>
      <c r="B231" s="3"/>
      <c r="C231" s="3"/>
      <c r="D231" s="17"/>
      <c r="E231" s="18"/>
    </row>
    <row r="232" spans="1:5" ht="15.75" customHeight="1" x14ac:dyDescent="0.25">
      <c r="A232" s="15"/>
      <c r="B232" s="3"/>
      <c r="C232" s="3"/>
      <c r="D232" s="17"/>
      <c r="E232" s="18"/>
    </row>
    <row r="233" spans="1:5" ht="15.75" customHeight="1" x14ac:dyDescent="0.25">
      <c r="A233" s="15"/>
      <c r="B233" s="3"/>
      <c r="C233" s="3"/>
      <c r="D233" s="17"/>
      <c r="E233" s="18"/>
    </row>
    <row r="234" spans="1:5" ht="15.75" customHeight="1" x14ac:dyDescent="0.25">
      <c r="A234" s="15"/>
      <c r="B234" s="3"/>
      <c r="C234" s="3"/>
      <c r="D234" s="17"/>
      <c r="E234" s="18"/>
    </row>
    <row r="235" spans="1:5" ht="15.75" customHeight="1" x14ac:dyDescent="0.25">
      <c r="A235" s="15"/>
      <c r="B235" s="3"/>
      <c r="C235" s="3"/>
      <c r="D235" s="17"/>
      <c r="E235" s="18"/>
    </row>
    <row r="236" spans="1:5" ht="15.75" customHeight="1" x14ac:dyDescent="0.25">
      <c r="A236" s="15"/>
      <c r="B236" s="3"/>
      <c r="C236" s="3"/>
      <c r="D236" s="17"/>
      <c r="E236" s="18"/>
    </row>
    <row r="237" spans="1:5" ht="15.75" customHeight="1" x14ac:dyDescent="0.25">
      <c r="A237" s="15"/>
      <c r="B237" s="3"/>
      <c r="C237" s="3"/>
      <c r="D237" s="17"/>
      <c r="E237" s="18"/>
    </row>
    <row r="238" spans="1:5" ht="15.75" customHeight="1" x14ac:dyDescent="0.25">
      <c r="A238" s="15"/>
      <c r="B238" s="3"/>
      <c r="C238" s="3"/>
      <c r="D238" s="17"/>
      <c r="E238" s="18"/>
    </row>
    <row r="239" spans="1:5" ht="15.75" customHeight="1" x14ac:dyDescent="0.25">
      <c r="A239" s="15"/>
      <c r="B239" s="3"/>
      <c r="C239" s="3"/>
      <c r="D239" s="17"/>
      <c r="E239" s="18"/>
    </row>
    <row r="240" spans="1:5" ht="15.75" customHeight="1" x14ac:dyDescent="0.25">
      <c r="A240" s="15"/>
      <c r="B240" s="3"/>
      <c r="C240" s="3"/>
      <c r="D240" s="17"/>
      <c r="E240" s="18"/>
    </row>
    <row r="241" spans="1:5" ht="15.75" customHeight="1" x14ac:dyDescent="0.25">
      <c r="A241" s="15"/>
      <c r="B241" s="3"/>
      <c r="C241" s="3"/>
      <c r="D241" s="17"/>
      <c r="E241" s="18"/>
    </row>
    <row r="242" spans="1:5" ht="15.75" customHeight="1" x14ac:dyDescent="0.25">
      <c r="A242" s="15"/>
      <c r="B242" s="3"/>
      <c r="C242" s="3"/>
      <c r="D242" s="17"/>
      <c r="E242" s="18"/>
    </row>
    <row r="243" spans="1:5" ht="15.75" customHeight="1" x14ac:dyDescent="0.25">
      <c r="A243" s="15"/>
      <c r="B243" s="3"/>
      <c r="C243" s="3"/>
      <c r="D243" s="17"/>
      <c r="E243" s="18"/>
    </row>
    <row r="244" spans="1:5" ht="15.75" customHeight="1" x14ac:dyDescent="0.25">
      <c r="A244" s="15"/>
      <c r="B244" s="3"/>
      <c r="C244" s="3"/>
      <c r="D244" s="17"/>
      <c r="E244" s="18"/>
    </row>
    <row r="245" spans="1:5" ht="15.75" customHeight="1" x14ac:dyDescent="0.25">
      <c r="A245" s="15"/>
      <c r="B245" s="3"/>
      <c r="C245" s="3"/>
      <c r="D245" s="17"/>
      <c r="E245" s="18"/>
    </row>
    <row r="246" spans="1:5" ht="15.75" customHeight="1" x14ac:dyDescent="0.25">
      <c r="A246" s="15"/>
      <c r="B246" s="3"/>
      <c r="C246" s="3"/>
      <c r="D246" s="17"/>
      <c r="E246" s="18"/>
    </row>
    <row r="247" spans="1:5" ht="15.75" customHeight="1" x14ac:dyDescent="0.25">
      <c r="A247" s="15"/>
      <c r="B247" s="3"/>
      <c r="C247" s="3"/>
      <c r="D247" s="17"/>
      <c r="E247" s="18"/>
    </row>
    <row r="248" spans="1:5" ht="15.75" customHeight="1" x14ac:dyDescent="0.25">
      <c r="A248" s="15"/>
      <c r="B248" s="3"/>
      <c r="C248" s="3"/>
      <c r="D248" s="17"/>
      <c r="E248" s="18"/>
    </row>
    <row r="249" spans="1:5" ht="15.75" customHeight="1" x14ac:dyDescent="0.25">
      <c r="A249" s="15"/>
      <c r="B249" s="3"/>
      <c r="C249" s="3"/>
      <c r="D249" s="17"/>
      <c r="E249" s="18"/>
    </row>
    <row r="250" spans="1:5" ht="15.75" customHeight="1" x14ac:dyDescent="0.25">
      <c r="A250" s="15"/>
      <c r="B250" s="3"/>
      <c r="C250" s="3"/>
      <c r="D250" s="17"/>
      <c r="E250" s="18"/>
    </row>
    <row r="251" spans="1:5" ht="15.75" customHeight="1" x14ac:dyDescent="0.25">
      <c r="A251" s="15"/>
      <c r="B251" s="3"/>
      <c r="C251" s="3"/>
      <c r="D251" s="17"/>
      <c r="E251" s="18"/>
    </row>
    <row r="252" spans="1:5" ht="15.75" customHeight="1" x14ac:dyDescent="0.25">
      <c r="A252" s="15"/>
      <c r="B252" s="3"/>
      <c r="C252" s="3"/>
      <c r="D252" s="17"/>
      <c r="E252" s="18"/>
    </row>
    <row r="253" spans="1:5" ht="15.75" customHeight="1" x14ac:dyDescent="0.25">
      <c r="A253" s="15"/>
      <c r="B253" s="3"/>
      <c r="C253" s="3"/>
      <c r="D253" s="17"/>
      <c r="E253" s="18"/>
    </row>
    <row r="254" spans="1:5" ht="15.75" customHeight="1" x14ac:dyDescent="0.25">
      <c r="A254" s="15"/>
      <c r="B254" s="3"/>
      <c r="C254" s="3"/>
      <c r="D254" s="17"/>
      <c r="E254" s="18"/>
    </row>
    <row r="255" spans="1:5" ht="15.75" customHeight="1" x14ac:dyDescent="0.25">
      <c r="A255" s="15"/>
      <c r="B255" s="3"/>
      <c r="C255" s="3"/>
      <c r="D255" s="17"/>
      <c r="E255" s="18"/>
    </row>
    <row r="256" spans="1:5" ht="15.75" customHeight="1" x14ac:dyDescent="0.25">
      <c r="A256" s="15"/>
      <c r="B256" s="3"/>
      <c r="C256" s="3"/>
      <c r="D256" s="17"/>
      <c r="E256" s="18"/>
    </row>
    <row r="257" spans="1:5" ht="15.75" customHeight="1" x14ac:dyDescent="0.25">
      <c r="A257" s="15"/>
      <c r="B257" s="3"/>
      <c r="C257" s="3"/>
      <c r="D257" s="17"/>
      <c r="E257" s="18"/>
    </row>
    <row r="258" spans="1:5" ht="15.75" customHeight="1" x14ac:dyDescent="0.25">
      <c r="A258" s="15"/>
      <c r="B258" s="3"/>
      <c r="C258" s="3"/>
      <c r="D258" s="17"/>
      <c r="E258" s="18"/>
    </row>
    <row r="259" spans="1:5" ht="15.75" customHeight="1" x14ac:dyDescent="0.25">
      <c r="A259" s="15"/>
      <c r="B259" s="3"/>
      <c r="C259" s="3"/>
      <c r="D259" s="17"/>
      <c r="E259" s="18"/>
    </row>
    <row r="260" spans="1:5" ht="15.75" customHeight="1" x14ac:dyDescent="0.25">
      <c r="A260" s="15"/>
      <c r="B260" s="3"/>
      <c r="C260" s="3"/>
      <c r="D260" s="17"/>
      <c r="E260" s="18"/>
    </row>
    <row r="261" spans="1:5" ht="15.75" customHeight="1" x14ac:dyDescent="0.25">
      <c r="A261" s="15"/>
      <c r="B261" s="3"/>
      <c r="C261" s="3"/>
      <c r="D261" s="17"/>
      <c r="E261" s="18"/>
    </row>
    <row r="262" spans="1:5" ht="15.75" customHeight="1" x14ac:dyDescent="0.25">
      <c r="A262" s="15"/>
      <c r="B262" s="3"/>
      <c r="C262" s="3"/>
      <c r="D262" s="17"/>
      <c r="E262" s="18"/>
    </row>
    <row r="263" spans="1:5" ht="15.75" customHeight="1" x14ac:dyDescent="0.25">
      <c r="A263" s="15"/>
      <c r="B263" s="3"/>
      <c r="C263" s="3"/>
      <c r="D263" s="17"/>
      <c r="E263" s="18"/>
    </row>
    <row r="264" spans="1:5" ht="15.75" customHeight="1" x14ac:dyDescent="0.25">
      <c r="A264" s="15"/>
      <c r="B264" s="3"/>
      <c r="C264" s="3"/>
      <c r="D264" s="17"/>
      <c r="E264" s="18"/>
    </row>
    <row r="265" spans="1:5" ht="15.75" customHeight="1" x14ac:dyDescent="0.25">
      <c r="A265" s="15"/>
      <c r="B265" s="3"/>
      <c r="C265" s="3"/>
      <c r="D265" s="17"/>
      <c r="E265" s="18"/>
    </row>
    <row r="266" spans="1:5" ht="15.75" customHeight="1" x14ac:dyDescent="0.25">
      <c r="A266" s="15"/>
      <c r="B266" s="3"/>
      <c r="C266" s="3"/>
      <c r="D266" s="17"/>
      <c r="E266" s="18"/>
    </row>
    <row r="267" spans="1:5" ht="15.75" customHeight="1" x14ac:dyDescent="0.25">
      <c r="A267" s="15"/>
      <c r="B267" s="3"/>
      <c r="C267" s="3"/>
      <c r="D267" s="17"/>
      <c r="E267" s="18"/>
    </row>
    <row r="268" spans="1:5" ht="15.75" customHeight="1" x14ac:dyDescent="0.25">
      <c r="A268" s="15"/>
      <c r="B268" s="3"/>
      <c r="C268" s="3"/>
      <c r="D268" s="17"/>
      <c r="E268" s="18"/>
    </row>
    <row r="269" spans="1:5" ht="15.75" customHeight="1" x14ac:dyDescent="0.25">
      <c r="A269" s="15"/>
      <c r="B269" s="3"/>
      <c r="C269" s="3"/>
      <c r="D269" s="17"/>
      <c r="E269" s="18"/>
    </row>
    <row r="270" spans="1:5" ht="15.75" customHeight="1" x14ac:dyDescent="0.25">
      <c r="A270" s="15"/>
      <c r="B270" s="3"/>
      <c r="C270" s="3"/>
      <c r="D270" s="17"/>
      <c r="E270" s="18"/>
    </row>
    <row r="271" spans="1:5" ht="15.75" customHeight="1" x14ac:dyDescent="0.25">
      <c r="A271" s="15"/>
      <c r="B271" s="3"/>
      <c r="C271" s="3"/>
      <c r="D271" s="17"/>
      <c r="E271" s="18"/>
    </row>
    <row r="272" spans="1:5" ht="15.75" customHeight="1" x14ac:dyDescent="0.25">
      <c r="A272" s="15"/>
      <c r="B272" s="3"/>
      <c r="C272" s="3"/>
      <c r="D272" s="17"/>
      <c r="E272" s="18"/>
    </row>
    <row r="273" spans="1:5" ht="15.75" customHeight="1" x14ac:dyDescent="0.25">
      <c r="A273" s="15"/>
      <c r="B273" s="3"/>
      <c r="C273" s="3"/>
      <c r="D273" s="17"/>
      <c r="E273" s="18"/>
    </row>
    <row r="274" spans="1:5" ht="15.75" customHeight="1" x14ac:dyDescent="0.25">
      <c r="A274" s="15"/>
      <c r="B274" s="3"/>
      <c r="C274" s="3"/>
      <c r="D274" s="17"/>
      <c r="E274" s="18"/>
    </row>
    <row r="275" spans="1:5" ht="15.75" customHeight="1" x14ac:dyDescent="0.25">
      <c r="A275" s="15"/>
      <c r="B275" s="3"/>
      <c r="C275" s="3"/>
      <c r="D275" s="17"/>
      <c r="E275" s="18"/>
    </row>
    <row r="276" spans="1:5" ht="15.75" customHeight="1" x14ac:dyDescent="0.25">
      <c r="A276" s="15"/>
      <c r="B276" s="3"/>
      <c r="C276" s="3"/>
      <c r="D276" s="17"/>
      <c r="E276" s="18"/>
    </row>
    <row r="277" spans="1:5" ht="15.75" customHeight="1" x14ac:dyDescent="0.25">
      <c r="A277" s="15"/>
      <c r="B277" s="3"/>
      <c r="C277" s="3"/>
      <c r="D277" s="17"/>
      <c r="E277" s="18"/>
    </row>
    <row r="278" spans="1:5" ht="15.75" customHeight="1" x14ac:dyDescent="0.25">
      <c r="A278" s="15"/>
      <c r="B278" s="3"/>
      <c r="C278" s="3"/>
      <c r="D278" s="17"/>
      <c r="E278" s="18"/>
    </row>
    <row r="279" spans="1:5" ht="15.75" customHeight="1" x14ac:dyDescent="0.25">
      <c r="A279" s="15"/>
      <c r="B279" s="3"/>
      <c r="C279" s="3"/>
      <c r="D279" s="17"/>
      <c r="E279" s="18"/>
    </row>
    <row r="280" spans="1:5" ht="15.75" customHeight="1" x14ac:dyDescent="0.25">
      <c r="A280" s="15"/>
      <c r="B280" s="3"/>
      <c r="C280" s="3"/>
      <c r="D280" s="17"/>
      <c r="E280" s="18"/>
    </row>
    <row r="281" spans="1:5" ht="15.75" customHeight="1" x14ac:dyDescent="0.25">
      <c r="A281" s="15"/>
      <c r="B281" s="3"/>
      <c r="C281" s="3"/>
      <c r="D281" s="17"/>
      <c r="E281" s="18"/>
    </row>
    <row r="282" spans="1:5" ht="15.75" customHeight="1" x14ac:dyDescent="0.25">
      <c r="A282" s="15"/>
      <c r="B282" s="3"/>
      <c r="C282" s="3"/>
      <c r="D282" s="17"/>
      <c r="E282" s="18"/>
    </row>
    <row r="283" spans="1:5" ht="15.75" customHeight="1" x14ac:dyDescent="0.25">
      <c r="A283" s="15"/>
      <c r="B283" s="3"/>
      <c r="C283" s="3"/>
      <c r="D283" s="17"/>
      <c r="E283" s="18"/>
    </row>
    <row r="284" spans="1:5" ht="15.75" customHeight="1" x14ac:dyDescent="0.25">
      <c r="A284" s="15"/>
      <c r="B284" s="3"/>
      <c r="C284" s="3"/>
      <c r="D284" s="17"/>
      <c r="E284" s="18"/>
    </row>
    <row r="285" spans="1:5" ht="15.75" customHeight="1" x14ac:dyDescent="0.25">
      <c r="A285" s="15"/>
      <c r="B285" s="3"/>
      <c r="C285" s="3"/>
      <c r="D285" s="17"/>
      <c r="E285" s="18"/>
    </row>
    <row r="286" spans="1:5" ht="15.75" customHeight="1" x14ac:dyDescent="0.25">
      <c r="A286" s="15"/>
      <c r="B286" s="3"/>
      <c r="C286" s="3"/>
      <c r="D286" s="17"/>
      <c r="E286" s="18"/>
    </row>
    <row r="287" spans="1:5" ht="15.75" customHeight="1" x14ac:dyDescent="0.25">
      <c r="A287" s="15"/>
      <c r="B287" s="3"/>
      <c r="C287" s="3"/>
      <c r="D287" s="17"/>
      <c r="E287" s="18"/>
    </row>
    <row r="288" spans="1:5" ht="15.75" customHeight="1" x14ac:dyDescent="0.25">
      <c r="A288" s="15"/>
      <c r="B288" s="3"/>
      <c r="C288" s="3"/>
      <c r="D288" s="17"/>
      <c r="E288" s="18"/>
    </row>
    <row r="289" spans="1:5" ht="15.75" customHeight="1" x14ac:dyDescent="0.25">
      <c r="A289" s="15"/>
      <c r="B289" s="3"/>
      <c r="C289" s="3"/>
      <c r="D289" s="17"/>
      <c r="E289" s="18"/>
    </row>
    <row r="290" spans="1:5" ht="15.75" customHeight="1" x14ac:dyDescent="0.25">
      <c r="A290" s="15"/>
      <c r="B290" s="3"/>
      <c r="C290" s="3"/>
      <c r="D290" s="17"/>
      <c r="E290" s="18"/>
    </row>
    <row r="291" spans="1:5" ht="15.75" customHeight="1" x14ac:dyDescent="0.25">
      <c r="A291" s="15"/>
      <c r="B291" s="3"/>
      <c r="C291" s="3"/>
      <c r="D291" s="17"/>
      <c r="E291" s="18"/>
    </row>
    <row r="292" spans="1:5" ht="15.75" customHeight="1" x14ac:dyDescent="0.25">
      <c r="A292" s="15"/>
      <c r="B292" s="3"/>
      <c r="C292" s="3"/>
      <c r="D292" s="17"/>
      <c r="E292" s="18"/>
    </row>
    <row r="293" spans="1:5" ht="15.75" customHeight="1" x14ac:dyDescent="0.25">
      <c r="A293" s="15"/>
      <c r="B293" s="3"/>
      <c r="C293" s="3"/>
      <c r="D293" s="17"/>
      <c r="E293" s="18"/>
    </row>
    <row r="294" spans="1:5" ht="15.75" customHeight="1" x14ac:dyDescent="0.25">
      <c r="A294" s="15"/>
      <c r="B294" s="3"/>
      <c r="C294" s="3"/>
      <c r="D294" s="17"/>
      <c r="E294" s="18"/>
    </row>
    <row r="295" spans="1:5" ht="15.75" customHeight="1" x14ac:dyDescent="0.25">
      <c r="A295" s="15"/>
      <c r="B295" s="3"/>
      <c r="C295" s="3"/>
      <c r="D295" s="17"/>
      <c r="E295" s="18"/>
    </row>
    <row r="296" spans="1:5" ht="15.75" customHeight="1" x14ac:dyDescent="0.25">
      <c r="A296" s="15"/>
      <c r="B296" s="3"/>
      <c r="C296" s="3"/>
      <c r="D296" s="17"/>
      <c r="E296" s="18"/>
    </row>
    <row r="297" spans="1:5" ht="15.75" customHeight="1" x14ac:dyDescent="0.25">
      <c r="A297" s="15"/>
      <c r="B297" s="3"/>
      <c r="C297" s="3"/>
      <c r="D297" s="17"/>
      <c r="E297" s="18"/>
    </row>
    <row r="298" spans="1:5" ht="15.75" customHeight="1" x14ac:dyDescent="0.25">
      <c r="A298" s="15"/>
      <c r="B298" s="3"/>
      <c r="C298" s="3"/>
      <c r="D298" s="17"/>
      <c r="E298" s="18"/>
    </row>
    <row r="299" spans="1:5" ht="15.75" customHeight="1" x14ac:dyDescent="0.25">
      <c r="A299" s="15"/>
      <c r="B299" s="3"/>
      <c r="C299" s="3"/>
      <c r="D299" s="17"/>
      <c r="E299" s="18"/>
    </row>
    <row r="300" spans="1:5" ht="15.75" customHeight="1" x14ac:dyDescent="0.25">
      <c r="A300" s="15"/>
      <c r="B300" s="3"/>
      <c r="C300" s="3"/>
      <c r="D300" s="17"/>
      <c r="E300" s="18"/>
    </row>
    <row r="301" spans="1:5" ht="15.75" customHeight="1" x14ac:dyDescent="0.25">
      <c r="A301" s="15"/>
      <c r="B301" s="3"/>
      <c r="C301" s="3"/>
      <c r="D301" s="17"/>
      <c r="E301" s="18"/>
    </row>
    <row r="302" spans="1:5" ht="15.75" customHeight="1" x14ac:dyDescent="0.25">
      <c r="A302" s="15"/>
      <c r="B302" s="3"/>
      <c r="C302" s="3"/>
      <c r="D302" s="17"/>
      <c r="E302" s="18"/>
    </row>
    <row r="303" spans="1:5" ht="15.75" customHeight="1" x14ac:dyDescent="0.25">
      <c r="A303" s="15"/>
      <c r="B303" s="3"/>
      <c r="C303" s="3"/>
      <c r="D303" s="17"/>
      <c r="E303" s="18"/>
    </row>
    <row r="304" spans="1:5" ht="15.75" customHeight="1" x14ac:dyDescent="0.25">
      <c r="A304" s="15"/>
      <c r="B304" s="3"/>
      <c r="C304" s="3"/>
      <c r="D304" s="17"/>
      <c r="E304" s="18"/>
    </row>
    <row r="305" spans="1:5" ht="15.75" customHeight="1" x14ac:dyDescent="0.25">
      <c r="A305" s="15"/>
      <c r="B305" s="3"/>
      <c r="C305" s="3"/>
      <c r="D305" s="17"/>
      <c r="E305" s="18"/>
    </row>
    <row r="306" spans="1:5" ht="15.75" customHeight="1" x14ac:dyDescent="0.25">
      <c r="A306" s="15"/>
      <c r="B306" s="3"/>
      <c r="C306" s="3"/>
      <c r="D306" s="17"/>
      <c r="E306" s="18"/>
    </row>
    <row r="307" spans="1:5" ht="15.75" customHeight="1" x14ac:dyDescent="0.25">
      <c r="A307" s="15"/>
      <c r="B307" s="3"/>
      <c r="C307" s="3"/>
      <c r="D307" s="17"/>
      <c r="E307" s="18"/>
    </row>
    <row r="308" spans="1:5" ht="15.75" customHeight="1" x14ac:dyDescent="0.25">
      <c r="A308" s="15"/>
      <c r="B308" s="3"/>
      <c r="C308" s="3"/>
      <c r="D308" s="17"/>
      <c r="E308" s="18"/>
    </row>
    <row r="309" spans="1:5" ht="15.75" customHeight="1" x14ac:dyDescent="0.25">
      <c r="A309" s="15"/>
      <c r="B309" s="3"/>
      <c r="C309" s="3"/>
      <c r="D309" s="17"/>
      <c r="E309" s="18"/>
    </row>
    <row r="310" spans="1:5" ht="15.75" customHeight="1" x14ac:dyDescent="0.25">
      <c r="A310" s="15"/>
      <c r="B310" s="3"/>
      <c r="C310" s="3"/>
      <c r="D310" s="17"/>
      <c r="E310" s="18"/>
    </row>
    <row r="311" spans="1:5" ht="15.75" customHeight="1" x14ac:dyDescent="0.25">
      <c r="A311" s="15"/>
      <c r="B311" s="3"/>
      <c r="C311" s="3"/>
      <c r="D311" s="17"/>
      <c r="E311" s="18"/>
    </row>
    <row r="312" spans="1:5" ht="15.75" customHeight="1" x14ac:dyDescent="0.25">
      <c r="A312" s="15"/>
      <c r="B312" s="3"/>
      <c r="C312" s="3"/>
      <c r="D312" s="17"/>
      <c r="E312" s="18"/>
    </row>
    <row r="313" spans="1:5" ht="15.75" customHeight="1" x14ac:dyDescent="0.25">
      <c r="A313" s="15"/>
      <c r="B313" s="3"/>
      <c r="C313" s="3"/>
      <c r="D313" s="17"/>
      <c r="E313" s="18"/>
    </row>
    <row r="314" spans="1:5" ht="15.75" customHeight="1" x14ac:dyDescent="0.25">
      <c r="A314" s="15"/>
      <c r="B314" s="3"/>
      <c r="C314" s="3"/>
      <c r="D314" s="17"/>
      <c r="E314" s="18"/>
    </row>
    <row r="315" spans="1:5" ht="15.75" customHeight="1" x14ac:dyDescent="0.25">
      <c r="A315" s="15"/>
      <c r="B315" s="3"/>
      <c r="C315" s="3"/>
      <c r="D315" s="17"/>
      <c r="E315" s="18"/>
    </row>
    <row r="316" spans="1:5" ht="15.75" customHeight="1" x14ac:dyDescent="0.25">
      <c r="A316" s="15"/>
      <c r="B316" s="3"/>
      <c r="C316" s="3"/>
      <c r="D316" s="17"/>
      <c r="E316" s="18"/>
    </row>
    <row r="317" spans="1:5" ht="15.75" customHeight="1" x14ac:dyDescent="0.25">
      <c r="A317" s="15"/>
      <c r="B317" s="3"/>
      <c r="C317" s="3"/>
      <c r="D317" s="17"/>
      <c r="E317" s="18"/>
    </row>
    <row r="318" spans="1:5" ht="15.75" customHeight="1" x14ac:dyDescent="0.25">
      <c r="A318" s="15"/>
      <c r="B318" s="3"/>
      <c r="C318" s="3"/>
      <c r="D318" s="17"/>
      <c r="E318" s="18"/>
    </row>
    <row r="319" spans="1:5" ht="15.75" customHeight="1" x14ac:dyDescent="0.25">
      <c r="A319" s="15"/>
      <c r="B319" s="3"/>
      <c r="C319" s="3"/>
      <c r="D319" s="17"/>
      <c r="E319" s="18"/>
    </row>
    <row r="320" spans="1:5" ht="15.75" customHeight="1" x14ac:dyDescent="0.25">
      <c r="A320" s="15"/>
      <c r="B320" s="3"/>
      <c r="C320" s="3"/>
      <c r="D320" s="17"/>
      <c r="E320" s="18"/>
    </row>
    <row r="321" spans="1:5" ht="15.75" customHeight="1" x14ac:dyDescent="0.25">
      <c r="A321" s="15"/>
      <c r="B321" s="3"/>
      <c r="C321" s="3"/>
      <c r="D321" s="17"/>
      <c r="E321" s="18"/>
    </row>
    <row r="322" spans="1:5" ht="15.75" customHeight="1" x14ac:dyDescent="0.25">
      <c r="A322" s="15"/>
      <c r="B322" s="3"/>
      <c r="C322" s="3"/>
      <c r="D322" s="17"/>
      <c r="E322" s="18"/>
    </row>
    <row r="323" spans="1:5" ht="15.75" customHeight="1" x14ac:dyDescent="0.25">
      <c r="A323" s="15"/>
      <c r="B323" s="3"/>
      <c r="C323" s="3"/>
      <c r="D323" s="17"/>
      <c r="E323" s="18"/>
    </row>
    <row r="324" spans="1:5" ht="15.75" customHeight="1" x14ac:dyDescent="0.25">
      <c r="A324" s="15"/>
      <c r="B324" s="3"/>
      <c r="C324" s="3"/>
      <c r="D324" s="17"/>
      <c r="E324" s="18"/>
    </row>
    <row r="325" spans="1:5" ht="15.75" customHeight="1" x14ac:dyDescent="0.25">
      <c r="A325" s="15"/>
      <c r="B325" s="3"/>
      <c r="C325" s="3"/>
      <c r="D325" s="17"/>
      <c r="E325" s="18"/>
    </row>
    <row r="326" spans="1:5" ht="15.75" customHeight="1" x14ac:dyDescent="0.25">
      <c r="A326" s="15"/>
      <c r="B326" s="3"/>
      <c r="C326" s="3"/>
      <c r="D326" s="17"/>
      <c r="E326" s="18"/>
    </row>
    <row r="327" spans="1:5" ht="15.75" customHeight="1" x14ac:dyDescent="0.25">
      <c r="A327" s="15"/>
      <c r="B327" s="3"/>
      <c r="C327" s="3"/>
      <c r="D327" s="17"/>
      <c r="E327" s="18"/>
    </row>
    <row r="328" spans="1:5" ht="15.75" customHeight="1" x14ac:dyDescent="0.25">
      <c r="A328" s="15"/>
      <c r="B328" s="3"/>
      <c r="C328" s="3"/>
      <c r="D328" s="17"/>
      <c r="E328" s="18"/>
    </row>
    <row r="329" spans="1:5" ht="15.75" customHeight="1" x14ac:dyDescent="0.25">
      <c r="A329" s="15"/>
      <c r="B329" s="3"/>
      <c r="C329" s="3"/>
      <c r="D329" s="17"/>
      <c r="E329" s="18"/>
    </row>
    <row r="330" spans="1:5" ht="15.75" customHeight="1" x14ac:dyDescent="0.25">
      <c r="A330" s="15"/>
      <c r="B330" s="3"/>
      <c r="C330" s="3"/>
      <c r="D330" s="17"/>
      <c r="E330" s="18"/>
    </row>
    <row r="331" spans="1:5" ht="15.75" customHeight="1" x14ac:dyDescent="0.25">
      <c r="A331" s="15"/>
      <c r="B331" s="3"/>
      <c r="C331" s="3"/>
      <c r="D331" s="17"/>
      <c r="E331" s="18"/>
    </row>
    <row r="332" spans="1:5" ht="15.75" customHeight="1" x14ac:dyDescent="0.25">
      <c r="A332" s="15"/>
      <c r="B332" s="3"/>
      <c r="C332" s="3"/>
      <c r="D332" s="17"/>
      <c r="E332" s="18"/>
    </row>
    <row r="333" spans="1:5" ht="15.75" customHeight="1" x14ac:dyDescent="0.25">
      <c r="A333" s="15"/>
      <c r="B333" s="3"/>
      <c r="C333" s="3"/>
      <c r="D333" s="17"/>
      <c r="E333" s="18"/>
    </row>
    <row r="334" spans="1:5" ht="15.75" customHeight="1" x14ac:dyDescent="0.25">
      <c r="A334" s="15"/>
      <c r="B334" s="3"/>
      <c r="C334" s="3"/>
      <c r="D334" s="17"/>
      <c r="E334" s="18"/>
    </row>
    <row r="335" spans="1:5" ht="15.75" customHeight="1" x14ac:dyDescent="0.25">
      <c r="A335" s="15"/>
      <c r="B335" s="3"/>
      <c r="C335" s="3"/>
      <c r="D335" s="17"/>
      <c r="E335" s="18"/>
    </row>
    <row r="336" spans="1:5" ht="15.75" customHeight="1" x14ac:dyDescent="0.25">
      <c r="A336" s="15"/>
      <c r="B336" s="3"/>
      <c r="C336" s="3"/>
      <c r="D336" s="17"/>
      <c r="E336" s="18"/>
    </row>
    <row r="337" spans="1:5" ht="15.75" customHeight="1" x14ac:dyDescent="0.25">
      <c r="A337" s="15"/>
      <c r="B337" s="3"/>
      <c r="C337" s="3"/>
      <c r="D337" s="17"/>
      <c r="E337" s="18"/>
    </row>
    <row r="338" spans="1:5" ht="15.75" customHeight="1" x14ac:dyDescent="0.25">
      <c r="A338" s="15"/>
      <c r="B338" s="3"/>
      <c r="C338" s="3"/>
      <c r="D338" s="17"/>
      <c r="E338" s="18"/>
    </row>
    <row r="339" spans="1:5" ht="15.75" customHeight="1" x14ac:dyDescent="0.25">
      <c r="A339" s="15"/>
      <c r="B339" s="3"/>
      <c r="C339" s="3"/>
      <c r="D339" s="17"/>
      <c r="E339" s="18"/>
    </row>
    <row r="340" spans="1:5" ht="15.75" customHeight="1" x14ac:dyDescent="0.25">
      <c r="A340" s="15"/>
      <c r="B340" s="3"/>
      <c r="C340" s="3"/>
      <c r="D340" s="17"/>
      <c r="E340" s="18"/>
    </row>
    <row r="341" spans="1:5" ht="15.75" customHeight="1" x14ac:dyDescent="0.25">
      <c r="A341" s="15"/>
      <c r="B341" s="3"/>
      <c r="C341" s="3"/>
      <c r="D341" s="17"/>
      <c r="E341" s="18"/>
    </row>
    <row r="342" spans="1:5" ht="15.75" customHeight="1" x14ac:dyDescent="0.25">
      <c r="A342" s="15"/>
      <c r="B342" s="3"/>
      <c r="C342" s="3"/>
      <c r="D342" s="17"/>
      <c r="E342" s="18"/>
    </row>
    <row r="343" spans="1:5" ht="15.75" customHeight="1" x14ac:dyDescent="0.25">
      <c r="A343" s="15"/>
      <c r="B343" s="3"/>
      <c r="C343" s="3"/>
      <c r="D343" s="17"/>
      <c r="E343" s="18"/>
    </row>
    <row r="344" spans="1:5" ht="15.75" customHeight="1" x14ac:dyDescent="0.25">
      <c r="A344" s="15"/>
      <c r="B344" s="3"/>
      <c r="C344" s="3"/>
      <c r="D344" s="17"/>
      <c r="E344" s="18"/>
    </row>
    <row r="345" spans="1:5" ht="15.75" customHeight="1" x14ac:dyDescent="0.25">
      <c r="A345" s="15"/>
      <c r="B345" s="3"/>
      <c r="C345" s="3"/>
      <c r="D345" s="17"/>
      <c r="E345" s="18"/>
    </row>
    <row r="346" spans="1:5" ht="15.75" customHeight="1" x14ac:dyDescent="0.25">
      <c r="A346" s="15"/>
      <c r="B346" s="3"/>
      <c r="C346" s="3"/>
      <c r="D346" s="17"/>
      <c r="E346" s="18"/>
    </row>
    <row r="347" spans="1:5" ht="15.75" customHeight="1" x14ac:dyDescent="0.25">
      <c r="A347" s="15"/>
      <c r="B347" s="3"/>
      <c r="C347" s="3"/>
      <c r="D347" s="17"/>
      <c r="E347" s="18"/>
    </row>
    <row r="348" spans="1:5" ht="15.75" customHeight="1" x14ac:dyDescent="0.25">
      <c r="A348" s="15"/>
      <c r="B348" s="3"/>
      <c r="C348" s="3"/>
      <c r="D348" s="17"/>
      <c r="E348" s="18"/>
    </row>
    <row r="349" spans="1:5" ht="15.75" customHeight="1" x14ac:dyDescent="0.25">
      <c r="A349" s="15"/>
      <c r="B349" s="3"/>
      <c r="C349" s="3"/>
      <c r="D349" s="17"/>
      <c r="E349" s="18"/>
    </row>
    <row r="350" spans="1:5" ht="15.75" customHeight="1" x14ac:dyDescent="0.25">
      <c r="A350" s="15"/>
      <c r="B350" s="3"/>
      <c r="C350" s="3"/>
      <c r="D350" s="17"/>
      <c r="E350" s="18"/>
    </row>
    <row r="351" spans="1:5" ht="15.75" customHeight="1" x14ac:dyDescent="0.25">
      <c r="A351" s="15"/>
      <c r="B351" s="3"/>
      <c r="C351" s="3"/>
      <c r="D351" s="17"/>
      <c r="E351" s="18"/>
    </row>
    <row r="352" spans="1:5" ht="15.75" customHeight="1" x14ac:dyDescent="0.25">
      <c r="A352" s="15"/>
      <c r="B352" s="3"/>
      <c r="C352" s="3"/>
      <c r="D352" s="17"/>
      <c r="E352" s="18"/>
    </row>
    <row r="353" spans="1:5" ht="15.75" customHeight="1" x14ac:dyDescent="0.25">
      <c r="A353" s="15"/>
      <c r="B353" s="3"/>
      <c r="C353" s="3"/>
      <c r="D353" s="17"/>
      <c r="E353" s="18"/>
    </row>
    <row r="354" spans="1:5" ht="15.75" customHeight="1" x14ac:dyDescent="0.25">
      <c r="A354" s="15"/>
      <c r="B354" s="3"/>
      <c r="C354" s="3"/>
      <c r="D354" s="17"/>
      <c r="E354" s="18"/>
    </row>
    <row r="355" spans="1:5" ht="15.75" customHeight="1" x14ac:dyDescent="0.25">
      <c r="A355" s="15"/>
      <c r="B355" s="3"/>
      <c r="C355" s="3"/>
      <c r="D355" s="17"/>
      <c r="E355" s="18"/>
    </row>
    <row r="356" spans="1:5" ht="15.75" customHeight="1" x14ac:dyDescent="0.25">
      <c r="A356" s="15"/>
      <c r="B356" s="3"/>
      <c r="C356" s="3"/>
      <c r="D356" s="17"/>
      <c r="E356" s="18"/>
    </row>
    <row r="357" spans="1:5" ht="15.75" customHeight="1" x14ac:dyDescent="0.25">
      <c r="A357" s="15"/>
      <c r="B357" s="3"/>
      <c r="C357" s="3"/>
      <c r="D357" s="17"/>
      <c r="E357" s="18"/>
    </row>
    <row r="358" spans="1:5" ht="15.75" customHeight="1" x14ac:dyDescent="0.25">
      <c r="A358" s="15"/>
      <c r="B358" s="3"/>
      <c r="C358" s="3"/>
      <c r="D358" s="17"/>
      <c r="E358" s="18"/>
    </row>
    <row r="359" spans="1:5" ht="15.75" customHeight="1" x14ac:dyDescent="0.25">
      <c r="A359" s="15"/>
      <c r="B359" s="3"/>
      <c r="C359" s="3"/>
      <c r="D359" s="17"/>
      <c r="E359" s="18"/>
    </row>
    <row r="360" spans="1:5" ht="15.75" customHeight="1" x14ac:dyDescent="0.25">
      <c r="A360" s="15"/>
      <c r="B360" s="3"/>
      <c r="C360" s="3"/>
      <c r="D360" s="17"/>
      <c r="E360" s="18"/>
    </row>
    <row r="361" spans="1:5" ht="15.75" customHeight="1" x14ac:dyDescent="0.25">
      <c r="A361" s="15"/>
      <c r="B361" s="3"/>
      <c r="C361" s="3"/>
      <c r="D361" s="17"/>
      <c r="E361" s="18"/>
    </row>
    <row r="362" spans="1:5" ht="15.75" customHeight="1" x14ac:dyDescent="0.25">
      <c r="A362" s="15"/>
      <c r="B362" s="3"/>
      <c r="C362" s="3"/>
      <c r="D362" s="17"/>
      <c r="E362" s="18"/>
    </row>
    <row r="363" spans="1:5" ht="15.75" customHeight="1" x14ac:dyDescent="0.25">
      <c r="A363" s="15"/>
      <c r="B363" s="3"/>
      <c r="C363" s="3"/>
      <c r="D363" s="17"/>
      <c r="E363" s="18"/>
    </row>
    <row r="364" spans="1:5" ht="15.75" customHeight="1" x14ac:dyDescent="0.25">
      <c r="A364" s="15"/>
      <c r="B364" s="3"/>
      <c r="C364" s="3"/>
      <c r="D364" s="17"/>
      <c r="E364" s="18"/>
    </row>
    <row r="365" spans="1:5" ht="15.75" customHeight="1" x14ac:dyDescent="0.25">
      <c r="A365" s="15"/>
      <c r="B365" s="3"/>
      <c r="C365" s="3"/>
      <c r="D365" s="17"/>
      <c r="E365" s="18"/>
    </row>
    <row r="366" spans="1:5" ht="15.75" customHeight="1" x14ac:dyDescent="0.25">
      <c r="A366" s="15"/>
      <c r="B366" s="3"/>
      <c r="C366" s="3"/>
      <c r="D366" s="17"/>
      <c r="E366" s="18"/>
    </row>
    <row r="367" spans="1:5" ht="15.75" customHeight="1" x14ac:dyDescent="0.25">
      <c r="A367" s="15"/>
      <c r="B367" s="3"/>
      <c r="C367" s="3"/>
      <c r="D367" s="17"/>
      <c r="E367" s="18"/>
    </row>
    <row r="368" spans="1:5" ht="15.75" customHeight="1" x14ac:dyDescent="0.25">
      <c r="A368" s="15"/>
      <c r="B368" s="3"/>
      <c r="C368" s="3"/>
      <c r="D368" s="17"/>
      <c r="E368" s="18"/>
    </row>
    <row r="369" spans="1:5" ht="15.75" customHeight="1" x14ac:dyDescent="0.25">
      <c r="A369" s="15"/>
      <c r="B369" s="3"/>
      <c r="C369" s="3"/>
      <c r="D369" s="17"/>
      <c r="E369" s="18"/>
    </row>
    <row r="370" spans="1:5" ht="15.75" customHeight="1" x14ac:dyDescent="0.25">
      <c r="A370" s="15"/>
      <c r="B370" s="3"/>
      <c r="C370" s="3"/>
      <c r="D370" s="17"/>
      <c r="E370" s="18"/>
    </row>
    <row r="371" spans="1:5" ht="15.75" customHeight="1" x14ac:dyDescent="0.25">
      <c r="A371" s="15"/>
      <c r="B371" s="3"/>
      <c r="C371" s="3"/>
      <c r="D371" s="17"/>
      <c r="E371" s="18"/>
    </row>
    <row r="372" spans="1:5" ht="15.75" customHeight="1" x14ac:dyDescent="0.25">
      <c r="A372" s="15"/>
      <c r="B372" s="3"/>
      <c r="C372" s="3"/>
      <c r="D372" s="17"/>
      <c r="E372" s="18"/>
    </row>
    <row r="373" spans="1:5" ht="15.75" customHeight="1" x14ac:dyDescent="0.25">
      <c r="A373" s="15"/>
      <c r="B373" s="3"/>
      <c r="C373" s="3"/>
      <c r="D373" s="17"/>
      <c r="E373" s="18"/>
    </row>
    <row r="374" spans="1:5" ht="15.75" customHeight="1" x14ac:dyDescent="0.25">
      <c r="A374" s="15"/>
      <c r="B374" s="3"/>
      <c r="C374" s="3"/>
      <c r="D374" s="17"/>
      <c r="E374" s="18"/>
    </row>
    <row r="375" spans="1:5" ht="15.75" customHeight="1" x14ac:dyDescent="0.25">
      <c r="A375" s="15"/>
      <c r="B375" s="3"/>
      <c r="C375" s="3"/>
      <c r="D375" s="17"/>
      <c r="E375" s="18"/>
    </row>
    <row r="376" spans="1:5" ht="15.75" customHeight="1" x14ac:dyDescent="0.25">
      <c r="A376" s="15"/>
      <c r="B376" s="3"/>
      <c r="C376" s="3"/>
      <c r="D376" s="17"/>
      <c r="E376" s="18"/>
    </row>
    <row r="377" spans="1:5" ht="15.75" customHeight="1" x14ac:dyDescent="0.25">
      <c r="A377" s="15"/>
      <c r="B377" s="3"/>
      <c r="C377" s="3"/>
      <c r="D377" s="17"/>
      <c r="E377" s="18"/>
    </row>
    <row r="378" spans="1:5" ht="15.75" customHeight="1" x14ac:dyDescent="0.25">
      <c r="A378" s="15"/>
      <c r="B378" s="3"/>
      <c r="C378" s="3"/>
      <c r="D378" s="17"/>
      <c r="E378" s="18"/>
    </row>
    <row r="379" spans="1:5" ht="15.75" customHeight="1" x14ac:dyDescent="0.25">
      <c r="A379" s="15"/>
      <c r="B379" s="3"/>
      <c r="C379" s="3"/>
      <c r="D379" s="17"/>
      <c r="E379" s="18"/>
    </row>
    <row r="380" spans="1:5" ht="15.75" customHeight="1" x14ac:dyDescent="0.25">
      <c r="A380" s="15"/>
      <c r="B380" s="3"/>
      <c r="C380" s="3"/>
      <c r="D380" s="17"/>
      <c r="E380" s="18"/>
    </row>
    <row r="381" spans="1:5" ht="15.75" customHeight="1" x14ac:dyDescent="0.25">
      <c r="A381" s="15"/>
      <c r="B381" s="3"/>
      <c r="C381" s="3"/>
      <c r="D381" s="17"/>
      <c r="E381" s="18"/>
    </row>
    <row r="382" spans="1:5" ht="15.75" customHeight="1" x14ac:dyDescent="0.25">
      <c r="A382" s="15"/>
      <c r="B382" s="3"/>
      <c r="C382" s="3"/>
      <c r="D382" s="17"/>
      <c r="E382" s="18"/>
    </row>
    <row r="383" spans="1:5" ht="15.75" customHeight="1" x14ac:dyDescent="0.25">
      <c r="A383" s="15"/>
      <c r="B383" s="3"/>
      <c r="C383" s="3"/>
      <c r="D383" s="17"/>
      <c r="E383" s="18"/>
    </row>
    <row r="384" spans="1:5" ht="15.75" customHeight="1" x14ac:dyDescent="0.25">
      <c r="A384" s="15"/>
      <c r="B384" s="3"/>
      <c r="C384" s="3"/>
      <c r="D384" s="17"/>
      <c r="E384" s="18"/>
    </row>
    <row r="385" spans="1:5" ht="15.75" customHeight="1" x14ac:dyDescent="0.25">
      <c r="A385" s="15"/>
      <c r="B385" s="3"/>
      <c r="C385" s="3"/>
      <c r="D385" s="17"/>
      <c r="E385" s="18"/>
    </row>
    <row r="386" spans="1:5" ht="15.75" customHeight="1" x14ac:dyDescent="0.25">
      <c r="A386" s="15"/>
      <c r="B386" s="3"/>
      <c r="C386" s="3"/>
      <c r="D386" s="17"/>
      <c r="E386" s="18"/>
    </row>
    <row r="387" spans="1:5" ht="15.75" customHeight="1" x14ac:dyDescent="0.25">
      <c r="A387" s="15"/>
      <c r="B387" s="3"/>
      <c r="C387" s="3"/>
      <c r="D387" s="17"/>
      <c r="E387" s="18"/>
    </row>
    <row r="388" spans="1:5" ht="15.75" customHeight="1" x14ac:dyDescent="0.25">
      <c r="A388" s="15"/>
      <c r="B388" s="3"/>
      <c r="C388" s="3"/>
      <c r="D388" s="17"/>
      <c r="E388" s="18"/>
    </row>
    <row r="389" spans="1:5" ht="15.75" customHeight="1" x14ac:dyDescent="0.25">
      <c r="A389" s="15"/>
      <c r="B389" s="3"/>
      <c r="C389" s="3"/>
      <c r="D389" s="17"/>
      <c r="E389" s="18"/>
    </row>
    <row r="390" spans="1:5" ht="15.75" customHeight="1" x14ac:dyDescent="0.25">
      <c r="A390" s="15"/>
      <c r="B390" s="3"/>
      <c r="C390" s="3"/>
      <c r="D390" s="17"/>
      <c r="E390" s="18"/>
    </row>
    <row r="391" spans="1:5" ht="15.75" customHeight="1" x14ac:dyDescent="0.25">
      <c r="A391" s="15"/>
      <c r="B391" s="3"/>
      <c r="C391" s="3"/>
      <c r="D391" s="17"/>
      <c r="E391" s="18"/>
    </row>
    <row r="392" spans="1:5" ht="15.75" customHeight="1" x14ac:dyDescent="0.25">
      <c r="A392" s="15"/>
      <c r="B392" s="3"/>
      <c r="C392" s="3"/>
      <c r="D392" s="17"/>
      <c r="E392" s="18"/>
    </row>
    <row r="393" spans="1:5" ht="15.75" customHeight="1" x14ac:dyDescent="0.25">
      <c r="A393" s="15"/>
      <c r="B393" s="3"/>
      <c r="C393" s="3"/>
      <c r="D393" s="17"/>
      <c r="E393" s="18"/>
    </row>
    <row r="394" spans="1:5" ht="15.75" customHeight="1" x14ac:dyDescent="0.25">
      <c r="A394" s="15"/>
      <c r="B394" s="3"/>
      <c r="C394" s="3"/>
      <c r="D394" s="17"/>
      <c r="E394" s="18"/>
    </row>
    <row r="395" spans="1:5" ht="15.75" customHeight="1" x14ac:dyDescent="0.25">
      <c r="A395" s="15"/>
      <c r="B395" s="3"/>
      <c r="C395" s="3"/>
      <c r="D395" s="17"/>
      <c r="E395" s="18"/>
    </row>
    <row r="396" spans="1:5" ht="15.75" customHeight="1" x14ac:dyDescent="0.25">
      <c r="A396" s="15"/>
      <c r="B396" s="3"/>
      <c r="C396" s="3"/>
      <c r="D396" s="17"/>
      <c r="E396" s="18"/>
    </row>
    <row r="397" spans="1:5" ht="15.75" customHeight="1" x14ac:dyDescent="0.25">
      <c r="A397" s="15"/>
      <c r="B397" s="3"/>
      <c r="C397" s="3"/>
      <c r="D397" s="17"/>
      <c r="E397" s="18"/>
    </row>
    <row r="398" spans="1:5" ht="15.75" customHeight="1" x14ac:dyDescent="0.25">
      <c r="A398" s="15"/>
      <c r="B398" s="3"/>
      <c r="C398" s="3"/>
      <c r="D398" s="17"/>
      <c r="E398" s="18"/>
    </row>
    <row r="399" spans="1:5" ht="15.75" customHeight="1" x14ac:dyDescent="0.25">
      <c r="A399" s="15"/>
      <c r="B399" s="3"/>
      <c r="C399" s="3"/>
      <c r="D399" s="17"/>
      <c r="E399" s="18"/>
    </row>
    <row r="400" spans="1:5" ht="15.75" customHeight="1" x14ac:dyDescent="0.25">
      <c r="A400" s="15"/>
      <c r="B400" s="3"/>
      <c r="C400" s="3"/>
      <c r="D400" s="17"/>
      <c r="E400" s="18"/>
    </row>
    <row r="401" spans="1:5" ht="15.75" customHeight="1" x14ac:dyDescent="0.25">
      <c r="A401" s="15"/>
      <c r="B401" s="3"/>
      <c r="C401" s="3"/>
      <c r="D401" s="17"/>
      <c r="E401" s="18"/>
    </row>
    <row r="402" spans="1:5" ht="15.75" customHeight="1" x14ac:dyDescent="0.25">
      <c r="A402" s="15"/>
      <c r="B402" s="3"/>
      <c r="C402" s="3"/>
      <c r="D402" s="17"/>
      <c r="E402" s="18"/>
    </row>
    <row r="403" spans="1:5" ht="15.75" customHeight="1" x14ac:dyDescent="0.25">
      <c r="A403" s="15"/>
      <c r="B403" s="3"/>
      <c r="C403" s="3"/>
      <c r="D403" s="17"/>
      <c r="E403" s="18"/>
    </row>
    <row r="404" spans="1:5" ht="15.75" customHeight="1" x14ac:dyDescent="0.25">
      <c r="A404" s="15"/>
      <c r="B404" s="3"/>
      <c r="C404" s="3"/>
      <c r="D404" s="17"/>
      <c r="E404" s="18"/>
    </row>
    <row r="405" spans="1:5" ht="15.75" customHeight="1" x14ac:dyDescent="0.25">
      <c r="A405" s="15"/>
      <c r="B405" s="3"/>
      <c r="C405" s="3"/>
      <c r="D405" s="17"/>
      <c r="E405" s="18"/>
    </row>
    <row r="406" spans="1:5" ht="15.75" customHeight="1" x14ac:dyDescent="0.25">
      <c r="A406" s="15"/>
      <c r="B406" s="3"/>
      <c r="C406" s="3"/>
      <c r="D406" s="17"/>
      <c r="E406" s="18"/>
    </row>
    <row r="407" spans="1:5" ht="15.75" customHeight="1" x14ac:dyDescent="0.25">
      <c r="A407" s="15"/>
      <c r="B407" s="3"/>
      <c r="C407" s="3"/>
      <c r="D407" s="17"/>
      <c r="E407" s="18"/>
    </row>
    <row r="408" spans="1:5" ht="15.75" customHeight="1" x14ac:dyDescent="0.25">
      <c r="A408" s="15"/>
      <c r="B408" s="3"/>
      <c r="C408" s="3"/>
      <c r="D408" s="17"/>
      <c r="E408" s="18"/>
    </row>
    <row r="409" spans="1:5" ht="15.75" customHeight="1" x14ac:dyDescent="0.25">
      <c r="A409" s="15"/>
      <c r="B409" s="3"/>
      <c r="C409" s="3"/>
      <c r="D409" s="17"/>
      <c r="E409" s="18"/>
    </row>
    <row r="410" spans="1:5" ht="15.75" customHeight="1" x14ac:dyDescent="0.25">
      <c r="A410" s="15"/>
      <c r="B410" s="3"/>
      <c r="C410" s="3"/>
      <c r="D410" s="17"/>
      <c r="E410" s="18"/>
    </row>
    <row r="411" spans="1:5" ht="15.75" customHeight="1" x14ac:dyDescent="0.25">
      <c r="A411" s="15"/>
      <c r="B411" s="3"/>
      <c r="C411" s="3"/>
      <c r="D411" s="17"/>
      <c r="E411" s="18"/>
    </row>
    <row r="412" spans="1:5" ht="15.75" customHeight="1" x14ac:dyDescent="0.25">
      <c r="A412" s="15"/>
      <c r="B412" s="3"/>
      <c r="C412" s="3"/>
      <c r="D412" s="17"/>
      <c r="E412" s="18"/>
    </row>
    <row r="413" spans="1:5" ht="15.75" customHeight="1" x14ac:dyDescent="0.25">
      <c r="A413" s="15"/>
      <c r="B413" s="3"/>
      <c r="C413" s="3"/>
      <c r="D413" s="17"/>
      <c r="E413" s="18"/>
    </row>
    <row r="414" spans="1:5" ht="15.75" customHeight="1" x14ac:dyDescent="0.25">
      <c r="A414" s="15"/>
      <c r="B414" s="3"/>
      <c r="C414" s="3"/>
      <c r="D414" s="17"/>
      <c r="E414" s="18"/>
    </row>
    <row r="415" spans="1:5" ht="15.75" customHeight="1" x14ac:dyDescent="0.25">
      <c r="A415" s="15"/>
      <c r="B415" s="3"/>
      <c r="C415" s="3"/>
      <c r="D415" s="17"/>
      <c r="E415" s="18"/>
    </row>
    <row r="416" spans="1:5" ht="15.75" customHeight="1" x14ac:dyDescent="0.25">
      <c r="A416" s="15"/>
      <c r="B416" s="3"/>
      <c r="C416" s="3"/>
      <c r="D416" s="17"/>
      <c r="E416" s="18"/>
    </row>
    <row r="417" spans="1:5" ht="15.75" customHeight="1" x14ac:dyDescent="0.25">
      <c r="A417" s="15"/>
      <c r="B417" s="3"/>
      <c r="C417" s="3"/>
      <c r="D417" s="17"/>
      <c r="E417" s="18"/>
    </row>
    <row r="418" spans="1:5" ht="15.75" customHeight="1" x14ac:dyDescent="0.25">
      <c r="A418" s="15"/>
      <c r="B418" s="3"/>
      <c r="C418" s="3"/>
      <c r="D418" s="17"/>
      <c r="E418" s="18"/>
    </row>
    <row r="419" spans="1:5" ht="15.75" customHeight="1" x14ac:dyDescent="0.25">
      <c r="A419" s="15"/>
      <c r="B419" s="3"/>
      <c r="C419" s="3"/>
      <c r="D419" s="17"/>
      <c r="E419" s="18"/>
    </row>
    <row r="420" spans="1:5" ht="15.75" customHeight="1" x14ac:dyDescent="0.25">
      <c r="A420" s="15"/>
      <c r="B420" s="3"/>
      <c r="C420" s="3"/>
      <c r="D420" s="17"/>
      <c r="E420" s="18"/>
    </row>
    <row r="421" spans="1:5" ht="15.75" customHeight="1" x14ac:dyDescent="0.25">
      <c r="A421" s="15"/>
      <c r="B421" s="3"/>
      <c r="C421" s="3"/>
      <c r="D421" s="17"/>
      <c r="E421" s="18"/>
    </row>
    <row r="422" spans="1:5" ht="15.75" customHeight="1" x14ac:dyDescent="0.25">
      <c r="A422" s="15"/>
      <c r="B422" s="3"/>
      <c r="C422" s="3"/>
      <c r="D422" s="17"/>
      <c r="E422" s="18"/>
    </row>
    <row r="423" spans="1:5" ht="15.75" customHeight="1" x14ac:dyDescent="0.25">
      <c r="A423" s="15"/>
      <c r="B423" s="3"/>
      <c r="C423" s="3"/>
      <c r="D423" s="17"/>
      <c r="E423" s="18"/>
    </row>
    <row r="424" spans="1:5" ht="15.75" customHeight="1" x14ac:dyDescent="0.25">
      <c r="A424" s="15"/>
      <c r="B424" s="3"/>
      <c r="C424" s="3"/>
      <c r="D424" s="17"/>
      <c r="E424" s="18"/>
    </row>
    <row r="425" spans="1:5" ht="15.75" customHeight="1" x14ac:dyDescent="0.25">
      <c r="A425" s="15"/>
      <c r="B425" s="3"/>
      <c r="C425" s="3"/>
      <c r="D425" s="17"/>
      <c r="E425" s="18"/>
    </row>
    <row r="426" spans="1:5" ht="15.75" customHeight="1" x14ac:dyDescent="0.25">
      <c r="A426" s="15"/>
      <c r="B426" s="3"/>
      <c r="C426" s="3"/>
      <c r="D426" s="17"/>
      <c r="E426" s="18"/>
    </row>
    <row r="427" spans="1:5" ht="15.75" customHeight="1" x14ac:dyDescent="0.25">
      <c r="A427" s="15"/>
      <c r="B427" s="3"/>
      <c r="C427" s="3"/>
      <c r="D427" s="17"/>
      <c r="E427" s="18"/>
    </row>
    <row r="428" spans="1:5" ht="15.75" customHeight="1" x14ac:dyDescent="0.25">
      <c r="A428" s="15"/>
      <c r="B428" s="3"/>
      <c r="C428" s="3"/>
      <c r="D428" s="17"/>
      <c r="E428" s="18"/>
    </row>
    <row r="429" spans="1:5" ht="15.75" customHeight="1" x14ac:dyDescent="0.25">
      <c r="A429" s="15"/>
      <c r="B429" s="3"/>
      <c r="C429" s="3"/>
      <c r="D429" s="17"/>
      <c r="E429" s="18"/>
    </row>
    <row r="430" spans="1:5" ht="15.75" customHeight="1" x14ac:dyDescent="0.25">
      <c r="A430" s="15"/>
      <c r="B430" s="3"/>
      <c r="C430" s="3"/>
      <c r="D430" s="17"/>
      <c r="E430" s="18"/>
    </row>
    <row r="431" spans="1:5" ht="15.75" customHeight="1" x14ac:dyDescent="0.25">
      <c r="A431" s="15"/>
      <c r="B431" s="3"/>
      <c r="C431" s="3"/>
      <c r="D431" s="17"/>
      <c r="E431" s="18"/>
    </row>
    <row r="432" spans="1:5" ht="15.75" customHeight="1" x14ac:dyDescent="0.25">
      <c r="A432" s="15"/>
      <c r="B432" s="3"/>
      <c r="C432" s="3"/>
      <c r="D432" s="17"/>
      <c r="E432" s="18"/>
    </row>
    <row r="433" spans="1:5" ht="15.75" customHeight="1" x14ac:dyDescent="0.25">
      <c r="A433" s="15"/>
      <c r="B433" s="3"/>
      <c r="C433" s="3"/>
      <c r="D433" s="17"/>
      <c r="E433" s="18"/>
    </row>
    <row r="434" spans="1:5" ht="15.75" customHeight="1" x14ac:dyDescent="0.25">
      <c r="A434" s="15"/>
      <c r="B434" s="3"/>
      <c r="C434" s="3"/>
      <c r="D434" s="17"/>
      <c r="E434" s="18"/>
    </row>
    <row r="435" spans="1:5" ht="15.75" customHeight="1" x14ac:dyDescent="0.25">
      <c r="A435" s="15"/>
      <c r="B435" s="3"/>
      <c r="C435" s="3"/>
      <c r="D435" s="17"/>
      <c r="E435" s="18"/>
    </row>
    <row r="436" spans="1:5" ht="15.75" customHeight="1" x14ac:dyDescent="0.25">
      <c r="A436" s="15"/>
      <c r="B436" s="3"/>
      <c r="C436" s="3"/>
      <c r="D436" s="17"/>
      <c r="E436" s="18"/>
    </row>
    <row r="437" spans="1:5" ht="15.75" customHeight="1" x14ac:dyDescent="0.25">
      <c r="A437" s="15"/>
      <c r="B437" s="3"/>
      <c r="C437" s="3"/>
      <c r="D437" s="17"/>
      <c r="E437" s="18"/>
    </row>
    <row r="438" spans="1:5" ht="15.75" customHeight="1" x14ac:dyDescent="0.25">
      <c r="A438" s="15"/>
      <c r="B438" s="3"/>
      <c r="C438" s="3"/>
      <c r="D438" s="17"/>
      <c r="E438" s="18"/>
    </row>
    <row r="439" spans="1:5" ht="15.75" customHeight="1" x14ac:dyDescent="0.25">
      <c r="A439" s="15"/>
      <c r="B439" s="3"/>
      <c r="C439" s="3"/>
      <c r="D439" s="17"/>
      <c r="E439" s="18"/>
    </row>
    <row r="440" spans="1:5" ht="15.75" customHeight="1" x14ac:dyDescent="0.25">
      <c r="A440" s="15"/>
      <c r="B440" s="3"/>
      <c r="C440" s="3"/>
      <c r="D440" s="17"/>
      <c r="E440" s="18"/>
    </row>
    <row r="441" spans="1:5" ht="15.75" customHeight="1" x14ac:dyDescent="0.25">
      <c r="A441" s="15"/>
      <c r="B441" s="3"/>
      <c r="C441" s="3"/>
      <c r="D441" s="17"/>
      <c r="E441" s="18"/>
    </row>
    <row r="442" spans="1:5" ht="15.75" customHeight="1" x14ac:dyDescent="0.25">
      <c r="A442" s="15"/>
      <c r="B442" s="3"/>
      <c r="C442" s="3"/>
      <c r="D442" s="17"/>
      <c r="E442" s="18"/>
    </row>
    <row r="443" spans="1:5" ht="15.75" customHeight="1" x14ac:dyDescent="0.25">
      <c r="A443" s="15"/>
      <c r="B443" s="3"/>
      <c r="C443" s="3"/>
      <c r="D443" s="17"/>
      <c r="E443" s="18"/>
    </row>
    <row r="444" spans="1:5" ht="15.75" customHeight="1" x14ac:dyDescent="0.25">
      <c r="A444" s="15"/>
      <c r="B444" s="3"/>
      <c r="C444" s="3"/>
      <c r="D444" s="17"/>
      <c r="E444" s="18"/>
    </row>
    <row r="445" spans="1:5" ht="15.75" customHeight="1" x14ac:dyDescent="0.25">
      <c r="A445" s="15"/>
      <c r="B445" s="3"/>
      <c r="C445" s="3"/>
      <c r="D445" s="17"/>
      <c r="E445" s="18"/>
    </row>
    <row r="446" spans="1:5" ht="15.75" customHeight="1" x14ac:dyDescent="0.25">
      <c r="A446" s="15"/>
      <c r="B446" s="3"/>
      <c r="C446" s="3"/>
      <c r="D446" s="17"/>
      <c r="E446" s="18"/>
    </row>
    <row r="447" spans="1:5" ht="15.75" customHeight="1" x14ac:dyDescent="0.25">
      <c r="A447" s="15"/>
      <c r="B447" s="3"/>
      <c r="C447" s="3"/>
      <c r="D447" s="17"/>
      <c r="E447" s="18"/>
    </row>
    <row r="448" spans="1:5" ht="15.75" customHeight="1" x14ac:dyDescent="0.25">
      <c r="A448" s="15"/>
      <c r="B448" s="3"/>
      <c r="C448" s="3"/>
      <c r="D448" s="17"/>
      <c r="E448" s="18"/>
    </row>
    <row r="449" spans="1:5" ht="15.75" customHeight="1" x14ac:dyDescent="0.25">
      <c r="A449" s="15"/>
      <c r="B449" s="3"/>
      <c r="C449" s="3"/>
      <c r="D449" s="17"/>
      <c r="E449" s="18"/>
    </row>
    <row r="450" spans="1:5" ht="15.75" customHeight="1" x14ac:dyDescent="0.25">
      <c r="A450" s="15"/>
      <c r="B450" s="3"/>
      <c r="C450" s="3"/>
      <c r="D450" s="17"/>
      <c r="E450" s="18"/>
    </row>
    <row r="451" spans="1:5" ht="15.75" customHeight="1" x14ac:dyDescent="0.25">
      <c r="A451" s="15"/>
      <c r="B451" s="3"/>
      <c r="C451" s="3"/>
      <c r="D451" s="17"/>
      <c r="E451" s="18"/>
    </row>
    <row r="452" spans="1:5" ht="15.75" customHeight="1" x14ac:dyDescent="0.25">
      <c r="A452" s="15"/>
      <c r="B452" s="3"/>
      <c r="C452" s="3"/>
      <c r="D452" s="17"/>
      <c r="E452" s="18"/>
    </row>
    <row r="453" spans="1:5" ht="15.75" customHeight="1" x14ac:dyDescent="0.25">
      <c r="A453" s="15"/>
      <c r="B453" s="3"/>
      <c r="C453" s="3"/>
      <c r="D453" s="17"/>
      <c r="E453" s="18"/>
    </row>
    <row r="454" spans="1:5" ht="15.75" customHeight="1" x14ac:dyDescent="0.25">
      <c r="A454" s="15"/>
      <c r="B454" s="3"/>
      <c r="C454" s="3"/>
      <c r="D454" s="17"/>
      <c r="E454" s="18"/>
    </row>
    <row r="455" spans="1:5" ht="15.75" customHeight="1" x14ac:dyDescent="0.25">
      <c r="A455" s="15"/>
      <c r="B455" s="3"/>
      <c r="C455" s="3"/>
      <c r="D455" s="17"/>
      <c r="E455" s="18"/>
    </row>
    <row r="456" spans="1:5" ht="15.75" customHeight="1" x14ac:dyDescent="0.25">
      <c r="A456" s="15"/>
      <c r="B456" s="3"/>
      <c r="C456" s="3"/>
      <c r="D456" s="17"/>
      <c r="E456" s="18"/>
    </row>
    <row r="457" spans="1:5" ht="15.75" customHeight="1" x14ac:dyDescent="0.25">
      <c r="A457" s="15"/>
      <c r="B457" s="3"/>
      <c r="C457" s="3"/>
      <c r="D457" s="17"/>
      <c r="E457" s="18"/>
    </row>
    <row r="458" spans="1:5" ht="15.75" customHeight="1" x14ac:dyDescent="0.25">
      <c r="A458" s="15"/>
      <c r="B458" s="3"/>
      <c r="C458" s="3"/>
      <c r="D458" s="17"/>
      <c r="E458" s="18"/>
    </row>
    <row r="459" spans="1:5" ht="15.75" customHeight="1" x14ac:dyDescent="0.25">
      <c r="A459" s="15"/>
      <c r="B459" s="3"/>
      <c r="C459" s="3"/>
      <c r="D459" s="17"/>
      <c r="E459" s="18"/>
    </row>
    <row r="460" spans="1:5" ht="15.75" customHeight="1" x14ac:dyDescent="0.25">
      <c r="A460" s="15"/>
      <c r="B460" s="3"/>
      <c r="C460" s="3"/>
      <c r="D460" s="17"/>
      <c r="E460" s="18"/>
    </row>
    <row r="461" spans="1:5" ht="15.75" customHeight="1" x14ac:dyDescent="0.25">
      <c r="A461" s="15"/>
      <c r="B461" s="3"/>
      <c r="C461" s="3"/>
      <c r="D461" s="17"/>
      <c r="E461" s="18"/>
    </row>
    <row r="462" spans="1:5" ht="15.75" customHeight="1" x14ac:dyDescent="0.25">
      <c r="A462" s="15"/>
      <c r="B462" s="3"/>
      <c r="C462" s="3"/>
      <c r="D462" s="17"/>
      <c r="E462" s="18"/>
    </row>
    <row r="463" spans="1:5" ht="15.75" customHeight="1" x14ac:dyDescent="0.25">
      <c r="A463" s="15"/>
      <c r="B463" s="3"/>
      <c r="C463" s="3"/>
      <c r="D463" s="17"/>
      <c r="E463" s="18"/>
    </row>
    <row r="464" spans="1:5" ht="15.75" customHeight="1" x14ac:dyDescent="0.25">
      <c r="A464" s="15"/>
      <c r="B464" s="3"/>
      <c r="C464" s="3"/>
      <c r="D464" s="17"/>
      <c r="E464" s="18"/>
    </row>
    <row r="465" spans="1:5" ht="15.75" customHeight="1" x14ac:dyDescent="0.25">
      <c r="A465" s="15"/>
      <c r="B465" s="3"/>
      <c r="C465" s="3"/>
      <c r="D465" s="17"/>
      <c r="E465" s="18"/>
    </row>
    <row r="466" spans="1:5" ht="15.75" customHeight="1" x14ac:dyDescent="0.25">
      <c r="A466" s="15"/>
      <c r="B466" s="3"/>
      <c r="C466" s="3"/>
      <c r="D466" s="17"/>
      <c r="E466" s="18"/>
    </row>
    <row r="467" spans="1:5" ht="15.75" customHeight="1" x14ac:dyDescent="0.25">
      <c r="A467" s="15"/>
      <c r="B467" s="3"/>
      <c r="C467" s="3"/>
      <c r="D467" s="17"/>
      <c r="E467" s="18"/>
    </row>
    <row r="468" spans="1:5" ht="15.75" customHeight="1" x14ac:dyDescent="0.25">
      <c r="A468" s="15"/>
      <c r="B468" s="3"/>
      <c r="C468" s="3"/>
      <c r="D468" s="17"/>
      <c r="E468" s="18"/>
    </row>
    <row r="469" spans="1:5" ht="15.75" customHeight="1" x14ac:dyDescent="0.25">
      <c r="A469" s="15"/>
      <c r="B469" s="3"/>
      <c r="C469" s="3"/>
      <c r="D469" s="17"/>
      <c r="E469" s="18"/>
    </row>
    <row r="470" spans="1:5" ht="15.75" customHeight="1" x14ac:dyDescent="0.25">
      <c r="A470" s="15"/>
      <c r="B470" s="3"/>
      <c r="C470" s="3"/>
      <c r="D470" s="17"/>
      <c r="E470" s="18"/>
    </row>
    <row r="471" spans="1:5" ht="15.75" customHeight="1" x14ac:dyDescent="0.25">
      <c r="A471" s="15"/>
      <c r="B471" s="3"/>
      <c r="C471" s="3"/>
      <c r="D471" s="17"/>
      <c r="E471" s="18"/>
    </row>
    <row r="472" spans="1:5" ht="15.75" customHeight="1" x14ac:dyDescent="0.25">
      <c r="A472" s="15"/>
      <c r="B472" s="3"/>
      <c r="C472" s="3"/>
      <c r="D472" s="17"/>
      <c r="E472" s="18"/>
    </row>
    <row r="473" spans="1:5" ht="15.75" customHeight="1" x14ac:dyDescent="0.25">
      <c r="A473" s="15"/>
      <c r="B473" s="3"/>
      <c r="C473" s="3"/>
      <c r="D473" s="17"/>
      <c r="E473" s="18"/>
    </row>
    <row r="474" spans="1:5" ht="15.75" customHeight="1" x14ac:dyDescent="0.25">
      <c r="A474" s="15"/>
      <c r="B474" s="3"/>
      <c r="C474" s="3"/>
      <c r="D474" s="17"/>
      <c r="E474" s="18"/>
    </row>
    <row r="475" spans="1:5" ht="15.75" customHeight="1" x14ac:dyDescent="0.25">
      <c r="A475" s="15"/>
      <c r="B475" s="3"/>
      <c r="C475" s="3"/>
      <c r="D475" s="17"/>
      <c r="E475" s="18"/>
    </row>
    <row r="476" spans="1:5" ht="15.75" customHeight="1" x14ac:dyDescent="0.25">
      <c r="A476" s="15"/>
      <c r="B476" s="3"/>
      <c r="C476" s="3"/>
      <c r="D476" s="17"/>
      <c r="E476" s="18"/>
    </row>
    <row r="477" spans="1:5" ht="15.75" customHeight="1" x14ac:dyDescent="0.25">
      <c r="A477" s="15"/>
      <c r="B477" s="3"/>
      <c r="C477" s="3"/>
      <c r="D477" s="17"/>
      <c r="E477" s="18"/>
    </row>
    <row r="478" spans="1:5" ht="15.75" customHeight="1" x14ac:dyDescent="0.25">
      <c r="A478" s="15"/>
      <c r="B478" s="3"/>
      <c r="C478" s="3"/>
      <c r="D478" s="17"/>
      <c r="E478" s="18"/>
    </row>
    <row r="479" spans="1:5" ht="15.75" customHeight="1" x14ac:dyDescent="0.25">
      <c r="A479" s="15"/>
      <c r="B479" s="3"/>
      <c r="C479" s="3"/>
      <c r="D479" s="17"/>
      <c r="E479" s="18"/>
    </row>
    <row r="480" spans="1:5" ht="15.75" customHeight="1" x14ac:dyDescent="0.25">
      <c r="A480" s="15"/>
      <c r="B480" s="3"/>
      <c r="C480" s="3"/>
      <c r="D480" s="17"/>
      <c r="E480" s="18"/>
    </row>
    <row r="481" spans="1:5" ht="15.75" customHeight="1" x14ac:dyDescent="0.25">
      <c r="A481" s="15"/>
      <c r="B481" s="3"/>
      <c r="C481" s="3"/>
      <c r="D481" s="17"/>
      <c r="E481" s="18"/>
    </row>
    <row r="482" spans="1:5" ht="15.75" customHeight="1" x14ac:dyDescent="0.25">
      <c r="A482" s="15"/>
      <c r="B482" s="3"/>
      <c r="C482" s="3"/>
      <c r="D482" s="17"/>
      <c r="E482" s="18"/>
    </row>
    <row r="483" spans="1:5" ht="15.75" customHeight="1" x14ac:dyDescent="0.25">
      <c r="A483" s="15"/>
      <c r="B483" s="3"/>
      <c r="C483" s="3"/>
      <c r="D483" s="17"/>
      <c r="E483" s="18"/>
    </row>
    <row r="484" spans="1:5" ht="15.75" customHeight="1" x14ac:dyDescent="0.25">
      <c r="A484" s="15"/>
      <c r="B484" s="3"/>
      <c r="C484" s="3"/>
      <c r="D484" s="17"/>
      <c r="E484" s="18"/>
    </row>
    <row r="485" spans="1:5" ht="15.75" customHeight="1" x14ac:dyDescent="0.25">
      <c r="A485" s="15"/>
      <c r="B485" s="3"/>
      <c r="C485" s="3"/>
      <c r="D485" s="17"/>
      <c r="E485" s="18"/>
    </row>
    <row r="486" spans="1:5" ht="15.75" customHeight="1" x14ac:dyDescent="0.25">
      <c r="A486" s="15"/>
      <c r="B486" s="3"/>
      <c r="C486" s="3"/>
      <c r="D486" s="17"/>
      <c r="E486" s="18"/>
    </row>
    <row r="487" spans="1:5" ht="15.75" customHeight="1" x14ac:dyDescent="0.25">
      <c r="A487" s="15"/>
      <c r="B487" s="3"/>
      <c r="C487" s="3"/>
      <c r="D487" s="17"/>
      <c r="E487" s="18"/>
    </row>
    <row r="488" spans="1:5" ht="15.75" customHeight="1" x14ac:dyDescent="0.25">
      <c r="A488" s="15"/>
      <c r="B488" s="3"/>
      <c r="C488" s="3"/>
      <c r="D488" s="17"/>
      <c r="E488" s="18"/>
    </row>
    <row r="489" spans="1:5" ht="15.75" customHeight="1" x14ac:dyDescent="0.25">
      <c r="A489" s="15"/>
      <c r="B489" s="3"/>
      <c r="C489" s="3"/>
      <c r="D489" s="17"/>
      <c r="E489" s="18"/>
    </row>
    <row r="490" spans="1:5" ht="15.75" customHeight="1" x14ac:dyDescent="0.25">
      <c r="A490" s="15"/>
      <c r="B490" s="3"/>
      <c r="C490" s="3"/>
      <c r="D490" s="17"/>
      <c r="E490" s="18"/>
    </row>
    <row r="491" spans="1:5" ht="15.75" customHeight="1" x14ac:dyDescent="0.25">
      <c r="A491" s="15"/>
      <c r="B491" s="3"/>
      <c r="C491" s="3"/>
      <c r="D491" s="17"/>
      <c r="E491" s="18"/>
    </row>
    <row r="492" spans="1:5" ht="15.75" customHeight="1" x14ac:dyDescent="0.25">
      <c r="A492" s="15"/>
      <c r="B492" s="3"/>
      <c r="C492" s="3"/>
      <c r="D492" s="17"/>
      <c r="E492" s="18"/>
    </row>
    <row r="493" spans="1:5" ht="15.75" customHeight="1" x14ac:dyDescent="0.25">
      <c r="A493" s="15"/>
      <c r="B493" s="3"/>
      <c r="C493" s="3"/>
      <c r="D493" s="17"/>
      <c r="E493" s="18"/>
    </row>
    <row r="494" spans="1:5" ht="15.75" customHeight="1" x14ac:dyDescent="0.25">
      <c r="A494" s="15"/>
      <c r="B494" s="3"/>
      <c r="C494" s="3"/>
      <c r="D494" s="17"/>
      <c r="E494" s="18"/>
    </row>
    <row r="495" spans="1:5" ht="15.75" customHeight="1" x14ac:dyDescent="0.25">
      <c r="A495" s="15"/>
      <c r="B495" s="3"/>
      <c r="C495" s="3"/>
      <c r="D495" s="17"/>
      <c r="E495" s="18"/>
    </row>
    <row r="496" spans="1:5" ht="15.75" customHeight="1" x14ac:dyDescent="0.25">
      <c r="A496" s="15"/>
      <c r="B496" s="3"/>
      <c r="C496" s="3"/>
      <c r="D496" s="17"/>
      <c r="E496" s="18"/>
    </row>
    <row r="497" spans="1:5" ht="15.75" customHeight="1" x14ac:dyDescent="0.25">
      <c r="A497" s="15"/>
      <c r="B497" s="3"/>
      <c r="C497" s="3"/>
      <c r="D497" s="17"/>
      <c r="E497" s="18"/>
    </row>
    <row r="498" spans="1:5" ht="15.75" customHeight="1" x14ac:dyDescent="0.25">
      <c r="A498" s="15"/>
      <c r="B498" s="3"/>
      <c r="C498" s="3"/>
      <c r="D498" s="17"/>
      <c r="E498" s="18"/>
    </row>
    <row r="499" spans="1:5" ht="15.75" customHeight="1" x14ac:dyDescent="0.25">
      <c r="A499" s="15"/>
      <c r="B499" s="3"/>
      <c r="C499" s="3"/>
      <c r="D499" s="17"/>
      <c r="E499" s="18"/>
    </row>
    <row r="500" spans="1:5" ht="15.75" customHeight="1" x14ac:dyDescent="0.25">
      <c r="A500" s="15"/>
      <c r="B500" s="3"/>
      <c r="C500" s="3"/>
      <c r="D500" s="17"/>
      <c r="E500" s="18"/>
    </row>
    <row r="501" spans="1:5" ht="15.75" customHeight="1" x14ac:dyDescent="0.25">
      <c r="A501" s="15"/>
      <c r="B501" s="3"/>
      <c r="C501" s="3"/>
      <c r="D501" s="17"/>
      <c r="E501" s="18"/>
    </row>
    <row r="502" spans="1:5" ht="15.75" customHeight="1" x14ac:dyDescent="0.25">
      <c r="A502" s="15"/>
      <c r="B502" s="3"/>
      <c r="C502" s="3"/>
      <c r="D502" s="17"/>
      <c r="E502" s="18"/>
    </row>
    <row r="503" spans="1:5" ht="15.75" customHeight="1" x14ac:dyDescent="0.25">
      <c r="A503" s="15"/>
      <c r="B503" s="3"/>
      <c r="C503" s="3"/>
      <c r="D503" s="17"/>
      <c r="E503" s="18"/>
    </row>
    <row r="504" spans="1:5" ht="15.75" customHeight="1" x14ac:dyDescent="0.25">
      <c r="A504" s="15"/>
      <c r="B504" s="3"/>
      <c r="C504" s="3"/>
      <c r="D504" s="17"/>
      <c r="E504" s="18"/>
    </row>
    <row r="505" spans="1:5" ht="15.75" customHeight="1" x14ac:dyDescent="0.25">
      <c r="A505" s="15"/>
      <c r="B505" s="3"/>
      <c r="C505" s="3"/>
      <c r="D505" s="17"/>
      <c r="E505" s="18"/>
    </row>
    <row r="506" spans="1:5" ht="15.75" customHeight="1" x14ac:dyDescent="0.25">
      <c r="A506" s="15"/>
      <c r="B506" s="3"/>
      <c r="C506" s="3"/>
      <c r="D506" s="17"/>
      <c r="E506" s="18"/>
    </row>
    <row r="507" spans="1:5" ht="15.75" customHeight="1" x14ac:dyDescent="0.25">
      <c r="A507" s="15"/>
      <c r="B507" s="3"/>
      <c r="C507" s="3"/>
      <c r="D507" s="17"/>
      <c r="E507" s="18"/>
    </row>
    <row r="508" spans="1:5" ht="15.75" customHeight="1" x14ac:dyDescent="0.25">
      <c r="A508" s="15"/>
      <c r="B508" s="3"/>
      <c r="C508" s="3"/>
      <c r="D508" s="17"/>
      <c r="E508" s="18"/>
    </row>
    <row r="509" spans="1:5" ht="15.75" customHeight="1" x14ac:dyDescent="0.25">
      <c r="A509" s="15"/>
      <c r="B509" s="3"/>
      <c r="C509" s="3"/>
      <c r="D509" s="17"/>
      <c r="E509" s="18"/>
    </row>
    <row r="510" spans="1:5" ht="15.75" customHeight="1" x14ac:dyDescent="0.25">
      <c r="A510" s="15"/>
      <c r="B510" s="3"/>
      <c r="C510" s="3"/>
      <c r="D510" s="17"/>
      <c r="E510" s="18"/>
    </row>
    <row r="511" spans="1:5" ht="15.75" customHeight="1" x14ac:dyDescent="0.25">
      <c r="A511" s="15"/>
      <c r="B511" s="3"/>
      <c r="C511" s="3"/>
      <c r="D511" s="17"/>
      <c r="E511" s="18"/>
    </row>
    <row r="512" spans="1:5" ht="15.75" customHeight="1" x14ac:dyDescent="0.25">
      <c r="A512" s="15"/>
      <c r="B512" s="3"/>
      <c r="C512" s="3"/>
      <c r="D512" s="17"/>
      <c r="E512" s="18"/>
    </row>
    <row r="513" spans="1:5" ht="15.75" customHeight="1" x14ac:dyDescent="0.25">
      <c r="A513" s="15"/>
      <c r="B513" s="3"/>
      <c r="C513" s="3"/>
      <c r="D513" s="17"/>
      <c r="E513" s="18"/>
    </row>
    <row r="514" spans="1:5" ht="15.75" customHeight="1" x14ac:dyDescent="0.25">
      <c r="A514" s="15"/>
      <c r="B514" s="3"/>
      <c r="C514" s="3"/>
      <c r="D514" s="17"/>
      <c r="E514" s="18"/>
    </row>
    <row r="515" spans="1:5" ht="15.75" customHeight="1" x14ac:dyDescent="0.25">
      <c r="A515" s="15"/>
      <c r="B515" s="3"/>
      <c r="C515" s="3"/>
      <c r="D515" s="17"/>
      <c r="E515" s="18"/>
    </row>
    <row r="516" spans="1:5" ht="15.75" customHeight="1" x14ac:dyDescent="0.25">
      <c r="A516" s="15"/>
      <c r="B516" s="3"/>
      <c r="C516" s="3"/>
      <c r="D516" s="17"/>
      <c r="E516" s="18"/>
    </row>
    <row r="517" spans="1:5" ht="15.75" customHeight="1" x14ac:dyDescent="0.25">
      <c r="A517" s="15"/>
      <c r="B517" s="3"/>
      <c r="C517" s="3"/>
      <c r="D517" s="17"/>
      <c r="E517" s="18"/>
    </row>
    <row r="518" spans="1:5" ht="15.75" customHeight="1" x14ac:dyDescent="0.25">
      <c r="A518" s="15"/>
      <c r="B518" s="3"/>
      <c r="C518" s="3"/>
      <c r="D518" s="17"/>
      <c r="E518" s="18"/>
    </row>
    <row r="519" spans="1:5" ht="15.75" customHeight="1" x14ac:dyDescent="0.25">
      <c r="A519" s="15"/>
      <c r="B519" s="3"/>
      <c r="C519" s="3"/>
      <c r="D519" s="17"/>
      <c r="E519" s="18"/>
    </row>
    <row r="520" spans="1:5" ht="15.75" customHeight="1" x14ac:dyDescent="0.25">
      <c r="A520" s="15"/>
      <c r="B520" s="3"/>
      <c r="C520" s="3"/>
      <c r="D520" s="17"/>
      <c r="E520" s="18"/>
    </row>
    <row r="521" spans="1:5" ht="15.75" customHeight="1" x14ac:dyDescent="0.25">
      <c r="A521" s="15"/>
      <c r="B521" s="3"/>
      <c r="C521" s="3"/>
      <c r="D521" s="17"/>
      <c r="E521" s="18"/>
    </row>
    <row r="522" spans="1:5" ht="15.75" customHeight="1" x14ac:dyDescent="0.25">
      <c r="A522" s="15"/>
      <c r="B522" s="3"/>
      <c r="C522" s="3"/>
      <c r="D522" s="17"/>
      <c r="E522" s="18"/>
    </row>
    <row r="523" spans="1:5" ht="15.75" customHeight="1" x14ac:dyDescent="0.25">
      <c r="A523" s="15"/>
      <c r="B523" s="3"/>
      <c r="C523" s="3"/>
      <c r="D523" s="17"/>
      <c r="E523" s="18"/>
    </row>
    <row r="524" spans="1:5" ht="15.75" customHeight="1" x14ac:dyDescent="0.25">
      <c r="A524" s="15"/>
      <c r="B524" s="3"/>
      <c r="C524" s="3"/>
      <c r="D524" s="17"/>
      <c r="E524" s="18"/>
    </row>
    <row r="525" spans="1:5" ht="15.75" customHeight="1" x14ac:dyDescent="0.25">
      <c r="A525" s="15"/>
      <c r="B525" s="3"/>
      <c r="C525" s="3"/>
      <c r="D525" s="17"/>
      <c r="E525" s="18"/>
    </row>
    <row r="526" spans="1:5" ht="15.75" customHeight="1" x14ac:dyDescent="0.25">
      <c r="A526" s="15"/>
      <c r="B526" s="3"/>
      <c r="C526" s="3"/>
      <c r="D526" s="17"/>
      <c r="E526" s="18"/>
    </row>
    <row r="527" spans="1:5" ht="15.75" customHeight="1" x14ac:dyDescent="0.25">
      <c r="A527" s="15"/>
      <c r="B527" s="3"/>
      <c r="C527" s="3"/>
      <c r="D527" s="17"/>
      <c r="E527" s="18"/>
    </row>
    <row r="528" spans="1:5" ht="15.75" customHeight="1" x14ac:dyDescent="0.25">
      <c r="A528" s="15"/>
      <c r="B528" s="3"/>
      <c r="C528" s="3"/>
      <c r="D528" s="17"/>
      <c r="E528" s="18"/>
    </row>
    <row r="529" spans="1:5" ht="15.75" customHeight="1" x14ac:dyDescent="0.25">
      <c r="A529" s="15"/>
      <c r="B529" s="3"/>
      <c r="C529" s="3"/>
      <c r="D529" s="17"/>
      <c r="E529" s="18"/>
    </row>
    <row r="530" spans="1:5" ht="15.75" customHeight="1" x14ac:dyDescent="0.25">
      <c r="A530" s="15"/>
      <c r="B530" s="3"/>
      <c r="C530" s="3"/>
      <c r="D530" s="17"/>
      <c r="E530" s="18"/>
    </row>
    <row r="531" spans="1:5" ht="15.75" customHeight="1" x14ac:dyDescent="0.25">
      <c r="A531" s="15"/>
      <c r="B531" s="3"/>
      <c r="C531" s="3"/>
      <c r="D531" s="17"/>
      <c r="E531" s="18"/>
    </row>
    <row r="532" spans="1:5" ht="15.75" customHeight="1" x14ac:dyDescent="0.25">
      <c r="A532" s="15"/>
      <c r="B532" s="3"/>
      <c r="C532" s="3"/>
      <c r="D532" s="17"/>
      <c r="E532" s="18"/>
    </row>
    <row r="533" spans="1:5" ht="15.75" customHeight="1" x14ac:dyDescent="0.25">
      <c r="A533" s="15"/>
      <c r="B533" s="3"/>
      <c r="C533" s="3"/>
      <c r="D533" s="17"/>
      <c r="E533" s="18"/>
    </row>
    <row r="534" spans="1:5" ht="15.75" customHeight="1" x14ac:dyDescent="0.25">
      <c r="A534" s="15"/>
      <c r="B534" s="3"/>
      <c r="C534" s="3"/>
      <c r="D534" s="17"/>
      <c r="E534" s="18"/>
    </row>
    <row r="535" spans="1:5" ht="15.75" customHeight="1" x14ac:dyDescent="0.25">
      <c r="A535" s="15"/>
      <c r="B535" s="3"/>
      <c r="C535" s="3"/>
      <c r="D535" s="17"/>
      <c r="E535" s="18"/>
    </row>
    <row r="536" spans="1:5" ht="15.75" customHeight="1" x14ac:dyDescent="0.25">
      <c r="A536" s="15"/>
      <c r="B536" s="3"/>
      <c r="C536" s="3"/>
      <c r="D536" s="17"/>
      <c r="E536" s="18"/>
    </row>
    <row r="537" spans="1:5" ht="15.75" customHeight="1" x14ac:dyDescent="0.25">
      <c r="A537" s="15"/>
      <c r="B537" s="3"/>
      <c r="C537" s="3"/>
      <c r="D537" s="17"/>
      <c r="E537" s="18"/>
    </row>
    <row r="538" spans="1:5" ht="15.75" customHeight="1" x14ac:dyDescent="0.25">
      <c r="A538" s="15"/>
      <c r="B538" s="3"/>
      <c r="C538" s="3"/>
      <c r="D538" s="17"/>
      <c r="E538" s="18"/>
    </row>
    <row r="539" spans="1:5" ht="15.75" customHeight="1" x14ac:dyDescent="0.25">
      <c r="A539" s="15"/>
      <c r="B539" s="3"/>
      <c r="C539" s="3"/>
      <c r="D539" s="17"/>
      <c r="E539" s="18"/>
    </row>
    <row r="540" spans="1:5" ht="15.75" customHeight="1" x14ac:dyDescent="0.25">
      <c r="A540" s="15"/>
      <c r="B540" s="3"/>
      <c r="C540" s="3"/>
      <c r="D540" s="17"/>
      <c r="E540" s="18"/>
    </row>
    <row r="541" spans="1:5" ht="15.75" customHeight="1" x14ac:dyDescent="0.25">
      <c r="A541" s="15"/>
      <c r="B541" s="3"/>
      <c r="C541" s="3"/>
      <c r="D541" s="17"/>
      <c r="E541" s="18"/>
    </row>
    <row r="542" spans="1:5" ht="15.75" customHeight="1" x14ac:dyDescent="0.25">
      <c r="A542" s="15"/>
      <c r="B542" s="3"/>
      <c r="C542" s="3"/>
      <c r="D542" s="17"/>
      <c r="E542" s="18"/>
    </row>
    <row r="543" spans="1:5" ht="15.75" customHeight="1" x14ac:dyDescent="0.25">
      <c r="A543" s="15"/>
      <c r="B543" s="3"/>
      <c r="C543" s="3"/>
      <c r="D543" s="17"/>
      <c r="E543" s="18"/>
    </row>
    <row r="544" spans="1:5" ht="15.75" customHeight="1" x14ac:dyDescent="0.25">
      <c r="A544" s="15"/>
      <c r="B544" s="3"/>
      <c r="C544" s="3"/>
      <c r="D544" s="17"/>
      <c r="E544" s="18"/>
    </row>
    <row r="545" spans="1:5" ht="15.75" customHeight="1" x14ac:dyDescent="0.25">
      <c r="A545" s="15"/>
      <c r="B545" s="3"/>
      <c r="C545" s="3"/>
      <c r="D545" s="17"/>
      <c r="E545" s="18"/>
    </row>
    <row r="546" spans="1:5" ht="15.75" customHeight="1" x14ac:dyDescent="0.25">
      <c r="A546" s="15"/>
      <c r="B546" s="3"/>
      <c r="C546" s="3"/>
      <c r="D546" s="17"/>
      <c r="E546" s="18"/>
    </row>
    <row r="547" spans="1:5" ht="15.75" customHeight="1" x14ac:dyDescent="0.25">
      <c r="A547" s="15"/>
      <c r="B547" s="3"/>
      <c r="C547" s="3"/>
      <c r="D547" s="17"/>
      <c r="E547" s="18"/>
    </row>
    <row r="548" spans="1:5" ht="15.75" customHeight="1" x14ac:dyDescent="0.25">
      <c r="A548" s="15"/>
      <c r="B548" s="3"/>
      <c r="C548" s="3"/>
      <c r="D548" s="17"/>
      <c r="E548" s="18"/>
    </row>
    <row r="549" spans="1:5" ht="15.75" customHeight="1" x14ac:dyDescent="0.25">
      <c r="A549" s="15"/>
      <c r="B549" s="3"/>
      <c r="C549" s="3"/>
      <c r="D549" s="17"/>
      <c r="E549" s="18"/>
    </row>
    <row r="550" spans="1:5" ht="15.75" customHeight="1" x14ac:dyDescent="0.25">
      <c r="A550" s="15"/>
      <c r="B550" s="3"/>
      <c r="C550" s="3"/>
      <c r="D550" s="17"/>
      <c r="E550" s="18"/>
    </row>
    <row r="551" spans="1:5" ht="15.75" customHeight="1" x14ac:dyDescent="0.25">
      <c r="A551" s="15"/>
      <c r="B551" s="3"/>
      <c r="C551" s="3"/>
      <c r="D551" s="17"/>
      <c r="E551" s="18"/>
    </row>
    <row r="552" spans="1:5" ht="15.75" customHeight="1" x14ac:dyDescent="0.25">
      <c r="A552" s="15"/>
      <c r="B552" s="3"/>
      <c r="C552" s="3"/>
      <c r="D552" s="17"/>
      <c r="E552" s="18"/>
    </row>
    <row r="553" spans="1:5" ht="15.75" customHeight="1" x14ac:dyDescent="0.25">
      <c r="A553" s="15"/>
      <c r="B553" s="3"/>
      <c r="C553" s="3"/>
      <c r="D553" s="17"/>
      <c r="E553" s="18"/>
    </row>
    <row r="554" spans="1:5" ht="15.75" customHeight="1" x14ac:dyDescent="0.25">
      <c r="A554" s="15"/>
      <c r="B554" s="3"/>
      <c r="C554" s="3"/>
      <c r="D554" s="17"/>
      <c r="E554" s="18"/>
    </row>
    <row r="555" spans="1:5" ht="15.75" customHeight="1" x14ac:dyDescent="0.25">
      <c r="A555" s="15"/>
      <c r="B555" s="3"/>
      <c r="C555" s="3"/>
      <c r="D555" s="17"/>
      <c r="E555" s="18"/>
    </row>
    <row r="556" spans="1:5" ht="15.75" customHeight="1" x14ac:dyDescent="0.25">
      <c r="A556" s="15"/>
      <c r="B556" s="3"/>
      <c r="C556" s="3"/>
      <c r="D556" s="17"/>
      <c r="E556" s="18"/>
    </row>
    <row r="557" spans="1:5" ht="15.75" customHeight="1" x14ac:dyDescent="0.25">
      <c r="A557" s="15"/>
      <c r="B557" s="3"/>
      <c r="C557" s="3"/>
      <c r="D557" s="17"/>
      <c r="E557" s="18"/>
    </row>
    <row r="558" spans="1:5" ht="15.75" customHeight="1" x14ac:dyDescent="0.25">
      <c r="A558" s="15"/>
      <c r="B558" s="3"/>
      <c r="C558" s="3"/>
      <c r="D558" s="17"/>
      <c r="E558" s="18"/>
    </row>
    <row r="559" spans="1:5" ht="15.75" customHeight="1" x14ac:dyDescent="0.25">
      <c r="A559" s="15"/>
      <c r="B559" s="3"/>
      <c r="C559" s="3"/>
      <c r="D559" s="17"/>
      <c r="E559" s="18"/>
    </row>
    <row r="560" spans="1:5" ht="15.75" customHeight="1" x14ac:dyDescent="0.25">
      <c r="A560" s="15"/>
      <c r="B560" s="3"/>
      <c r="C560" s="3"/>
      <c r="D560" s="17"/>
      <c r="E560" s="18"/>
    </row>
    <row r="561" spans="1:5" ht="15.75" customHeight="1" x14ac:dyDescent="0.25">
      <c r="A561" s="15"/>
      <c r="B561" s="3"/>
      <c r="C561" s="3"/>
      <c r="D561" s="17"/>
      <c r="E561" s="18"/>
    </row>
    <row r="562" spans="1:5" ht="15.75" customHeight="1" x14ac:dyDescent="0.25">
      <c r="A562" s="15"/>
      <c r="B562" s="3"/>
      <c r="C562" s="3"/>
      <c r="D562" s="17"/>
      <c r="E562" s="18"/>
    </row>
    <row r="563" spans="1:5" ht="15.75" customHeight="1" x14ac:dyDescent="0.25">
      <c r="A563" s="15"/>
      <c r="B563" s="3"/>
      <c r="C563" s="3"/>
      <c r="D563" s="17"/>
      <c r="E563" s="18"/>
    </row>
    <row r="564" spans="1:5" ht="15.75" customHeight="1" x14ac:dyDescent="0.25">
      <c r="A564" s="15"/>
      <c r="B564" s="3"/>
      <c r="C564" s="3"/>
      <c r="D564" s="17"/>
      <c r="E564" s="18"/>
    </row>
    <row r="565" spans="1:5" ht="15.75" customHeight="1" x14ac:dyDescent="0.25">
      <c r="A565" s="15"/>
      <c r="B565" s="3"/>
      <c r="C565" s="3"/>
      <c r="D565" s="17"/>
      <c r="E565" s="18"/>
    </row>
    <row r="566" spans="1:5" ht="15.75" customHeight="1" x14ac:dyDescent="0.25">
      <c r="A566" s="15"/>
      <c r="B566" s="3"/>
      <c r="C566" s="3"/>
      <c r="D566" s="17"/>
      <c r="E566" s="18"/>
    </row>
    <row r="567" spans="1:5" ht="15.75" customHeight="1" x14ac:dyDescent="0.25">
      <c r="A567" s="15"/>
      <c r="B567" s="3"/>
      <c r="C567" s="3"/>
      <c r="D567" s="17"/>
      <c r="E567" s="18"/>
    </row>
    <row r="568" spans="1:5" ht="15.75" customHeight="1" x14ac:dyDescent="0.25">
      <c r="A568" s="15"/>
      <c r="B568" s="3"/>
      <c r="C568" s="3"/>
      <c r="D568" s="17"/>
      <c r="E568" s="18"/>
    </row>
    <row r="569" spans="1:5" ht="15.75" customHeight="1" x14ac:dyDescent="0.25">
      <c r="A569" s="15"/>
      <c r="B569" s="3"/>
      <c r="C569" s="3"/>
      <c r="D569" s="17"/>
      <c r="E569" s="18"/>
    </row>
    <row r="570" spans="1:5" ht="15.75" customHeight="1" x14ac:dyDescent="0.25">
      <c r="A570" s="15"/>
      <c r="B570" s="3"/>
      <c r="C570" s="3"/>
      <c r="D570" s="17"/>
      <c r="E570" s="18"/>
    </row>
    <row r="571" spans="1:5" ht="15.75" customHeight="1" x14ac:dyDescent="0.25">
      <c r="A571" s="15"/>
      <c r="B571" s="3"/>
      <c r="C571" s="3"/>
      <c r="D571" s="17"/>
      <c r="E571" s="18"/>
    </row>
    <row r="572" spans="1:5" ht="15.75" customHeight="1" x14ac:dyDescent="0.25">
      <c r="A572" s="15"/>
      <c r="B572" s="3"/>
      <c r="C572" s="3"/>
      <c r="D572" s="17"/>
      <c r="E572" s="18"/>
    </row>
    <row r="573" spans="1:5" ht="15.75" customHeight="1" x14ac:dyDescent="0.25">
      <c r="A573" s="15"/>
      <c r="B573" s="3"/>
      <c r="C573" s="3"/>
      <c r="D573" s="17"/>
      <c r="E573" s="18"/>
    </row>
    <row r="574" spans="1:5" ht="15.75" customHeight="1" x14ac:dyDescent="0.25">
      <c r="A574" s="15"/>
      <c r="B574" s="3"/>
      <c r="C574" s="3"/>
      <c r="D574" s="17"/>
      <c r="E574" s="18"/>
    </row>
    <row r="575" spans="1:5" ht="15.75" customHeight="1" x14ac:dyDescent="0.25">
      <c r="A575" s="15"/>
      <c r="B575" s="3"/>
      <c r="C575" s="3"/>
      <c r="D575" s="17"/>
      <c r="E575" s="18"/>
    </row>
    <row r="576" spans="1:5" ht="15.75" customHeight="1" x14ac:dyDescent="0.25">
      <c r="A576" s="15"/>
      <c r="B576" s="3"/>
      <c r="C576" s="3"/>
      <c r="D576" s="17"/>
      <c r="E576" s="18"/>
    </row>
    <row r="577" spans="1:5" ht="15.75" customHeight="1" x14ac:dyDescent="0.25">
      <c r="A577" s="15"/>
      <c r="B577" s="3"/>
      <c r="C577" s="3"/>
      <c r="D577" s="17"/>
      <c r="E577" s="18"/>
    </row>
    <row r="578" spans="1:5" ht="15.75" customHeight="1" x14ac:dyDescent="0.25">
      <c r="A578" s="15"/>
      <c r="B578" s="3"/>
      <c r="C578" s="3"/>
      <c r="D578" s="17"/>
      <c r="E578" s="18"/>
    </row>
    <row r="579" spans="1:5" ht="15.75" customHeight="1" x14ac:dyDescent="0.25">
      <c r="A579" s="15"/>
      <c r="B579" s="3"/>
      <c r="C579" s="3"/>
      <c r="D579" s="17"/>
      <c r="E579" s="18"/>
    </row>
    <row r="580" spans="1:5" ht="15.75" customHeight="1" x14ac:dyDescent="0.25">
      <c r="A580" s="15"/>
      <c r="B580" s="3"/>
      <c r="C580" s="3"/>
      <c r="D580" s="17"/>
      <c r="E580" s="18"/>
    </row>
    <row r="581" spans="1:5" ht="15.75" customHeight="1" x14ac:dyDescent="0.25">
      <c r="A581" s="15"/>
      <c r="B581" s="3"/>
      <c r="C581" s="3"/>
      <c r="D581" s="17"/>
      <c r="E581" s="18"/>
    </row>
    <row r="582" spans="1:5" ht="15.75" customHeight="1" x14ac:dyDescent="0.25">
      <c r="A582" s="15"/>
      <c r="B582" s="3"/>
      <c r="C582" s="3"/>
      <c r="D582" s="17"/>
      <c r="E582" s="18"/>
    </row>
    <row r="583" spans="1:5" ht="15.75" customHeight="1" x14ac:dyDescent="0.25">
      <c r="A583" s="15"/>
      <c r="B583" s="3"/>
      <c r="C583" s="3"/>
      <c r="D583" s="17"/>
      <c r="E583" s="18"/>
    </row>
    <row r="584" spans="1:5" ht="15.75" customHeight="1" x14ac:dyDescent="0.25">
      <c r="A584" s="15"/>
      <c r="B584" s="3"/>
      <c r="C584" s="3"/>
      <c r="D584" s="17"/>
      <c r="E584" s="18"/>
    </row>
    <row r="585" spans="1:5" ht="15.75" customHeight="1" x14ac:dyDescent="0.25">
      <c r="A585" s="15"/>
      <c r="B585" s="3"/>
      <c r="C585" s="3"/>
      <c r="D585" s="17"/>
      <c r="E585" s="18"/>
    </row>
    <row r="586" spans="1:5" ht="15.75" customHeight="1" x14ac:dyDescent="0.25">
      <c r="A586" s="15"/>
      <c r="B586" s="3"/>
      <c r="C586" s="3"/>
      <c r="D586" s="17"/>
      <c r="E586" s="18"/>
    </row>
    <row r="587" spans="1:5" ht="15.75" customHeight="1" x14ac:dyDescent="0.25">
      <c r="A587" s="15"/>
      <c r="B587" s="3"/>
      <c r="C587" s="3"/>
      <c r="D587" s="17"/>
      <c r="E587" s="18"/>
    </row>
    <row r="588" spans="1:5" ht="15.75" customHeight="1" x14ac:dyDescent="0.25">
      <c r="A588" s="15"/>
      <c r="B588" s="3"/>
      <c r="C588" s="3"/>
      <c r="D588" s="17"/>
      <c r="E588" s="18"/>
    </row>
    <row r="589" spans="1:5" ht="15.75" customHeight="1" x14ac:dyDescent="0.25">
      <c r="A589" s="15"/>
      <c r="B589" s="3"/>
      <c r="C589" s="3"/>
      <c r="D589" s="17"/>
      <c r="E589" s="18"/>
    </row>
    <row r="590" spans="1:5" ht="15.75" customHeight="1" x14ac:dyDescent="0.25">
      <c r="A590" s="15"/>
      <c r="B590" s="3"/>
      <c r="C590" s="3"/>
      <c r="D590" s="17"/>
      <c r="E590" s="18"/>
    </row>
    <row r="591" spans="1:5" ht="15.75" customHeight="1" x14ac:dyDescent="0.25">
      <c r="A591" s="15"/>
      <c r="B591" s="3"/>
      <c r="C591" s="3"/>
      <c r="D591" s="17"/>
      <c r="E591" s="18"/>
    </row>
    <row r="592" spans="1:5" ht="15.75" customHeight="1" x14ac:dyDescent="0.25">
      <c r="A592" s="15"/>
      <c r="B592" s="3"/>
      <c r="C592" s="3"/>
      <c r="D592" s="17"/>
      <c r="E592" s="18"/>
    </row>
    <row r="593" spans="1:5" ht="15.75" customHeight="1" x14ac:dyDescent="0.25">
      <c r="A593" s="15"/>
      <c r="B593" s="3"/>
      <c r="C593" s="3"/>
      <c r="D593" s="17"/>
      <c r="E593" s="18"/>
    </row>
    <row r="594" spans="1:5" ht="15.75" customHeight="1" x14ac:dyDescent="0.25">
      <c r="A594" s="15"/>
      <c r="B594" s="3"/>
      <c r="C594" s="3"/>
      <c r="D594" s="17"/>
      <c r="E594" s="18"/>
    </row>
    <row r="595" spans="1:5" ht="15.75" customHeight="1" x14ac:dyDescent="0.25">
      <c r="A595" s="15"/>
      <c r="B595" s="3"/>
      <c r="C595" s="3"/>
      <c r="D595" s="17"/>
      <c r="E595" s="18"/>
    </row>
    <row r="596" spans="1:5" ht="15.75" customHeight="1" x14ac:dyDescent="0.25">
      <c r="A596" s="15"/>
      <c r="B596" s="3"/>
      <c r="C596" s="3"/>
      <c r="D596" s="17"/>
      <c r="E596" s="18"/>
    </row>
    <row r="597" spans="1:5" ht="15.75" customHeight="1" x14ac:dyDescent="0.25">
      <c r="A597" s="15"/>
      <c r="B597" s="3"/>
      <c r="C597" s="3"/>
      <c r="D597" s="17"/>
      <c r="E597" s="18"/>
    </row>
    <row r="598" spans="1:5" ht="15.75" customHeight="1" x14ac:dyDescent="0.25">
      <c r="A598" s="15"/>
      <c r="B598" s="3"/>
      <c r="C598" s="3"/>
      <c r="D598" s="17"/>
      <c r="E598" s="18"/>
    </row>
    <row r="599" spans="1:5" ht="15.75" customHeight="1" x14ac:dyDescent="0.25">
      <c r="A599" s="15"/>
      <c r="B599" s="3"/>
      <c r="C599" s="3"/>
      <c r="D599" s="17"/>
      <c r="E599" s="18"/>
    </row>
    <row r="600" spans="1:5" ht="15.75" customHeight="1" x14ac:dyDescent="0.25">
      <c r="A600" s="15"/>
      <c r="B600" s="3"/>
      <c r="C600" s="3"/>
      <c r="D600" s="17"/>
      <c r="E600" s="18"/>
    </row>
    <row r="601" spans="1:5" ht="15.75" customHeight="1" x14ac:dyDescent="0.25">
      <c r="A601" s="15"/>
      <c r="B601" s="3"/>
      <c r="C601" s="3"/>
      <c r="D601" s="17"/>
      <c r="E601" s="18"/>
    </row>
    <row r="602" spans="1:5" ht="15.75" customHeight="1" x14ac:dyDescent="0.25">
      <c r="A602" s="15"/>
      <c r="B602" s="3"/>
      <c r="C602" s="3"/>
      <c r="D602" s="17"/>
      <c r="E602" s="18"/>
    </row>
    <row r="603" spans="1:5" ht="15.75" customHeight="1" x14ac:dyDescent="0.25">
      <c r="A603" s="15"/>
      <c r="B603" s="3"/>
      <c r="C603" s="3"/>
      <c r="D603" s="17"/>
      <c r="E603" s="18"/>
    </row>
    <row r="604" spans="1:5" ht="15.75" customHeight="1" x14ac:dyDescent="0.25">
      <c r="A604" s="15"/>
      <c r="B604" s="3"/>
      <c r="C604" s="3"/>
      <c r="D604" s="17"/>
      <c r="E604" s="18"/>
    </row>
    <row r="605" spans="1:5" ht="15.75" customHeight="1" x14ac:dyDescent="0.25">
      <c r="A605" s="15"/>
      <c r="B605" s="3"/>
      <c r="C605" s="3"/>
      <c r="D605" s="17"/>
      <c r="E605" s="18"/>
    </row>
    <row r="606" spans="1:5" ht="15.75" customHeight="1" x14ac:dyDescent="0.25">
      <c r="A606" s="15"/>
      <c r="B606" s="3"/>
      <c r="C606" s="3"/>
      <c r="D606" s="17"/>
      <c r="E606" s="18"/>
    </row>
    <row r="607" spans="1:5" ht="15.75" customHeight="1" x14ac:dyDescent="0.25">
      <c r="A607" s="15"/>
      <c r="B607" s="3"/>
      <c r="C607" s="3"/>
      <c r="D607" s="17"/>
      <c r="E607" s="18"/>
    </row>
    <row r="608" spans="1:5" ht="15.75" customHeight="1" x14ac:dyDescent="0.25">
      <c r="A608" s="15"/>
      <c r="B608" s="3"/>
      <c r="C608" s="3"/>
      <c r="D608" s="17"/>
      <c r="E608" s="18"/>
    </row>
    <row r="609" spans="1:5" ht="15.75" customHeight="1" x14ac:dyDescent="0.25">
      <c r="A609" s="15"/>
      <c r="B609" s="3"/>
      <c r="C609" s="3"/>
      <c r="D609" s="17"/>
      <c r="E609" s="18"/>
    </row>
    <row r="610" spans="1:5" ht="15.75" customHeight="1" x14ac:dyDescent="0.25">
      <c r="A610" s="15"/>
      <c r="B610" s="3"/>
      <c r="C610" s="3"/>
      <c r="D610" s="17"/>
      <c r="E610" s="18"/>
    </row>
    <row r="611" spans="1:5" ht="15.75" customHeight="1" x14ac:dyDescent="0.25">
      <c r="A611" s="15"/>
      <c r="B611" s="3"/>
      <c r="C611" s="3"/>
      <c r="D611" s="17"/>
      <c r="E611" s="18"/>
    </row>
    <row r="612" spans="1:5" ht="15.75" customHeight="1" x14ac:dyDescent="0.25">
      <c r="A612" s="15"/>
      <c r="B612" s="3"/>
      <c r="C612" s="3"/>
      <c r="D612" s="17"/>
      <c r="E612" s="18"/>
    </row>
    <row r="613" spans="1:5" ht="15.75" customHeight="1" x14ac:dyDescent="0.25">
      <c r="A613" s="15"/>
      <c r="B613" s="3"/>
      <c r="C613" s="3"/>
      <c r="D613" s="17"/>
      <c r="E613" s="18"/>
    </row>
    <row r="614" spans="1:5" ht="15.75" customHeight="1" x14ac:dyDescent="0.25">
      <c r="A614" s="15"/>
      <c r="B614" s="3"/>
      <c r="C614" s="3"/>
      <c r="D614" s="17"/>
      <c r="E614" s="18"/>
    </row>
    <row r="615" spans="1:5" ht="15.75" customHeight="1" x14ac:dyDescent="0.25">
      <c r="A615" s="15"/>
      <c r="B615" s="3"/>
      <c r="C615" s="3"/>
      <c r="D615" s="17"/>
      <c r="E615" s="18"/>
    </row>
    <row r="616" spans="1:5" ht="15.75" customHeight="1" x14ac:dyDescent="0.25">
      <c r="A616" s="15"/>
      <c r="B616" s="3"/>
      <c r="C616" s="3"/>
      <c r="D616" s="17"/>
      <c r="E616" s="18"/>
    </row>
    <row r="617" spans="1:5" ht="15.75" customHeight="1" x14ac:dyDescent="0.25">
      <c r="A617" s="15"/>
      <c r="B617" s="3"/>
      <c r="C617" s="3"/>
      <c r="D617" s="17"/>
      <c r="E617" s="18"/>
    </row>
    <row r="618" spans="1:5" ht="15.75" customHeight="1" x14ac:dyDescent="0.25">
      <c r="A618" s="15"/>
      <c r="B618" s="3"/>
      <c r="C618" s="3"/>
      <c r="D618" s="17"/>
      <c r="E618" s="18"/>
    </row>
    <row r="619" spans="1:5" ht="15.75" customHeight="1" x14ac:dyDescent="0.25">
      <c r="A619" s="15"/>
      <c r="B619" s="3"/>
      <c r="C619" s="3"/>
      <c r="D619" s="17"/>
      <c r="E619" s="18"/>
    </row>
    <row r="620" spans="1:5" ht="15.75" customHeight="1" x14ac:dyDescent="0.25">
      <c r="A620" s="15"/>
      <c r="B620" s="3"/>
      <c r="C620" s="3"/>
      <c r="D620" s="17"/>
      <c r="E620" s="18"/>
    </row>
    <row r="621" spans="1:5" ht="15.75" customHeight="1" x14ac:dyDescent="0.25">
      <c r="A621" s="15"/>
      <c r="B621" s="3"/>
      <c r="C621" s="3"/>
      <c r="D621" s="17"/>
      <c r="E621" s="18"/>
    </row>
    <row r="622" spans="1:5" ht="15.75" customHeight="1" x14ac:dyDescent="0.25">
      <c r="A622" s="15"/>
      <c r="B622" s="3"/>
      <c r="C622" s="3"/>
      <c r="D622" s="17"/>
      <c r="E622" s="18"/>
    </row>
    <row r="623" spans="1:5" ht="15.75" customHeight="1" x14ac:dyDescent="0.25">
      <c r="A623" s="15"/>
      <c r="B623" s="3"/>
      <c r="C623" s="3"/>
      <c r="D623" s="17"/>
      <c r="E623" s="18"/>
    </row>
    <row r="624" spans="1:5" ht="15.75" customHeight="1" x14ac:dyDescent="0.25">
      <c r="A624" s="15"/>
      <c r="B624" s="3"/>
      <c r="C624" s="3"/>
      <c r="D624" s="17"/>
      <c r="E624" s="18"/>
    </row>
    <row r="625" spans="1:5" ht="15.75" customHeight="1" x14ac:dyDescent="0.25">
      <c r="A625" s="15"/>
      <c r="B625" s="3"/>
      <c r="C625" s="3"/>
      <c r="D625" s="17"/>
      <c r="E625" s="18"/>
    </row>
    <row r="626" spans="1:5" ht="15.75" customHeight="1" x14ac:dyDescent="0.25">
      <c r="A626" s="15"/>
      <c r="B626" s="3"/>
      <c r="C626" s="3"/>
      <c r="D626" s="17"/>
      <c r="E626" s="18"/>
    </row>
    <row r="627" spans="1:5" ht="15.75" customHeight="1" x14ac:dyDescent="0.25">
      <c r="A627" s="15"/>
      <c r="B627" s="3"/>
      <c r="C627" s="3"/>
      <c r="D627" s="17"/>
      <c r="E627" s="18"/>
    </row>
    <row r="628" spans="1:5" ht="15.75" customHeight="1" x14ac:dyDescent="0.25">
      <c r="A628" s="15"/>
      <c r="B628" s="3"/>
      <c r="C628" s="3"/>
      <c r="D628" s="17"/>
      <c r="E628" s="18"/>
    </row>
    <row r="629" spans="1:5" ht="15.75" customHeight="1" x14ac:dyDescent="0.25">
      <c r="A629" s="15"/>
      <c r="B629" s="3"/>
      <c r="C629" s="3"/>
      <c r="D629" s="17"/>
      <c r="E629" s="18"/>
    </row>
    <row r="630" spans="1:5" ht="15.75" customHeight="1" x14ac:dyDescent="0.25">
      <c r="A630" s="15"/>
      <c r="B630" s="3"/>
      <c r="C630" s="3"/>
      <c r="D630" s="17"/>
      <c r="E630" s="18"/>
    </row>
    <row r="631" spans="1:5" ht="15.75" customHeight="1" x14ac:dyDescent="0.25">
      <c r="A631" s="15"/>
      <c r="B631" s="3"/>
      <c r="C631" s="3"/>
      <c r="D631" s="17"/>
      <c r="E631" s="18"/>
    </row>
    <row r="632" spans="1:5" ht="15.75" customHeight="1" x14ac:dyDescent="0.25">
      <c r="A632" s="15"/>
      <c r="B632" s="3"/>
      <c r="C632" s="3"/>
      <c r="D632" s="17"/>
      <c r="E632" s="18"/>
    </row>
    <row r="633" spans="1:5" ht="15.75" customHeight="1" x14ac:dyDescent="0.25">
      <c r="A633" s="15"/>
      <c r="B633" s="3"/>
      <c r="C633" s="3"/>
      <c r="D633" s="17"/>
      <c r="E633" s="18"/>
    </row>
    <row r="634" spans="1:5" ht="15.75" customHeight="1" x14ac:dyDescent="0.25">
      <c r="A634" s="15"/>
      <c r="B634" s="3"/>
      <c r="C634" s="3"/>
      <c r="D634" s="17"/>
      <c r="E634" s="18"/>
    </row>
    <row r="635" spans="1:5" ht="15.75" customHeight="1" x14ac:dyDescent="0.25">
      <c r="A635" s="15"/>
      <c r="B635" s="3"/>
      <c r="C635" s="3"/>
      <c r="D635" s="17"/>
      <c r="E635" s="18"/>
    </row>
    <row r="636" spans="1:5" ht="15.75" customHeight="1" x14ac:dyDescent="0.25">
      <c r="A636" s="15"/>
      <c r="B636" s="3"/>
      <c r="C636" s="3"/>
      <c r="D636" s="17"/>
      <c r="E636" s="18"/>
    </row>
    <row r="637" spans="1:5" ht="15.75" customHeight="1" x14ac:dyDescent="0.25">
      <c r="A637" s="15"/>
      <c r="B637" s="3"/>
      <c r="C637" s="3"/>
      <c r="D637" s="17"/>
      <c r="E637" s="18"/>
    </row>
    <row r="638" spans="1:5" ht="15.75" customHeight="1" x14ac:dyDescent="0.25">
      <c r="A638" s="15"/>
      <c r="B638" s="3"/>
      <c r="C638" s="3"/>
      <c r="D638" s="17"/>
      <c r="E638" s="18"/>
    </row>
    <row r="639" spans="1:5" ht="15.75" customHeight="1" x14ac:dyDescent="0.25">
      <c r="A639" s="15"/>
      <c r="B639" s="3"/>
      <c r="C639" s="3"/>
      <c r="D639" s="17"/>
      <c r="E639" s="18"/>
    </row>
    <row r="640" spans="1:5" ht="15.75" customHeight="1" x14ac:dyDescent="0.25">
      <c r="A640" s="15"/>
      <c r="B640" s="3"/>
      <c r="C640" s="3"/>
      <c r="D640" s="17"/>
      <c r="E640" s="18"/>
    </row>
    <row r="641" spans="1:5" ht="15.75" customHeight="1" x14ac:dyDescent="0.25">
      <c r="A641" s="15"/>
      <c r="B641" s="3"/>
      <c r="C641" s="3"/>
      <c r="D641" s="17"/>
      <c r="E641" s="18"/>
    </row>
    <row r="642" spans="1:5" ht="15.75" customHeight="1" x14ac:dyDescent="0.25">
      <c r="A642" s="15"/>
      <c r="B642" s="3"/>
      <c r="C642" s="3"/>
      <c r="D642" s="17"/>
      <c r="E642" s="18"/>
    </row>
    <row r="643" spans="1:5" ht="15.75" customHeight="1" x14ac:dyDescent="0.25">
      <c r="A643" s="15"/>
      <c r="B643" s="3"/>
      <c r="C643" s="3"/>
      <c r="D643" s="17"/>
      <c r="E643" s="18"/>
    </row>
    <row r="644" spans="1:5" ht="15.75" customHeight="1" x14ac:dyDescent="0.25">
      <c r="A644" s="15"/>
      <c r="B644" s="3"/>
      <c r="C644" s="3"/>
      <c r="D644" s="17"/>
      <c r="E644" s="18"/>
    </row>
    <row r="645" spans="1:5" ht="15.75" customHeight="1" x14ac:dyDescent="0.25">
      <c r="A645" s="15"/>
      <c r="B645" s="3"/>
      <c r="C645" s="3"/>
      <c r="D645" s="17"/>
      <c r="E645" s="18"/>
    </row>
    <row r="646" spans="1:5" ht="15.75" customHeight="1" x14ac:dyDescent="0.25">
      <c r="A646" s="15"/>
      <c r="B646" s="3"/>
      <c r="C646" s="3"/>
      <c r="D646" s="17"/>
      <c r="E646" s="18"/>
    </row>
    <row r="647" spans="1:5" ht="15.75" customHeight="1" x14ac:dyDescent="0.25">
      <c r="A647" s="15"/>
      <c r="B647" s="3"/>
      <c r="C647" s="3"/>
      <c r="D647" s="17"/>
      <c r="E647" s="18"/>
    </row>
    <row r="648" spans="1:5" ht="15.75" customHeight="1" x14ac:dyDescent="0.25">
      <c r="A648" s="15"/>
      <c r="B648" s="3"/>
      <c r="C648" s="3"/>
      <c r="D648" s="17"/>
      <c r="E648" s="18"/>
    </row>
    <row r="649" spans="1:5" ht="15.75" customHeight="1" x14ac:dyDescent="0.25">
      <c r="A649" s="15"/>
      <c r="B649" s="3"/>
      <c r="C649" s="3"/>
      <c r="D649" s="17"/>
      <c r="E649" s="18"/>
    </row>
    <row r="650" spans="1:5" ht="15.75" customHeight="1" x14ac:dyDescent="0.25">
      <c r="A650" s="15"/>
      <c r="B650" s="3"/>
      <c r="C650" s="3"/>
      <c r="D650" s="17"/>
      <c r="E650" s="18"/>
    </row>
    <row r="651" spans="1:5" ht="15.75" customHeight="1" x14ac:dyDescent="0.25">
      <c r="A651" s="15"/>
      <c r="B651" s="3"/>
      <c r="C651" s="3"/>
      <c r="D651" s="17"/>
      <c r="E651" s="18"/>
    </row>
    <row r="652" spans="1:5" ht="15.75" customHeight="1" x14ac:dyDescent="0.25">
      <c r="A652" s="15"/>
      <c r="B652" s="3"/>
      <c r="C652" s="3"/>
      <c r="D652" s="17"/>
      <c r="E652" s="18"/>
    </row>
    <row r="653" spans="1:5" ht="15.75" customHeight="1" x14ac:dyDescent="0.25">
      <c r="A653" s="15"/>
      <c r="B653" s="3"/>
      <c r="C653" s="3"/>
      <c r="D653" s="17"/>
      <c r="E653" s="18"/>
    </row>
    <row r="654" spans="1:5" ht="15.75" customHeight="1" x14ac:dyDescent="0.25">
      <c r="A654" s="15"/>
      <c r="B654" s="3"/>
      <c r="C654" s="3"/>
      <c r="D654" s="17"/>
      <c r="E654" s="18"/>
    </row>
    <row r="655" spans="1:5" ht="15.75" customHeight="1" x14ac:dyDescent="0.25">
      <c r="A655" s="15"/>
      <c r="B655" s="3"/>
      <c r="C655" s="3"/>
      <c r="D655" s="17"/>
      <c r="E655" s="18"/>
    </row>
    <row r="656" spans="1:5" ht="15.75" customHeight="1" x14ac:dyDescent="0.25">
      <c r="A656" s="15"/>
      <c r="B656" s="3"/>
      <c r="C656" s="3"/>
      <c r="D656" s="17"/>
      <c r="E656" s="18"/>
    </row>
    <row r="657" spans="1:5" ht="15.75" customHeight="1" x14ac:dyDescent="0.25">
      <c r="A657" s="15"/>
      <c r="B657" s="3"/>
      <c r="C657" s="3"/>
      <c r="D657" s="17"/>
      <c r="E657" s="18"/>
    </row>
    <row r="658" spans="1:5" ht="15.75" customHeight="1" x14ac:dyDescent="0.25">
      <c r="A658" s="15"/>
      <c r="B658" s="3"/>
      <c r="C658" s="3"/>
      <c r="D658" s="17"/>
      <c r="E658" s="18"/>
    </row>
    <row r="659" spans="1:5" ht="15.75" customHeight="1" x14ac:dyDescent="0.25">
      <c r="A659" s="15"/>
      <c r="B659" s="3"/>
      <c r="C659" s="3"/>
      <c r="D659" s="17"/>
      <c r="E659" s="18"/>
    </row>
    <row r="660" spans="1:5" ht="15.75" customHeight="1" x14ac:dyDescent="0.25">
      <c r="A660" s="15"/>
      <c r="B660" s="3"/>
      <c r="C660" s="3"/>
      <c r="D660" s="17"/>
      <c r="E660" s="18"/>
    </row>
    <row r="661" spans="1:5" ht="15.75" customHeight="1" x14ac:dyDescent="0.25">
      <c r="A661" s="15"/>
      <c r="B661" s="3"/>
      <c r="C661" s="3"/>
      <c r="D661" s="17"/>
      <c r="E661" s="18"/>
    </row>
    <row r="662" spans="1:5" ht="15.75" customHeight="1" x14ac:dyDescent="0.25">
      <c r="A662" s="15"/>
      <c r="B662" s="3"/>
      <c r="C662" s="3"/>
      <c r="D662" s="17"/>
      <c r="E662" s="18"/>
    </row>
    <row r="663" spans="1:5" ht="15.75" customHeight="1" x14ac:dyDescent="0.25">
      <c r="A663" s="15"/>
      <c r="B663" s="3"/>
      <c r="C663" s="3"/>
      <c r="D663" s="17"/>
      <c r="E663" s="18"/>
    </row>
    <row r="664" spans="1:5" ht="15.75" customHeight="1" x14ac:dyDescent="0.25">
      <c r="A664" s="15"/>
      <c r="B664" s="3"/>
      <c r="C664" s="3"/>
      <c r="D664" s="17"/>
      <c r="E664" s="18"/>
    </row>
    <row r="665" spans="1:5" ht="15.75" customHeight="1" x14ac:dyDescent="0.25">
      <c r="A665" s="15"/>
      <c r="B665" s="3"/>
      <c r="C665" s="3"/>
      <c r="D665" s="17"/>
      <c r="E665" s="18"/>
    </row>
    <row r="666" spans="1:5" ht="15.75" customHeight="1" x14ac:dyDescent="0.25">
      <c r="A666" s="15"/>
      <c r="B666" s="3"/>
      <c r="C666" s="3"/>
      <c r="D666" s="17"/>
      <c r="E666" s="18"/>
    </row>
    <row r="667" spans="1:5" ht="15.75" customHeight="1" x14ac:dyDescent="0.25">
      <c r="A667" s="15"/>
      <c r="B667" s="3"/>
      <c r="C667" s="3"/>
      <c r="D667" s="17"/>
      <c r="E667" s="18"/>
    </row>
    <row r="668" spans="1:5" ht="15.75" customHeight="1" x14ac:dyDescent="0.25">
      <c r="A668" s="15"/>
      <c r="B668" s="3"/>
      <c r="C668" s="3"/>
      <c r="D668" s="17"/>
      <c r="E668" s="18"/>
    </row>
    <row r="669" spans="1:5" ht="15.75" customHeight="1" x14ac:dyDescent="0.25">
      <c r="A669" s="15"/>
      <c r="B669" s="3"/>
      <c r="C669" s="3"/>
      <c r="D669" s="17"/>
      <c r="E669" s="18"/>
    </row>
    <row r="670" spans="1:5" ht="15.75" customHeight="1" x14ac:dyDescent="0.25">
      <c r="A670" s="15"/>
      <c r="B670" s="3"/>
      <c r="C670" s="3"/>
      <c r="D670" s="17"/>
      <c r="E670" s="18"/>
    </row>
    <row r="671" spans="1:5" ht="15.75" customHeight="1" x14ac:dyDescent="0.25">
      <c r="A671" s="15"/>
      <c r="B671" s="3"/>
      <c r="C671" s="3"/>
      <c r="D671" s="17"/>
      <c r="E671" s="18"/>
    </row>
    <row r="672" spans="1:5" ht="15.75" customHeight="1" x14ac:dyDescent="0.25">
      <c r="A672" s="15"/>
      <c r="B672" s="3"/>
      <c r="C672" s="3"/>
      <c r="D672" s="17"/>
      <c r="E672" s="18"/>
    </row>
    <row r="673" spans="1:5" ht="15.75" customHeight="1" x14ac:dyDescent="0.25">
      <c r="A673" s="15"/>
      <c r="B673" s="3"/>
      <c r="C673" s="3"/>
      <c r="D673" s="17"/>
      <c r="E673" s="18"/>
    </row>
    <row r="674" spans="1:5" ht="15.75" customHeight="1" x14ac:dyDescent="0.25">
      <c r="A674" s="15"/>
      <c r="B674" s="3"/>
      <c r="C674" s="3"/>
      <c r="D674" s="17"/>
      <c r="E674" s="18"/>
    </row>
    <row r="675" spans="1:5" ht="15.75" customHeight="1" x14ac:dyDescent="0.25">
      <c r="A675" s="15"/>
      <c r="B675" s="3"/>
      <c r="C675" s="3"/>
      <c r="D675" s="17"/>
      <c r="E675" s="18"/>
    </row>
    <row r="676" spans="1:5" ht="15.75" customHeight="1" x14ac:dyDescent="0.25">
      <c r="A676" s="15"/>
      <c r="B676" s="3"/>
      <c r="C676" s="3"/>
      <c r="D676" s="17"/>
      <c r="E676" s="18"/>
    </row>
    <row r="677" spans="1:5" ht="15.75" customHeight="1" x14ac:dyDescent="0.25">
      <c r="A677" s="15"/>
      <c r="B677" s="3"/>
      <c r="C677" s="3"/>
      <c r="D677" s="17"/>
      <c r="E677" s="18"/>
    </row>
    <row r="678" spans="1:5" ht="15.75" customHeight="1" x14ac:dyDescent="0.25">
      <c r="A678" s="15"/>
      <c r="B678" s="3"/>
      <c r="C678" s="3"/>
      <c r="D678" s="17"/>
      <c r="E678" s="18"/>
    </row>
    <row r="679" spans="1:5" ht="15.75" customHeight="1" x14ac:dyDescent="0.25">
      <c r="A679" s="15"/>
      <c r="B679" s="3"/>
      <c r="C679" s="3"/>
      <c r="D679" s="17"/>
      <c r="E679" s="18"/>
    </row>
    <row r="680" spans="1:5" ht="15.75" customHeight="1" x14ac:dyDescent="0.25">
      <c r="A680" s="15"/>
      <c r="B680" s="3"/>
      <c r="C680" s="3"/>
      <c r="D680" s="17"/>
      <c r="E680" s="18"/>
    </row>
    <row r="681" spans="1:5" ht="15.75" customHeight="1" x14ac:dyDescent="0.25">
      <c r="A681" s="15"/>
      <c r="B681" s="3"/>
      <c r="C681" s="3"/>
      <c r="D681" s="17"/>
      <c r="E681" s="18"/>
    </row>
    <row r="682" spans="1:5" ht="15.75" customHeight="1" x14ac:dyDescent="0.25">
      <c r="A682" s="15"/>
      <c r="B682" s="3"/>
      <c r="C682" s="3"/>
      <c r="D682" s="17"/>
      <c r="E682" s="18"/>
    </row>
    <row r="683" spans="1:5" ht="15.75" customHeight="1" x14ac:dyDescent="0.25">
      <c r="A683" s="15"/>
      <c r="B683" s="3"/>
      <c r="C683" s="3"/>
      <c r="D683" s="17"/>
      <c r="E683" s="18"/>
    </row>
    <row r="684" spans="1:5" ht="15.75" customHeight="1" x14ac:dyDescent="0.25">
      <c r="A684" s="15"/>
      <c r="B684" s="3"/>
      <c r="C684" s="3"/>
      <c r="D684" s="17"/>
      <c r="E684" s="18"/>
    </row>
    <row r="685" spans="1:5" ht="15.75" customHeight="1" x14ac:dyDescent="0.25">
      <c r="A685" s="15"/>
      <c r="B685" s="3"/>
      <c r="C685" s="3"/>
      <c r="D685" s="17"/>
      <c r="E685" s="18"/>
    </row>
    <row r="686" spans="1:5" ht="15.75" customHeight="1" x14ac:dyDescent="0.25">
      <c r="A686" s="15"/>
      <c r="B686" s="3"/>
      <c r="C686" s="3"/>
      <c r="D686" s="17"/>
      <c r="E686" s="18"/>
    </row>
    <row r="687" spans="1:5" ht="15.75" customHeight="1" x14ac:dyDescent="0.25">
      <c r="A687" s="15"/>
      <c r="B687" s="3"/>
      <c r="C687" s="3"/>
      <c r="D687" s="17"/>
      <c r="E687" s="18"/>
    </row>
    <row r="688" spans="1:5" ht="15.75" customHeight="1" x14ac:dyDescent="0.25">
      <c r="A688" s="15"/>
      <c r="B688" s="3"/>
      <c r="C688" s="3"/>
      <c r="D688" s="17"/>
      <c r="E688" s="18"/>
    </row>
    <row r="689" spans="1:5" ht="15.75" customHeight="1" x14ac:dyDescent="0.25">
      <c r="A689" s="15"/>
      <c r="B689" s="3"/>
      <c r="C689" s="3"/>
      <c r="D689" s="17"/>
      <c r="E689" s="18"/>
    </row>
    <row r="690" spans="1:5" ht="15.75" customHeight="1" x14ac:dyDescent="0.25">
      <c r="A690" s="15"/>
      <c r="B690" s="3"/>
      <c r="C690" s="3"/>
      <c r="D690" s="17"/>
      <c r="E690" s="18"/>
    </row>
    <row r="691" spans="1:5" ht="15.75" customHeight="1" x14ac:dyDescent="0.25">
      <c r="A691" s="15"/>
      <c r="B691" s="3"/>
      <c r="C691" s="3"/>
      <c r="D691" s="17"/>
      <c r="E691" s="18"/>
    </row>
    <row r="692" spans="1:5" ht="15.75" customHeight="1" x14ac:dyDescent="0.25">
      <c r="A692" s="15"/>
      <c r="B692" s="3"/>
      <c r="C692" s="3"/>
      <c r="D692" s="17"/>
      <c r="E692" s="18"/>
    </row>
    <row r="693" spans="1:5" ht="15.75" customHeight="1" x14ac:dyDescent="0.25">
      <c r="A693" s="15"/>
      <c r="B693" s="3"/>
      <c r="C693" s="3"/>
      <c r="D693" s="17"/>
      <c r="E693" s="18"/>
    </row>
    <row r="694" spans="1:5" ht="15.75" customHeight="1" x14ac:dyDescent="0.25">
      <c r="A694" s="15"/>
      <c r="B694" s="3"/>
      <c r="C694" s="3"/>
      <c r="D694" s="17"/>
      <c r="E694" s="18"/>
    </row>
    <row r="695" spans="1:5" ht="15.75" customHeight="1" x14ac:dyDescent="0.25">
      <c r="A695" s="15"/>
      <c r="B695" s="3"/>
      <c r="C695" s="3"/>
      <c r="D695" s="17"/>
      <c r="E695" s="18"/>
    </row>
    <row r="696" spans="1:5" ht="15.75" customHeight="1" x14ac:dyDescent="0.25">
      <c r="A696" s="15"/>
      <c r="B696" s="3"/>
      <c r="C696" s="3"/>
      <c r="D696" s="17"/>
      <c r="E696" s="18"/>
    </row>
    <row r="697" spans="1:5" ht="15.75" customHeight="1" x14ac:dyDescent="0.25">
      <c r="A697" s="15"/>
      <c r="B697" s="3"/>
      <c r="C697" s="3"/>
      <c r="D697" s="17"/>
      <c r="E697" s="18"/>
    </row>
    <row r="698" spans="1:5" ht="15.75" customHeight="1" x14ac:dyDescent="0.25">
      <c r="A698" s="15"/>
      <c r="B698" s="3"/>
      <c r="C698" s="3"/>
      <c r="D698" s="17"/>
      <c r="E698" s="18"/>
    </row>
    <row r="699" spans="1:5" ht="15.75" customHeight="1" x14ac:dyDescent="0.25">
      <c r="A699" s="15"/>
      <c r="B699" s="3"/>
      <c r="C699" s="3"/>
      <c r="D699" s="17"/>
      <c r="E699" s="18"/>
    </row>
    <row r="700" spans="1:5" ht="15.75" customHeight="1" x14ac:dyDescent="0.25">
      <c r="A700" s="15"/>
      <c r="B700" s="3"/>
      <c r="C700" s="3"/>
      <c r="D700" s="17"/>
      <c r="E700" s="18"/>
    </row>
    <row r="701" spans="1:5" ht="15.75" customHeight="1" x14ac:dyDescent="0.25">
      <c r="A701" s="15"/>
      <c r="B701" s="3"/>
      <c r="C701" s="3"/>
      <c r="D701" s="17"/>
      <c r="E701" s="18"/>
    </row>
    <row r="702" spans="1:5" ht="15.75" customHeight="1" x14ac:dyDescent="0.25">
      <c r="A702" s="15"/>
      <c r="B702" s="3"/>
      <c r="C702" s="3"/>
      <c r="D702" s="17"/>
      <c r="E702" s="18"/>
    </row>
    <row r="703" spans="1:5" ht="15.75" customHeight="1" x14ac:dyDescent="0.25">
      <c r="A703" s="15"/>
      <c r="B703" s="3"/>
      <c r="C703" s="3"/>
      <c r="D703" s="17"/>
      <c r="E703" s="18"/>
    </row>
    <row r="704" spans="1:5" ht="15.75" customHeight="1" x14ac:dyDescent="0.25">
      <c r="A704" s="15"/>
      <c r="B704" s="3"/>
      <c r="C704" s="3"/>
      <c r="D704" s="17"/>
      <c r="E704" s="18"/>
    </row>
    <row r="705" spans="1:5" ht="15.75" customHeight="1" x14ac:dyDescent="0.25">
      <c r="A705" s="15"/>
      <c r="B705" s="3"/>
      <c r="C705" s="3"/>
      <c r="D705" s="17"/>
      <c r="E705" s="18"/>
    </row>
    <row r="706" spans="1:5" ht="15.75" customHeight="1" x14ac:dyDescent="0.25">
      <c r="A706" s="15"/>
      <c r="B706" s="3"/>
      <c r="C706" s="3"/>
      <c r="D706" s="17"/>
      <c r="E706" s="18"/>
    </row>
    <row r="707" spans="1:5" ht="15.75" customHeight="1" x14ac:dyDescent="0.25">
      <c r="A707" s="15"/>
      <c r="B707" s="3"/>
      <c r="C707" s="3"/>
      <c r="D707" s="17"/>
      <c r="E707" s="18"/>
    </row>
    <row r="708" spans="1:5" ht="15.75" customHeight="1" x14ac:dyDescent="0.25">
      <c r="A708" s="15"/>
      <c r="B708" s="3"/>
      <c r="C708" s="3"/>
      <c r="D708" s="17"/>
      <c r="E708" s="18"/>
    </row>
    <row r="709" spans="1:5" ht="15.75" customHeight="1" x14ac:dyDescent="0.25">
      <c r="A709" s="15"/>
      <c r="B709" s="3"/>
      <c r="C709" s="3"/>
      <c r="D709" s="17"/>
      <c r="E709" s="18"/>
    </row>
    <row r="710" spans="1:5" ht="15.75" customHeight="1" x14ac:dyDescent="0.25">
      <c r="A710" s="15"/>
      <c r="B710" s="3"/>
      <c r="C710" s="3"/>
      <c r="D710" s="17"/>
      <c r="E710" s="18"/>
    </row>
    <row r="711" spans="1:5" ht="15.75" customHeight="1" x14ac:dyDescent="0.25">
      <c r="A711" s="15"/>
      <c r="B711" s="3"/>
      <c r="C711" s="3"/>
      <c r="D711" s="17"/>
      <c r="E711" s="18"/>
    </row>
    <row r="712" spans="1:5" ht="15.75" customHeight="1" x14ac:dyDescent="0.25">
      <c r="A712" s="15"/>
      <c r="B712" s="3"/>
      <c r="C712" s="3"/>
      <c r="D712" s="17"/>
      <c r="E712" s="18"/>
    </row>
    <row r="713" spans="1:5" ht="15.75" customHeight="1" x14ac:dyDescent="0.25">
      <c r="A713" s="15"/>
      <c r="B713" s="3"/>
      <c r="C713" s="3"/>
      <c r="D713" s="17"/>
      <c r="E713" s="18"/>
    </row>
    <row r="714" spans="1:5" ht="15.75" customHeight="1" x14ac:dyDescent="0.25">
      <c r="A714" s="15"/>
      <c r="B714" s="3"/>
      <c r="C714" s="3"/>
      <c r="D714" s="17"/>
      <c r="E714" s="18"/>
    </row>
    <row r="715" spans="1:5" ht="15.75" customHeight="1" x14ac:dyDescent="0.25">
      <c r="A715" s="15"/>
      <c r="B715" s="3"/>
      <c r="C715" s="3"/>
      <c r="D715" s="17"/>
      <c r="E715" s="18"/>
    </row>
    <row r="716" spans="1:5" ht="15.75" customHeight="1" x14ac:dyDescent="0.25">
      <c r="A716" s="15"/>
      <c r="B716" s="3"/>
      <c r="C716" s="3"/>
      <c r="D716" s="17"/>
      <c r="E716" s="18"/>
    </row>
    <row r="717" spans="1:5" ht="15.75" customHeight="1" x14ac:dyDescent="0.25">
      <c r="A717" s="15"/>
      <c r="B717" s="3"/>
      <c r="C717" s="3"/>
      <c r="D717" s="17"/>
      <c r="E717" s="18"/>
    </row>
    <row r="718" spans="1:5" ht="15.75" customHeight="1" x14ac:dyDescent="0.25">
      <c r="A718" s="15"/>
      <c r="B718" s="3"/>
      <c r="C718" s="3"/>
      <c r="D718" s="17"/>
      <c r="E718" s="18"/>
    </row>
    <row r="719" spans="1:5" ht="15.75" customHeight="1" x14ac:dyDescent="0.25">
      <c r="A719" s="15"/>
      <c r="B719" s="3"/>
      <c r="C719" s="3"/>
      <c r="D719" s="17"/>
      <c r="E719" s="18"/>
    </row>
    <row r="720" spans="1:5" ht="15.75" customHeight="1" x14ac:dyDescent="0.25">
      <c r="A720" s="15"/>
      <c r="B720" s="3"/>
      <c r="C720" s="3"/>
      <c r="D720" s="17"/>
      <c r="E720" s="18"/>
    </row>
    <row r="721" spans="1:5" ht="15.75" customHeight="1" x14ac:dyDescent="0.25">
      <c r="A721" s="15"/>
      <c r="B721" s="3"/>
      <c r="C721" s="3"/>
      <c r="D721" s="17"/>
      <c r="E721" s="18"/>
    </row>
    <row r="722" spans="1:5" ht="15.75" customHeight="1" x14ac:dyDescent="0.25">
      <c r="A722" s="15"/>
      <c r="B722" s="3"/>
      <c r="C722" s="3"/>
      <c r="D722" s="17"/>
      <c r="E722" s="18"/>
    </row>
    <row r="723" spans="1:5" ht="15.75" customHeight="1" x14ac:dyDescent="0.25">
      <c r="A723" s="15"/>
      <c r="B723" s="3"/>
      <c r="C723" s="3"/>
      <c r="D723" s="17"/>
      <c r="E723" s="18"/>
    </row>
    <row r="724" spans="1:5" ht="15.75" customHeight="1" x14ac:dyDescent="0.25">
      <c r="A724" s="15"/>
      <c r="B724" s="3"/>
      <c r="C724" s="3"/>
      <c r="D724" s="17"/>
      <c r="E724" s="18"/>
    </row>
    <row r="725" spans="1:5" ht="15.75" customHeight="1" x14ac:dyDescent="0.25">
      <c r="A725" s="15"/>
      <c r="B725" s="3"/>
      <c r="C725" s="3"/>
      <c r="D725" s="17"/>
      <c r="E725" s="18"/>
    </row>
    <row r="726" spans="1:5" ht="15.75" customHeight="1" x14ac:dyDescent="0.25">
      <c r="A726" s="15"/>
      <c r="B726" s="3"/>
      <c r="C726" s="3"/>
      <c r="D726" s="17"/>
      <c r="E726" s="18"/>
    </row>
    <row r="727" spans="1:5" ht="15.75" customHeight="1" x14ac:dyDescent="0.25">
      <c r="A727" s="15"/>
      <c r="B727" s="3"/>
      <c r="C727" s="3"/>
      <c r="D727" s="17"/>
      <c r="E727" s="18"/>
    </row>
    <row r="728" spans="1:5" ht="15.75" customHeight="1" x14ac:dyDescent="0.25">
      <c r="A728" s="15"/>
      <c r="B728" s="3"/>
      <c r="C728" s="3"/>
      <c r="D728" s="17"/>
      <c r="E728" s="18"/>
    </row>
    <row r="729" spans="1:5" ht="15.75" customHeight="1" x14ac:dyDescent="0.25">
      <c r="A729" s="15"/>
      <c r="B729" s="3"/>
      <c r="C729" s="3"/>
      <c r="D729" s="17"/>
      <c r="E729" s="18"/>
    </row>
    <row r="730" spans="1:5" ht="15.75" customHeight="1" x14ac:dyDescent="0.25">
      <c r="A730" s="15"/>
      <c r="B730" s="3"/>
      <c r="C730" s="3"/>
      <c r="D730" s="17"/>
      <c r="E730" s="18"/>
    </row>
    <row r="731" spans="1:5" ht="15.75" customHeight="1" x14ac:dyDescent="0.25">
      <c r="A731" s="15"/>
      <c r="B731" s="3"/>
      <c r="C731" s="3"/>
      <c r="D731" s="17"/>
      <c r="E731" s="18"/>
    </row>
    <row r="732" spans="1:5" ht="15.75" customHeight="1" x14ac:dyDescent="0.25">
      <c r="A732" s="15"/>
      <c r="B732" s="3"/>
      <c r="C732" s="3"/>
      <c r="D732" s="17"/>
      <c r="E732" s="18"/>
    </row>
    <row r="733" spans="1:5" ht="15.75" customHeight="1" x14ac:dyDescent="0.25">
      <c r="A733" s="15"/>
      <c r="B733" s="3"/>
      <c r="C733" s="3"/>
      <c r="D733" s="17"/>
      <c r="E733" s="18"/>
    </row>
    <row r="734" spans="1:5" ht="15.75" customHeight="1" x14ac:dyDescent="0.25">
      <c r="A734" s="15"/>
      <c r="B734" s="3"/>
      <c r="C734" s="3"/>
      <c r="D734" s="17"/>
      <c r="E734" s="18"/>
    </row>
    <row r="735" spans="1:5" ht="15.75" customHeight="1" x14ac:dyDescent="0.25">
      <c r="A735" s="15"/>
      <c r="B735" s="3"/>
      <c r="C735" s="3"/>
      <c r="D735" s="17"/>
      <c r="E735" s="18"/>
    </row>
    <row r="736" spans="1:5" ht="15.75" customHeight="1" x14ac:dyDescent="0.25">
      <c r="A736" s="15"/>
      <c r="B736" s="3"/>
      <c r="C736" s="3"/>
      <c r="D736" s="17"/>
      <c r="E736" s="18"/>
    </row>
    <row r="737" spans="1:5" ht="15.75" customHeight="1" x14ac:dyDescent="0.25">
      <c r="A737" s="15"/>
      <c r="B737" s="3"/>
      <c r="C737" s="3"/>
      <c r="D737" s="17"/>
      <c r="E737" s="18"/>
    </row>
    <row r="738" spans="1:5" ht="15.75" customHeight="1" x14ac:dyDescent="0.25">
      <c r="A738" s="15"/>
      <c r="B738" s="3"/>
      <c r="C738" s="3"/>
      <c r="D738" s="17"/>
      <c r="E738" s="18"/>
    </row>
    <row r="739" spans="1:5" ht="15.75" customHeight="1" x14ac:dyDescent="0.25">
      <c r="A739" s="15"/>
      <c r="B739" s="3"/>
      <c r="C739" s="3"/>
      <c r="D739" s="17"/>
      <c r="E739" s="18"/>
    </row>
    <row r="740" spans="1:5" ht="15.75" customHeight="1" x14ac:dyDescent="0.25">
      <c r="A740" s="15"/>
      <c r="B740" s="3"/>
      <c r="C740" s="3"/>
      <c r="D740" s="17"/>
      <c r="E740" s="18"/>
    </row>
    <row r="741" spans="1:5" ht="15.75" customHeight="1" x14ac:dyDescent="0.25">
      <c r="A741" s="15"/>
      <c r="B741" s="3"/>
      <c r="C741" s="3"/>
      <c r="D741" s="17"/>
      <c r="E741" s="18"/>
    </row>
    <row r="742" spans="1:5" ht="15.75" customHeight="1" x14ac:dyDescent="0.25">
      <c r="A742" s="15"/>
      <c r="B742" s="3"/>
      <c r="C742" s="3"/>
      <c r="D742" s="17"/>
      <c r="E742" s="18"/>
    </row>
    <row r="743" spans="1:5" ht="15.75" customHeight="1" x14ac:dyDescent="0.25">
      <c r="A743" s="15"/>
      <c r="B743" s="3"/>
      <c r="C743" s="3"/>
      <c r="D743" s="17"/>
      <c r="E743" s="18"/>
    </row>
    <row r="744" spans="1:5" ht="15.75" customHeight="1" x14ac:dyDescent="0.25">
      <c r="A744" s="15"/>
      <c r="B744" s="3"/>
      <c r="C744" s="3"/>
      <c r="D744" s="17"/>
      <c r="E744" s="18"/>
    </row>
    <row r="745" spans="1:5" ht="15.75" customHeight="1" x14ac:dyDescent="0.25">
      <c r="A745" s="15"/>
      <c r="B745" s="3"/>
      <c r="C745" s="3"/>
      <c r="D745" s="17"/>
      <c r="E745" s="18"/>
    </row>
    <row r="746" spans="1:5" ht="15.75" customHeight="1" x14ac:dyDescent="0.25">
      <c r="A746" s="15"/>
      <c r="B746" s="3"/>
      <c r="C746" s="3"/>
      <c r="D746" s="17"/>
      <c r="E746" s="18"/>
    </row>
    <row r="747" spans="1:5" ht="15.75" customHeight="1" x14ac:dyDescent="0.25">
      <c r="A747" s="15"/>
      <c r="B747" s="3"/>
      <c r="C747" s="3"/>
      <c r="D747" s="17"/>
      <c r="E747" s="18"/>
    </row>
    <row r="748" spans="1:5" ht="15.75" customHeight="1" x14ac:dyDescent="0.25">
      <c r="A748" s="15"/>
      <c r="B748" s="3"/>
      <c r="C748" s="3"/>
      <c r="D748" s="17"/>
      <c r="E748" s="18"/>
    </row>
    <row r="749" spans="1:5" ht="15.75" customHeight="1" x14ac:dyDescent="0.25">
      <c r="A749" s="15"/>
      <c r="B749" s="3"/>
      <c r="C749" s="3"/>
      <c r="D749" s="17"/>
      <c r="E749" s="18"/>
    </row>
    <row r="750" spans="1:5" ht="15.75" customHeight="1" x14ac:dyDescent="0.25">
      <c r="A750" s="15"/>
      <c r="B750" s="3"/>
      <c r="C750" s="3"/>
      <c r="D750" s="17"/>
      <c r="E750" s="18"/>
    </row>
    <row r="751" spans="1:5" ht="15.75" customHeight="1" x14ac:dyDescent="0.25">
      <c r="A751" s="15"/>
      <c r="B751" s="3"/>
      <c r="C751" s="3"/>
      <c r="D751" s="17"/>
      <c r="E751" s="18"/>
    </row>
    <row r="752" spans="1:5" ht="15.75" customHeight="1" x14ac:dyDescent="0.25">
      <c r="A752" s="15"/>
      <c r="B752" s="3"/>
      <c r="C752" s="3"/>
      <c r="D752" s="17"/>
      <c r="E752" s="18"/>
    </row>
    <row r="753" spans="1:5" ht="15.75" customHeight="1" x14ac:dyDescent="0.25">
      <c r="A753" s="15"/>
      <c r="B753" s="3"/>
      <c r="C753" s="3"/>
      <c r="D753" s="17"/>
      <c r="E753" s="18"/>
    </row>
    <row r="754" spans="1:5" ht="15.75" customHeight="1" x14ac:dyDescent="0.25">
      <c r="A754" s="15"/>
      <c r="B754" s="3"/>
      <c r="C754" s="3"/>
      <c r="D754" s="17"/>
      <c r="E754" s="18"/>
    </row>
    <row r="755" spans="1:5" ht="15.75" customHeight="1" x14ac:dyDescent="0.25">
      <c r="A755" s="15"/>
      <c r="B755" s="3"/>
      <c r="C755" s="3"/>
      <c r="D755" s="17"/>
      <c r="E755" s="18"/>
    </row>
    <row r="756" spans="1:5" ht="15.75" customHeight="1" x14ac:dyDescent="0.25">
      <c r="A756" s="15"/>
      <c r="B756" s="3"/>
      <c r="C756" s="3"/>
      <c r="D756" s="17"/>
      <c r="E756" s="18"/>
    </row>
    <row r="757" spans="1:5" ht="15.75" customHeight="1" x14ac:dyDescent="0.25">
      <c r="A757" s="15"/>
      <c r="B757" s="3"/>
      <c r="C757" s="3"/>
      <c r="D757" s="17"/>
      <c r="E757" s="18"/>
    </row>
    <row r="758" spans="1:5" ht="15.75" customHeight="1" x14ac:dyDescent="0.25">
      <c r="A758" s="15"/>
      <c r="B758" s="3"/>
      <c r="C758" s="3"/>
      <c r="D758" s="17"/>
      <c r="E758" s="18"/>
    </row>
    <row r="759" spans="1:5" ht="15.75" customHeight="1" x14ac:dyDescent="0.25">
      <c r="A759" s="15"/>
      <c r="B759" s="3"/>
      <c r="C759" s="3"/>
      <c r="D759" s="17"/>
      <c r="E759" s="18"/>
    </row>
    <row r="760" spans="1:5" ht="15.75" customHeight="1" x14ac:dyDescent="0.25">
      <c r="A760" s="15"/>
      <c r="B760" s="3"/>
      <c r="C760" s="3"/>
      <c r="D760" s="17"/>
      <c r="E760" s="18"/>
    </row>
    <row r="761" spans="1:5" ht="15.75" customHeight="1" x14ac:dyDescent="0.25">
      <c r="A761" s="15"/>
      <c r="B761" s="3"/>
      <c r="C761" s="3"/>
      <c r="D761" s="17"/>
      <c r="E761" s="18"/>
    </row>
    <row r="762" spans="1:5" ht="15.75" customHeight="1" x14ac:dyDescent="0.25">
      <c r="A762" s="15"/>
      <c r="B762" s="3"/>
      <c r="C762" s="3"/>
      <c r="D762" s="17"/>
      <c r="E762" s="18"/>
    </row>
    <row r="763" spans="1:5" ht="15.75" customHeight="1" x14ac:dyDescent="0.25">
      <c r="A763" s="15"/>
      <c r="B763" s="3"/>
      <c r="C763" s="3"/>
      <c r="D763" s="17"/>
      <c r="E763" s="18"/>
    </row>
    <row r="764" spans="1:5" ht="15.75" customHeight="1" x14ac:dyDescent="0.25">
      <c r="A764" s="15"/>
      <c r="B764" s="3"/>
      <c r="C764" s="3"/>
      <c r="D764" s="17"/>
      <c r="E764" s="18"/>
    </row>
    <row r="765" spans="1:5" ht="15.75" customHeight="1" x14ac:dyDescent="0.25">
      <c r="A765" s="15"/>
      <c r="B765" s="3"/>
      <c r="C765" s="3"/>
      <c r="D765" s="17"/>
      <c r="E765" s="18"/>
    </row>
    <row r="766" spans="1:5" ht="15.75" customHeight="1" x14ac:dyDescent="0.25">
      <c r="A766" s="15"/>
      <c r="B766" s="3"/>
      <c r="C766" s="3"/>
      <c r="D766" s="17"/>
      <c r="E766" s="18"/>
    </row>
    <row r="767" spans="1:5" ht="15.75" customHeight="1" x14ac:dyDescent="0.25">
      <c r="A767" s="15"/>
      <c r="B767" s="3"/>
      <c r="C767" s="3"/>
      <c r="D767" s="17"/>
      <c r="E767" s="18"/>
    </row>
    <row r="768" spans="1:5" ht="15.75" customHeight="1" x14ac:dyDescent="0.25">
      <c r="A768" s="15"/>
      <c r="B768" s="3"/>
      <c r="C768" s="3"/>
      <c r="D768" s="17"/>
      <c r="E768" s="18"/>
    </row>
    <row r="769" spans="1:5" ht="15.75" customHeight="1" x14ac:dyDescent="0.25">
      <c r="A769" s="15"/>
      <c r="B769" s="3"/>
      <c r="C769" s="3"/>
      <c r="D769" s="17"/>
      <c r="E769" s="18"/>
    </row>
    <row r="770" spans="1:5" ht="15.75" customHeight="1" x14ac:dyDescent="0.25">
      <c r="A770" s="15"/>
      <c r="B770" s="3"/>
      <c r="C770" s="3"/>
      <c r="D770" s="17"/>
      <c r="E770" s="18"/>
    </row>
    <row r="771" spans="1:5" ht="15.75" customHeight="1" x14ac:dyDescent="0.25">
      <c r="A771" s="15"/>
      <c r="B771" s="3"/>
      <c r="C771" s="3"/>
      <c r="D771" s="17"/>
      <c r="E771" s="18"/>
    </row>
    <row r="772" spans="1:5" ht="15.75" customHeight="1" x14ac:dyDescent="0.25">
      <c r="A772" s="15"/>
      <c r="B772" s="3"/>
      <c r="C772" s="3"/>
      <c r="D772" s="17"/>
      <c r="E772" s="18"/>
    </row>
    <row r="773" spans="1:5" ht="15.75" customHeight="1" x14ac:dyDescent="0.25">
      <c r="A773" s="15"/>
      <c r="B773" s="3"/>
      <c r="C773" s="3"/>
      <c r="D773" s="17"/>
      <c r="E773" s="18"/>
    </row>
    <row r="774" spans="1:5" ht="15.75" customHeight="1" x14ac:dyDescent="0.25">
      <c r="A774" s="15"/>
      <c r="B774" s="3"/>
      <c r="C774" s="3"/>
      <c r="D774" s="17"/>
      <c r="E774" s="18"/>
    </row>
    <row r="775" spans="1:5" ht="15.75" customHeight="1" x14ac:dyDescent="0.25">
      <c r="A775" s="15"/>
      <c r="B775" s="3"/>
      <c r="C775" s="3"/>
      <c r="D775" s="17"/>
      <c r="E775" s="18"/>
    </row>
    <row r="776" spans="1:5" ht="15.75" customHeight="1" x14ac:dyDescent="0.25">
      <c r="A776" s="15"/>
      <c r="B776" s="3"/>
      <c r="C776" s="3"/>
      <c r="D776" s="17"/>
      <c r="E776" s="18"/>
    </row>
    <row r="777" spans="1:5" ht="15.75" customHeight="1" x14ac:dyDescent="0.25">
      <c r="A777" s="15"/>
      <c r="B777" s="3"/>
      <c r="C777" s="3"/>
      <c r="D777" s="17"/>
      <c r="E777" s="18"/>
    </row>
    <row r="778" spans="1:5" ht="15.75" customHeight="1" x14ac:dyDescent="0.25">
      <c r="A778" s="15"/>
      <c r="B778" s="3"/>
      <c r="C778" s="3"/>
      <c r="D778" s="17"/>
      <c r="E778" s="18"/>
    </row>
    <row r="779" spans="1:5" ht="15.75" customHeight="1" x14ac:dyDescent="0.25">
      <c r="A779" s="15"/>
      <c r="B779" s="3"/>
      <c r="C779" s="3"/>
      <c r="D779" s="17"/>
      <c r="E779" s="18"/>
    </row>
    <row r="780" spans="1:5" ht="15.75" customHeight="1" x14ac:dyDescent="0.25">
      <c r="A780" s="15"/>
      <c r="B780" s="3"/>
      <c r="C780" s="3"/>
      <c r="D780" s="17"/>
      <c r="E780" s="18"/>
    </row>
    <row r="781" spans="1:5" ht="15.75" customHeight="1" x14ac:dyDescent="0.25">
      <c r="A781" s="15"/>
      <c r="B781" s="3"/>
      <c r="C781" s="3"/>
      <c r="D781" s="17"/>
      <c r="E781" s="18"/>
    </row>
    <row r="782" spans="1:5" ht="15.75" customHeight="1" x14ac:dyDescent="0.25">
      <c r="A782" s="15"/>
      <c r="B782" s="3"/>
      <c r="C782" s="3"/>
      <c r="D782" s="17"/>
      <c r="E782" s="18"/>
    </row>
    <row r="783" spans="1:5" ht="15.75" customHeight="1" x14ac:dyDescent="0.25">
      <c r="A783" s="15"/>
      <c r="B783" s="3"/>
      <c r="C783" s="3"/>
      <c r="D783" s="17"/>
      <c r="E783" s="18"/>
    </row>
    <row r="784" spans="1:5" ht="15.75" customHeight="1" x14ac:dyDescent="0.25">
      <c r="A784" s="15"/>
      <c r="B784" s="3"/>
      <c r="C784" s="3"/>
      <c r="D784" s="17"/>
      <c r="E784" s="18"/>
    </row>
    <row r="785" spans="1:5" ht="15.75" customHeight="1" x14ac:dyDescent="0.25">
      <c r="A785" s="15"/>
      <c r="B785" s="3"/>
      <c r="C785" s="3"/>
      <c r="D785" s="17"/>
      <c r="E785" s="18"/>
    </row>
    <row r="786" spans="1:5" ht="15.75" customHeight="1" x14ac:dyDescent="0.25">
      <c r="A786" s="15"/>
      <c r="B786" s="3"/>
      <c r="C786" s="3"/>
      <c r="D786" s="17"/>
      <c r="E786" s="18"/>
    </row>
    <row r="787" spans="1:5" ht="15.75" customHeight="1" x14ac:dyDescent="0.25">
      <c r="A787" s="15"/>
      <c r="B787" s="3"/>
      <c r="C787" s="3"/>
      <c r="D787" s="17"/>
      <c r="E787" s="18"/>
    </row>
    <row r="788" spans="1:5" ht="15.75" customHeight="1" x14ac:dyDescent="0.25">
      <c r="A788" s="15"/>
      <c r="B788" s="3"/>
      <c r="C788" s="3"/>
      <c r="D788" s="17"/>
      <c r="E788" s="18"/>
    </row>
    <row r="789" spans="1:5" ht="15.75" customHeight="1" x14ac:dyDescent="0.25">
      <c r="A789" s="15"/>
      <c r="B789" s="3"/>
      <c r="C789" s="3"/>
      <c r="D789" s="17"/>
      <c r="E789" s="18"/>
    </row>
    <row r="790" spans="1:5" ht="15.75" customHeight="1" x14ac:dyDescent="0.25">
      <c r="A790" s="15"/>
      <c r="B790" s="3"/>
      <c r="C790" s="3"/>
      <c r="D790" s="17"/>
      <c r="E790" s="18"/>
    </row>
    <row r="791" spans="1:5" ht="15.75" customHeight="1" x14ac:dyDescent="0.25">
      <c r="A791" s="15"/>
      <c r="B791" s="3"/>
      <c r="C791" s="3"/>
      <c r="D791" s="17"/>
      <c r="E791" s="18"/>
    </row>
    <row r="792" spans="1:5" ht="15.75" customHeight="1" x14ac:dyDescent="0.25">
      <c r="A792" s="15"/>
      <c r="B792" s="3"/>
      <c r="C792" s="3"/>
      <c r="D792" s="17"/>
      <c r="E792" s="18"/>
    </row>
    <row r="793" spans="1:5" ht="15.75" customHeight="1" x14ac:dyDescent="0.25">
      <c r="A793" s="15"/>
      <c r="B793" s="3"/>
      <c r="C793" s="3"/>
      <c r="D793" s="17"/>
      <c r="E793" s="18"/>
    </row>
    <row r="794" spans="1:5" ht="15.75" customHeight="1" x14ac:dyDescent="0.25">
      <c r="A794" s="15"/>
      <c r="B794" s="3"/>
      <c r="C794" s="3"/>
      <c r="D794" s="17"/>
      <c r="E794" s="18"/>
    </row>
    <row r="795" spans="1:5" ht="15.75" customHeight="1" x14ac:dyDescent="0.25">
      <c r="A795" s="15"/>
      <c r="B795" s="3"/>
      <c r="C795" s="3"/>
      <c r="D795" s="17"/>
      <c r="E795" s="18"/>
    </row>
    <row r="796" spans="1:5" ht="15.75" customHeight="1" x14ac:dyDescent="0.25">
      <c r="A796" s="15"/>
      <c r="B796" s="3"/>
      <c r="C796" s="3"/>
      <c r="D796" s="17"/>
      <c r="E796" s="18"/>
    </row>
    <row r="797" spans="1:5" ht="15.75" customHeight="1" x14ac:dyDescent="0.25">
      <c r="A797" s="15"/>
      <c r="B797" s="3"/>
      <c r="C797" s="3"/>
      <c r="D797" s="17"/>
      <c r="E797" s="18"/>
    </row>
    <row r="798" spans="1:5" ht="15.75" customHeight="1" x14ac:dyDescent="0.25">
      <c r="A798" s="15"/>
      <c r="B798" s="3"/>
      <c r="C798" s="3"/>
      <c r="D798" s="17"/>
      <c r="E798" s="18"/>
    </row>
    <row r="799" spans="1:5" ht="15.75" customHeight="1" x14ac:dyDescent="0.25">
      <c r="A799" s="15"/>
      <c r="B799" s="3"/>
      <c r="C799" s="3"/>
      <c r="D799" s="17"/>
      <c r="E799" s="18"/>
    </row>
    <row r="800" spans="1:5" ht="15.75" customHeight="1" x14ac:dyDescent="0.25">
      <c r="A800" s="15"/>
      <c r="B800" s="3"/>
      <c r="C800" s="3"/>
      <c r="D800" s="17"/>
      <c r="E800" s="18"/>
    </row>
    <row r="801" spans="1:5" ht="15.75" customHeight="1" x14ac:dyDescent="0.25">
      <c r="A801" s="15"/>
      <c r="B801" s="3"/>
      <c r="C801" s="3"/>
      <c r="D801" s="17"/>
      <c r="E801" s="18"/>
    </row>
    <row r="802" spans="1:5" ht="15.75" customHeight="1" x14ac:dyDescent="0.25">
      <c r="A802" s="15"/>
      <c r="B802" s="3"/>
      <c r="C802" s="3"/>
      <c r="D802" s="17"/>
      <c r="E802" s="18"/>
    </row>
    <row r="803" spans="1:5" ht="15.75" customHeight="1" x14ac:dyDescent="0.25">
      <c r="A803" s="15"/>
      <c r="B803" s="3"/>
      <c r="C803" s="3"/>
      <c r="D803" s="17"/>
      <c r="E803" s="18"/>
    </row>
    <row r="804" spans="1:5" ht="15.75" customHeight="1" x14ac:dyDescent="0.25">
      <c r="A804" s="15"/>
      <c r="B804" s="3"/>
      <c r="C804" s="3"/>
      <c r="D804" s="17"/>
      <c r="E804" s="18"/>
    </row>
    <row r="805" spans="1:5" ht="15.75" customHeight="1" x14ac:dyDescent="0.25">
      <c r="A805" s="15"/>
      <c r="B805" s="3"/>
      <c r="C805" s="3"/>
      <c r="D805" s="17"/>
      <c r="E805" s="18"/>
    </row>
    <row r="806" spans="1:5" ht="15.75" customHeight="1" x14ac:dyDescent="0.25">
      <c r="A806" s="15"/>
      <c r="B806" s="3"/>
      <c r="C806" s="3"/>
      <c r="D806" s="17"/>
      <c r="E806" s="18"/>
    </row>
    <row r="807" spans="1:5" ht="15.75" customHeight="1" x14ac:dyDescent="0.25">
      <c r="A807" s="15"/>
      <c r="B807" s="3"/>
      <c r="C807" s="3"/>
      <c r="D807" s="17"/>
      <c r="E807" s="18"/>
    </row>
    <row r="808" spans="1:5" ht="15.75" customHeight="1" x14ac:dyDescent="0.25">
      <c r="A808" s="15"/>
      <c r="B808" s="3"/>
      <c r="C808" s="3"/>
      <c r="D808" s="17"/>
      <c r="E808" s="18"/>
    </row>
    <row r="809" spans="1:5" ht="15.75" customHeight="1" x14ac:dyDescent="0.25">
      <c r="A809" s="15"/>
      <c r="B809" s="3"/>
      <c r="C809" s="3"/>
      <c r="D809" s="17"/>
      <c r="E809" s="18"/>
    </row>
    <row r="810" spans="1:5" ht="15.75" customHeight="1" x14ac:dyDescent="0.25">
      <c r="A810" s="15"/>
      <c r="B810" s="3"/>
      <c r="C810" s="3"/>
      <c r="D810" s="17"/>
      <c r="E810" s="18"/>
    </row>
    <row r="811" spans="1:5" ht="15.75" customHeight="1" x14ac:dyDescent="0.25">
      <c r="A811" s="15"/>
      <c r="B811" s="3"/>
      <c r="C811" s="3"/>
      <c r="D811" s="17"/>
      <c r="E811" s="18"/>
    </row>
    <row r="812" spans="1:5" ht="15.75" customHeight="1" x14ac:dyDescent="0.25">
      <c r="A812" s="15"/>
      <c r="B812" s="3"/>
      <c r="C812" s="3"/>
      <c r="D812" s="17"/>
      <c r="E812" s="18"/>
    </row>
    <row r="813" spans="1:5" ht="15.75" customHeight="1" x14ac:dyDescent="0.25">
      <c r="A813" s="15"/>
      <c r="B813" s="3"/>
      <c r="C813" s="3"/>
      <c r="D813" s="17"/>
      <c r="E813" s="18"/>
    </row>
    <row r="814" spans="1:5" ht="15.75" customHeight="1" x14ac:dyDescent="0.25">
      <c r="A814" s="15"/>
      <c r="B814" s="3"/>
      <c r="C814" s="3"/>
      <c r="D814" s="17"/>
      <c r="E814" s="18"/>
    </row>
    <row r="815" spans="1:5" ht="15.75" customHeight="1" x14ac:dyDescent="0.25">
      <c r="A815" s="15"/>
      <c r="B815" s="3"/>
      <c r="C815" s="3"/>
      <c r="D815" s="17"/>
      <c r="E815" s="18"/>
    </row>
    <row r="816" spans="1:5" ht="15.75" customHeight="1" x14ac:dyDescent="0.25">
      <c r="A816" s="15"/>
      <c r="B816" s="3"/>
      <c r="C816" s="3"/>
      <c r="D816" s="17"/>
      <c r="E816" s="18"/>
    </row>
    <row r="817" spans="1:5" ht="15.75" customHeight="1" x14ac:dyDescent="0.25">
      <c r="A817" s="15"/>
      <c r="B817" s="3"/>
      <c r="C817" s="3"/>
      <c r="D817" s="17"/>
      <c r="E817" s="18"/>
    </row>
    <row r="818" spans="1:5" ht="15.75" customHeight="1" x14ac:dyDescent="0.25">
      <c r="A818" s="15"/>
      <c r="B818" s="3"/>
      <c r="C818" s="3"/>
      <c r="D818" s="17"/>
      <c r="E818" s="18"/>
    </row>
    <row r="819" spans="1:5" ht="15.75" customHeight="1" x14ac:dyDescent="0.25">
      <c r="A819" s="15"/>
      <c r="B819" s="3"/>
      <c r="C819" s="3"/>
      <c r="D819" s="17"/>
      <c r="E819" s="18"/>
    </row>
    <row r="820" spans="1:5" ht="15.75" customHeight="1" x14ac:dyDescent="0.25">
      <c r="A820" s="15"/>
      <c r="B820" s="3"/>
      <c r="C820" s="3"/>
      <c r="D820" s="17"/>
      <c r="E820" s="18"/>
    </row>
    <row r="821" spans="1:5" ht="15.75" customHeight="1" x14ac:dyDescent="0.25">
      <c r="A821" s="15"/>
      <c r="B821" s="3"/>
      <c r="C821" s="3"/>
      <c r="D821" s="17"/>
      <c r="E821" s="18"/>
    </row>
    <row r="822" spans="1:5" ht="15.75" customHeight="1" x14ac:dyDescent="0.25">
      <c r="A822" s="15"/>
      <c r="B822" s="3"/>
      <c r="C822" s="3"/>
      <c r="D822" s="17"/>
      <c r="E822" s="18"/>
    </row>
    <row r="823" spans="1:5" ht="15.75" customHeight="1" x14ac:dyDescent="0.25">
      <c r="A823" s="15"/>
      <c r="B823" s="3"/>
      <c r="C823" s="3"/>
      <c r="D823" s="17"/>
      <c r="E823" s="18"/>
    </row>
    <row r="824" spans="1:5" ht="15.75" customHeight="1" x14ac:dyDescent="0.25">
      <c r="A824" s="15"/>
      <c r="B824" s="3"/>
      <c r="C824" s="3"/>
      <c r="D824" s="17"/>
      <c r="E824" s="18"/>
    </row>
    <row r="825" spans="1:5" ht="15.75" customHeight="1" x14ac:dyDescent="0.25">
      <c r="A825" s="15"/>
      <c r="B825" s="3"/>
      <c r="C825" s="3"/>
      <c r="D825" s="17"/>
      <c r="E825" s="18"/>
    </row>
    <row r="826" spans="1:5" ht="15.75" customHeight="1" x14ac:dyDescent="0.25">
      <c r="A826" s="15"/>
      <c r="B826" s="3"/>
      <c r="C826" s="3"/>
      <c r="D826" s="17"/>
      <c r="E826" s="18"/>
    </row>
    <row r="827" spans="1:5" ht="15.75" customHeight="1" x14ac:dyDescent="0.25">
      <c r="A827" s="15"/>
      <c r="B827" s="3"/>
      <c r="C827" s="3"/>
      <c r="D827" s="17"/>
      <c r="E827" s="18"/>
    </row>
    <row r="828" spans="1:5" ht="15.75" customHeight="1" x14ac:dyDescent="0.25">
      <c r="A828" s="15"/>
      <c r="B828" s="3"/>
      <c r="C828" s="3"/>
      <c r="D828" s="17"/>
      <c r="E828" s="18"/>
    </row>
    <row r="829" spans="1:5" ht="15.75" customHeight="1" x14ac:dyDescent="0.25">
      <c r="A829" s="15"/>
      <c r="B829" s="3"/>
      <c r="C829" s="3"/>
      <c r="D829" s="17"/>
      <c r="E829" s="18"/>
    </row>
    <row r="830" spans="1:5" ht="15.75" customHeight="1" x14ac:dyDescent="0.25">
      <c r="A830" s="15"/>
      <c r="B830" s="3"/>
      <c r="C830" s="3"/>
      <c r="D830" s="17"/>
      <c r="E830" s="18"/>
    </row>
    <row r="831" spans="1:5" ht="15.75" customHeight="1" x14ac:dyDescent="0.25">
      <c r="A831" s="15"/>
      <c r="B831" s="3"/>
      <c r="C831" s="3"/>
      <c r="D831" s="17"/>
      <c r="E831" s="18"/>
    </row>
    <row r="832" spans="1:5" ht="15.75" customHeight="1" x14ac:dyDescent="0.25">
      <c r="A832" s="15"/>
      <c r="B832" s="3"/>
      <c r="C832" s="3"/>
      <c r="D832" s="17"/>
      <c r="E832" s="18"/>
    </row>
    <row r="833" spans="1:5" ht="15.75" customHeight="1" x14ac:dyDescent="0.25">
      <c r="A833" s="15"/>
      <c r="B833" s="3"/>
      <c r="C833" s="3"/>
      <c r="D833" s="17"/>
      <c r="E833" s="18"/>
    </row>
    <row r="834" spans="1:5" ht="15.75" customHeight="1" x14ac:dyDescent="0.25">
      <c r="A834" s="15"/>
      <c r="B834" s="3"/>
      <c r="C834" s="3"/>
      <c r="D834" s="17"/>
      <c r="E834" s="18"/>
    </row>
    <row r="835" spans="1:5" ht="15.75" customHeight="1" x14ac:dyDescent="0.25">
      <c r="A835" s="15"/>
      <c r="B835" s="3"/>
      <c r="C835" s="3"/>
      <c r="D835" s="17"/>
      <c r="E835" s="18"/>
    </row>
    <row r="836" spans="1:5" ht="15.75" customHeight="1" x14ac:dyDescent="0.25">
      <c r="A836" s="15"/>
      <c r="B836" s="3"/>
      <c r="C836" s="3"/>
      <c r="D836" s="17"/>
      <c r="E836" s="18"/>
    </row>
    <row r="837" spans="1:5" ht="15.75" customHeight="1" x14ac:dyDescent="0.25">
      <c r="A837" s="15"/>
      <c r="B837" s="3"/>
      <c r="C837" s="3"/>
      <c r="D837" s="17"/>
      <c r="E837" s="18"/>
    </row>
    <row r="838" spans="1:5" ht="15.75" customHeight="1" x14ac:dyDescent="0.25">
      <c r="A838" s="15"/>
      <c r="B838" s="3"/>
      <c r="C838" s="3"/>
      <c r="D838" s="17"/>
      <c r="E838" s="18"/>
    </row>
    <row r="839" spans="1:5" ht="15.75" customHeight="1" x14ac:dyDescent="0.25">
      <c r="A839" s="15"/>
      <c r="B839" s="3"/>
      <c r="C839" s="3"/>
      <c r="D839" s="17"/>
      <c r="E839" s="18"/>
    </row>
    <row r="840" spans="1:5" ht="15.75" customHeight="1" x14ac:dyDescent="0.25">
      <c r="A840" s="15"/>
      <c r="B840" s="3"/>
      <c r="C840" s="3"/>
      <c r="D840" s="17"/>
      <c r="E840" s="18"/>
    </row>
    <row r="841" spans="1:5" ht="15.75" customHeight="1" x14ac:dyDescent="0.25">
      <c r="A841" s="15"/>
      <c r="B841" s="3"/>
      <c r="C841" s="3"/>
      <c r="D841" s="17"/>
      <c r="E841" s="18"/>
    </row>
    <row r="842" spans="1:5" ht="15.75" customHeight="1" x14ac:dyDescent="0.25">
      <c r="A842" s="15"/>
      <c r="B842" s="3"/>
      <c r="C842" s="3"/>
      <c r="D842" s="17"/>
      <c r="E842" s="18"/>
    </row>
    <row r="843" spans="1:5" ht="15.75" customHeight="1" x14ac:dyDescent="0.25">
      <c r="A843" s="15"/>
      <c r="B843" s="3"/>
      <c r="C843" s="3"/>
      <c r="D843" s="17"/>
      <c r="E843" s="18"/>
    </row>
    <row r="844" spans="1:5" ht="15.75" customHeight="1" x14ac:dyDescent="0.25">
      <c r="A844" s="15"/>
      <c r="B844" s="3"/>
      <c r="C844" s="3"/>
      <c r="D844" s="17"/>
      <c r="E844" s="18"/>
    </row>
    <row r="845" spans="1:5" ht="15.75" customHeight="1" x14ac:dyDescent="0.25">
      <c r="A845" s="15"/>
      <c r="B845" s="3"/>
      <c r="C845" s="3"/>
      <c r="D845" s="17"/>
      <c r="E845" s="18"/>
    </row>
    <row r="846" spans="1:5" ht="15.75" customHeight="1" x14ac:dyDescent="0.25">
      <c r="A846" s="15"/>
      <c r="B846" s="3"/>
      <c r="C846" s="3"/>
      <c r="D846" s="17"/>
      <c r="E846" s="18"/>
    </row>
    <row r="847" spans="1:5" ht="15.75" customHeight="1" x14ac:dyDescent="0.25">
      <c r="A847" s="15"/>
      <c r="B847" s="3"/>
      <c r="C847" s="3"/>
      <c r="D847" s="17"/>
      <c r="E847" s="18"/>
    </row>
    <row r="848" spans="1:5" ht="15.75" customHeight="1" x14ac:dyDescent="0.25">
      <c r="A848" s="15"/>
      <c r="B848" s="3"/>
      <c r="C848" s="3"/>
      <c r="D848" s="17"/>
      <c r="E848" s="18"/>
    </row>
    <row r="849" spans="1:5" ht="15.75" customHeight="1" x14ac:dyDescent="0.25">
      <c r="A849" s="15"/>
      <c r="B849" s="3"/>
      <c r="C849" s="3"/>
      <c r="D849" s="17"/>
      <c r="E849" s="18"/>
    </row>
    <row r="850" spans="1:5" ht="15.75" customHeight="1" x14ac:dyDescent="0.25">
      <c r="A850" s="15"/>
      <c r="B850" s="3"/>
      <c r="C850" s="3"/>
      <c r="D850" s="17"/>
      <c r="E850" s="18"/>
    </row>
    <row r="851" spans="1:5" ht="15.75" customHeight="1" x14ac:dyDescent="0.25">
      <c r="A851" s="15"/>
      <c r="B851" s="3"/>
      <c r="C851" s="3"/>
      <c r="D851" s="17"/>
      <c r="E851" s="18"/>
    </row>
    <row r="852" spans="1:5" ht="15.75" customHeight="1" x14ac:dyDescent="0.25">
      <c r="A852" s="15"/>
      <c r="B852" s="3"/>
      <c r="C852" s="3"/>
      <c r="D852" s="17"/>
      <c r="E852" s="18"/>
    </row>
    <row r="853" spans="1:5" ht="15.75" customHeight="1" x14ac:dyDescent="0.25">
      <c r="A853" s="15"/>
      <c r="B853" s="3"/>
      <c r="C853" s="3"/>
      <c r="D853" s="17"/>
      <c r="E853" s="18"/>
    </row>
    <row r="854" spans="1:5" ht="15.75" customHeight="1" x14ac:dyDescent="0.25">
      <c r="A854" s="15"/>
      <c r="B854" s="3"/>
      <c r="C854" s="3"/>
      <c r="D854" s="17"/>
      <c r="E854" s="18"/>
    </row>
    <row r="855" spans="1:5" ht="15.75" customHeight="1" x14ac:dyDescent="0.25">
      <c r="A855" s="15"/>
      <c r="B855" s="3"/>
      <c r="C855" s="3"/>
      <c r="D855" s="17"/>
      <c r="E855" s="18"/>
    </row>
    <row r="856" spans="1:5" ht="15.75" customHeight="1" x14ac:dyDescent="0.25">
      <c r="A856" s="15"/>
      <c r="B856" s="3"/>
      <c r="C856" s="3"/>
      <c r="D856" s="17"/>
      <c r="E856" s="18"/>
    </row>
    <row r="857" spans="1:5" ht="15.75" customHeight="1" x14ac:dyDescent="0.25">
      <c r="A857" s="15"/>
      <c r="B857" s="3"/>
      <c r="C857" s="3"/>
      <c r="D857" s="17"/>
      <c r="E857" s="18"/>
    </row>
    <row r="858" spans="1:5" ht="15.75" customHeight="1" x14ac:dyDescent="0.25">
      <c r="A858" s="15"/>
      <c r="B858" s="3"/>
      <c r="C858" s="3"/>
      <c r="D858" s="17"/>
      <c r="E858" s="18"/>
    </row>
    <row r="859" spans="1:5" ht="15.75" customHeight="1" x14ac:dyDescent="0.25">
      <c r="A859" s="15"/>
      <c r="B859" s="3"/>
      <c r="C859" s="3"/>
      <c r="D859" s="17"/>
      <c r="E859" s="18"/>
    </row>
    <row r="860" spans="1:5" ht="15.75" customHeight="1" x14ac:dyDescent="0.25">
      <c r="A860" s="15"/>
      <c r="B860" s="3"/>
      <c r="C860" s="3"/>
      <c r="D860" s="17"/>
      <c r="E860" s="18"/>
    </row>
    <row r="861" spans="1:5" ht="15.75" customHeight="1" x14ac:dyDescent="0.25">
      <c r="A861" s="15"/>
      <c r="B861" s="3"/>
      <c r="C861" s="3"/>
      <c r="D861" s="17"/>
      <c r="E861" s="18"/>
    </row>
    <row r="862" spans="1:5" ht="15.75" customHeight="1" x14ac:dyDescent="0.25">
      <c r="A862" s="15"/>
      <c r="B862" s="3"/>
      <c r="C862" s="3"/>
      <c r="D862" s="17"/>
      <c r="E862" s="18"/>
    </row>
    <row r="863" spans="1:5" ht="15.75" customHeight="1" x14ac:dyDescent="0.25">
      <c r="A863" s="15"/>
      <c r="B863" s="3"/>
      <c r="C863" s="3"/>
      <c r="D863" s="17"/>
      <c r="E863" s="18"/>
    </row>
    <row r="864" spans="1:5" ht="15.75" customHeight="1" x14ac:dyDescent="0.25">
      <c r="A864" s="15"/>
      <c r="B864" s="3"/>
      <c r="C864" s="3"/>
      <c r="D864" s="17"/>
      <c r="E864" s="18"/>
    </row>
    <row r="865" spans="1:5" ht="15.75" customHeight="1" x14ac:dyDescent="0.25">
      <c r="A865" s="15"/>
      <c r="B865" s="3"/>
      <c r="C865" s="3"/>
      <c r="D865" s="17"/>
      <c r="E865" s="18"/>
    </row>
    <row r="866" spans="1:5" ht="15.75" customHeight="1" x14ac:dyDescent="0.25">
      <c r="A866" s="15"/>
      <c r="B866" s="3"/>
      <c r="C866" s="3"/>
      <c r="D866" s="17"/>
      <c r="E866" s="18"/>
    </row>
    <row r="867" spans="1:5" ht="15.75" customHeight="1" x14ac:dyDescent="0.25">
      <c r="A867" s="15"/>
      <c r="B867" s="3"/>
      <c r="C867" s="3"/>
      <c r="D867" s="17"/>
      <c r="E867" s="18"/>
    </row>
    <row r="868" spans="1:5" ht="15.75" customHeight="1" x14ac:dyDescent="0.25">
      <c r="A868" s="15"/>
      <c r="B868" s="3"/>
      <c r="C868" s="3"/>
      <c r="D868" s="17"/>
      <c r="E868" s="18"/>
    </row>
    <row r="869" spans="1:5" ht="15.75" customHeight="1" x14ac:dyDescent="0.25">
      <c r="A869" s="15"/>
      <c r="B869" s="3"/>
      <c r="C869" s="3"/>
      <c r="D869" s="17"/>
      <c r="E869" s="18"/>
    </row>
    <row r="870" spans="1:5" ht="15.75" customHeight="1" x14ac:dyDescent="0.25">
      <c r="A870" s="15"/>
      <c r="B870" s="3"/>
      <c r="C870" s="3"/>
      <c r="D870" s="17"/>
      <c r="E870" s="18"/>
    </row>
    <row r="871" spans="1:5" ht="15.75" customHeight="1" x14ac:dyDescent="0.25">
      <c r="A871" s="15"/>
      <c r="B871" s="3"/>
      <c r="C871" s="3"/>
      <c r="D871" s="17"/>
      <c r="E871" s="18"/>
    </row>
    <row r="872" spans="1:5" ht="15.75" customHeight="1" x14ac:dyDescent="0.25">
      <c r="A872" s="15"/>
      <c r="B872" s="3"/>
      <c r="C872" s="3"/>
      <c r="D872" s="17"/>
      <c r="E872" s="18"/>
    </row>
    <row r="873" spans="1:5" ht="15.75" customHeight="1" x14ac:dyDescent="0.25">
      <c r="A873" s="15"/>
      <c r="B873" s="3"/>
      <c r="C873" s="3"/>
      <c r="D873" s="17"/>
      <c r="E873" s="18"/>
    </row>
    <row r="874" spans="1:5" ht="15.75" customHeight="1" x14ac:dyDescent="0.25">
      <c r="A874" s="15"/>
      <c r="B874" s="3"/>
      <c r="C874" s="3"/>
      <c r="D874" s="17"/>
      <c r="E874" s="18"/>
    </row>
    <row r="875" spans="1:5" ht="15.75" customHeight="1" x14ac:dyDescent="0.25">
      <c r="A875" s="15"/>
      <c r="B875" s="3"/>
      <c r="C875" s="3"/>
      <c r="D875" s="17"/>
      <c r="E875" s="18"/>
    </row>
    <row r="876" spans="1:5" ht="15.75" customHeight="1" x14ac:dyDescent="0.25">
      <c r="A876" s="15"/>
      <c r="B876" s="3"/>
      <c r="C876" s="3"/>
      <c r="D876" s="17"/>
      <c r="E876" s="18"/>
    </row>
    <row r="877" spans="1:5" ht="15.75" customHeight="1" x14ac:dyDescent="0.25">
      <c r="A877" s="15"/>
      <c r="B877" s="3"/>
      <c r="C877" s="3"/>
      <c r="D877" s="17"/>
      <c r="E877" s="18"/>
    </row>
    <row r="878" spans="1:5" ht="15.75" customHeight="1" x14ac:dyDescent="0.25">
      <c r="A878" s="15"/>
      <c r="B878" s="3"/>
      <c r="C878" s="3"/>
      <c r="D878" s="17"/>
      <c r="E878" s="18"/>
    </row>
    <row r="879" spans="1:5" ht="15.75" customHeight="1" x14ac:dyDescent="0.25">
      <c r="A879" s="15"/>
      <c r="B879" s="3"/>
      <c r="C879" s="3"/>
      <c r="D879" s="17"/>
      <c r="E879" s="18"/>
    </row>
    <row r="880" spans="1:5" ht="15.75" customHeight="1" x14ac:dyDescent="0.25">
      <c r="A880" s="15"/>
      <c r="B880" s="3"/>
      <c r="C880" s="3"/>
      <c r="D880" s="17"/>
      <c r="E880" s="18"/>
    </row>
    <row r="881" spans="1:5" ht="15.75" customHeight="1" x14ac:dyDescent="0.25">
      <c r="A881" s="15"/>
      <c r="B881" s="3"/>
      <c r="C881" s="3"/>
      <c r="D881" s="17"/>
      <c r="E881" s="18"/>
    </row>
    <row r="882" spans="1:5" ht="15.75" customHeight="1" x14ac:dyDescent="0.25">
      <c r="A882" s="15"/>
      <c r="B882" s="3"/>
      <c r="C882" s="3"/>
      <c r="D882" s="17"/>
      <c r="E882" s="18"/>
    </row>
    <row r="883" spans="1:5" ht="15.75" customHeight="1" x14ac:dyDescent="0.25">
      <c r="A883" s="15"/>
      <c r="B883" s="3"/>
      <c r="C883" s="3"/>
      <c r="D883" s="17"/>
      <c r="E883" s="18"/>
    </row>
    <row r="884" spans="1:5" ht="15.75" customHeight="1" x14ac:dyDescent="0.25">
      <c r="A884" s="15"/>
      <c r="B884" s="3"/>
      <c r="C884" s="3"/>
      <c r="D884" s="17"/>
      <c r="E884" s="18"/>
    </row>
    <row r="885" spans="1:5" ht="15.75" customHeight="1" x14ac:dyDescent="0.25">
      <c r="A885" s="15"/>
      <c r="B885" s="3"/>
      <c r="C885" s="3"/>
      <c r="D885" s="17"/>
      <c r="E885" s="18"/>
    </row>
    <row r="886" spans="1:5" ht="15.75" customHeight="1" x14ac:dyDescent="0.25">
      <c r="A886" s="15"/>
      <c r="B886" s="3"/>
      <c r="C886" s="3"/>
      <c r="D886" s="17"/>
      <c r="E886" s="18"/>
    </row>
    <row r="887" spans="1:5" ht="15.75" customHeight="1" x14ac:dyDescent="0.25">
      <c r="A887" s="15"/>
      <c r="B887" s="3"/>
      <c r="C887" s="3"/>
      <c r="D887" s="17"/>
      <c r="E887" s="18"/>
    </row>
    <row r="888" spans="1:5" ht="15.75" customHeight="1" x14ac:dyDescent="0.25">
      <c r="A888" s="15"/>
      <c r="B888" s="3"/>
      <c r="C888" s="3"/>
      <c r="D888" s="17"/>
      <c r="E888" s="18"/>
    </row>
    <row r="889" spans="1:5" ht="15.75" customHeight="1" x14ac:dyDescent="0.25">
      <c r="A889" s="15"/>
      <c r="B889" s="3"/>
      <c r="C889" s="3"/>
      <c r="D889" s="17"/>
      <c r="E889" s="18"/>
    </row>
    <row r="890" spans="1:5" ht="15.75" customHeight="1" x14ac:dyDescent="0.25">
      <c r="A890" s="15"/>
      <c r="B890" s="3"/>
      <c r="C890" s="3"/>
      <c r="D890" s="17"/>
      <c r="E890" s="18"/>
    </row>
    <row r="891" spans="1:5" ht="15.75" customHeight="1" x14ac:dyDescent="0.25">
      <c r="A891" s="15"/>
      <c r="B891" s="3"/>
      <c r="C891" s="3"/>
      <c r="D891" s="17"/>
      <c r="E891" s="18"/>
    </row>
    <row r="892" spans="1:5" ht="15.75" customHeight="1" x14ac:dyDescent="0.25">
      <c r="A892" s="15"/>
      <c r="B892" s="3"/>
      <c r="C892" s="3"/>
      <c r="D892" s="17"/>
      <c r="E892" s="18"/>
    </row>
    <row r="893" spans="1:5" ht="15.75" customHeight="1" x14ac:dyDescent="0.25">
      <c r="A893" s="15"/>
      <c r="B893" s="3"/>
      <c r="C893" s="3"/>
      <c r="D893" s="17"/>
      <c r="E893" s="18"/>
    </row>
    <row r="894" spans="1:5" ht="15.75" customHeight="1" x14ac:dyDescent="0.25">
      <c r="A894" s="15"/>
      <c r="B894" s="3"/>
      <c r="C894" s="3"/>
      <c r="D894" s="17"/>
      <c r="E894" s="18"/>
    </row>
    <row r="895" spans="1:5" ht="15.75" customHeight="1" x14ac:dyDescent="0.25">
      <c r="A895" s="15"/>
      <c r="B895" s="3"/>
      <c r="C895" s="3"/>
      <c r="D895" s="17"/>
      <c r="E895" s="18"/>
    </row>
    <row r="896" spans="1:5" ht="15.75" customHeight="1" x14ac:dyDescent="0.25">
      <c r="A896" s="15"/>
      <c r="B896" s="3"/>
      <c r="C896" s="3"/>
      <c r="D896" s="17"/>
      <c r="E896" s="18"/>
    </row>
    <row r="897" spans="1:5" ht="15.75" customHeight="1" x14ac:dyDescent="0.25">
      <c r="A897" s="15"/>
      <c r="B897" s="3"/>
      <c r="C897" s="3"/>
      <c r="D897" s="17"/>
      <c r="E897" s="18"/>
    </row>
    <row r="898" spans="1:5" ht="15.75" customHeight="1" x14ac:dyDescent="0.25">
      <c r="A898" s="15"/>
      <c r="B898" s="3"/>
      <c r="C898" s="3"/>
      <c r="D898" s="17"/>
      <c r="E898" s="18"/>
    </row>
    <row r="899" spans="1:5" ht="15.75" customHeight="1" x14ac:dyDescent="0.25">
      <c r="A899" s="15"/>
      <c r="B899" s="3"/>
      <c r="C899" s="3"/>
      <c r="D899" s="17"/>
      <c r="E899" s="18"/>
    </row>
    <row r="900" spans="1:5" ht="15.75" customHeight="1" x14ac:dyDescent="0.25">
      <c r="A900" s="15"/>
      <c r="B900" s="3"/>
      <c r="C900" s="3"/>
      <c r="D900" s="17"/>
      <c r="E900" s="18"/>
    </row>
    <row r="901" spans="1:5" ht="15.75" customHeight="1" x14ac:dyDescent="0.25">
      <c r="A901" s="15"/>
      <c r="B901" s="3"/>
      <c r="C901" s="3"/>
      <c r="D901" s="17"/>
      <c r="E901" s="18"/>
    </row>
    <row r="902" spans="1:5" ht="15.75" customHeight="1" x14ac:dyDescent="0.25">
      <c r="A902" s="15"/>
      <c r="B902" s="3"/>
      <c r="C902" s="3"/>
      <c r="D902" s="17"/>
      <c r="E902" s="18"/>
    </row>
    <row r="903" spans="1:5" ht="15.75" customHeight="1" x14ac:dyDescent="0.25">
      <c r="A903" s="15"/>
      <c r="B903" s="3"/>
      <c r="C903" s="3"/>
      <c r="D903" s="17"/>
      <c r="E903" s="18"/>
    </row>
    <row r="904" spans="1:5" ht="15.75" customHeight="1" x14ac:dyDescent="0.25">
      <c r="A904" s="15"/>
      <c r="B904" s="3"/>
      <c r="C904" s="3"/>
      <c r="D904" s="17"/>
      <c r="E904" s="18"/>
    </row>
    <row r="905" spans="1:5" ht="15.75" customHeight="1" x14ac:dyDescent="0.25">
      <c r="A905" s="15"/>
      <c r="B905" s="3"/>
      <c r="C905" s="3"/>
      <c r="D905" s="17"/>
      <c r="E905" s="18"/>
    </row>
    <row r="906" spans="1:5" ht="15.75" customHeight="1" x14ac:dyDescent="0.25">
      <c r="A906" s="15"/>
      <c r="B906" s="3"/>
      <c r="C906" s="3"/>
      <c r="D906" s="17"/>
      <c r="E906" s="18"/>
    </row>
    <row r="907" spans="1:5" ht="15.75" customHeight="1" x14ac:dyDescent="0.25">
      <c r="A907" s="15"/>
      <c r="B907" s="3"/>
      <c r="C907" s="3"/>
      <c r="D907" s="17"/>
      <c r="E907" s="18"/>
    </row>
    <row r="908" spans="1:5" ht="15.75" customHeight="1" x14ac:dyDescent="0.25">
      <c r="A908" s="15"/>
      <c r="B908" s="3"/>
      <c r="C908" s="3"/>
      <c r="D908" s="17"/>
      <c r="E908" s="18"/>
    </row>
    <row r="909" spans="1:5" ht="15.75" customHeight="1" x14ac:dyDescent="0.25">
      <c r="A909" s="15"/>
      <c r="B909" s="3"/>
      <c r="C909" s="3"/>
      <c r="D909" s="17"/>
      <c r="E909" s="18"/>
    </row>
    <row r="910" spans="1:5" ht="15.75" customHeight="1" x14ac:dyDescent="0.25">
      <c r="A910" s="15"/>
      <c r="B910" s="3"/>
      <c r="C910" s="3"/>
      <c r="D910" s="17"/>
      <c r="E910" s="18"/>
    </row>
    <row r="911" spans="1:5" ht="15.75" customHeight="1" x14ac:dyDescent="0.25">
      <c r="A911" s="15"/>
      <c r="B911" s="3"/>
      <c r="C911" s="3"/>
      <c r="D911" s="17"/>
      <c r="E911" s="18"/>
    </row>
    <row r="912" spans="1:5" ht="15.75" customHeight="1" x14ac:dyDescent="0.25">
      <c r="A912" s="15"/>
      <c r="B912" s="3"/>
      <c r="C912" s="3"/>
      <c r="D912" s="17"/>
      <c r="E912" s="18"/>
    </row>
    <row r="913" spans="1:5" ht="15.75" customHeight="1" x14ac:dyDescent="0.25">
      <c r="A913" s="15"/>
      <c r="B913" s="3"/>
      <c r="C913" s="3"/>
      <c r="D913" s="17"/>
      <c r="E913" s="18"/>
    </row>
    <row r="914" spans="1:5" ht="15.75" customHeight="1" x14ac:dyDescent="0.25">
      <c r="A914" s="15"/>
      <c r="B914" s="3"/>
      <c r="C914" s="3"/>
      <c r="D914" s="17"/>
      <c r="E914" s="18"/>
    </row>
    <row r="915" spans="1:5" ht="15.75" customHeight="1" x14ac:dyDescent="0.25">
      <c r="A915" s="15"/>
      <c r="B915" s="3"/>
      <c r="C915" s="3"/>
      <c r="D915" s="17"/>
      <c r="E915" s="18"/>
    </row>
    <row r="916" spans="1:5" ht="15.75" customHeight="1" x14ac:dyDescent="0.25">
      <c r="A916" s="15"/>
      <c r="B916" s="3"/>
      <c r="C916" s="3"/>
      <c r="D916" s="17"/>
      <c r="E916" s="18"/>
    </row>
    <row r="917" spans="1:5" ht="15.75" customHeight="1" x14ac:dyDescent="0.25">
      <c r="A917" s="15"/>
      <c r="B917" s="3"/>
      <c r="C917" s="3"/>
      <c r="D917" s="17"/>
      <c r="E917" s="18"/>
    </row>
    <row r="918" spans="1:5" ht="15.75" customHeight="1" x14ac:dyDescent="0.25">
      <c r="A918" s="15"/>
      <c r="B918" s="3"/>
      <c r="C918" s="3"/>
      <c r="D918" s="17"/>
      <c r="E918" s="18"/>
    </row>
    <row r="919" spans="1:5" ht="15.75" customHeight="1" x14ac:dyDescent="0.25">
      <c r="A919" s="15"/>
      <c r="B919" s="3"/>
      <c r="C919" s="3"/>
      <c r="D919" s="17"/>
      <c r="E919" s="18"/>
    </row>
    <row r="920" spans="1:5" ht="15.75" customHeight="1" x14ac:dyDescent="0.25">
      <c r="A920" s="15"/>
      <c r="B920" s="3"/>
      <c r="C920" s="3"/>
      <c r="D920" s="17"/>
      <c r="E920" s="18"/>
    </row>
    <row r="921" spans="1:5" ht="15.75" customHeight="1" x14ac:dyDescent="0.25">
      <c r="A921" s="15"/>
      <c r="B921" s="3"/>
      <c r="C921" s="3"/>
      <c r="D921" s="17"/>
      <c r="E921" s="18"/>
    </row>
    <row r="922" spans="1:5" ht="15.75" customHeight="1" x14ac:dyDescent="0.25">
      <c r="A922" s="15"/>
      <c r="B922" s="3"/>
      <c r="C922" s="3"/>
      <c r="D922" s="17"/>
      <c r="E922" s="18"/>
    </row>
    <row r="923" spans="1:5" ht="15.75" customHeight="1" x14ac:dyDescent="0.25">
      <c r="A923" s="15"/>
      <c r="B923" s="3"/>
      <c r="C923" s="3"/>
      <c r="D923" s="17"/>
      <c r="E923" s="18"/>
    </row>
    <row r="924" spans="1:5" ht="15.75" customHeight="1" x14ac:dyDescent="0.25">
      <c r="A924" s="15"/>
      <c r="B924" s="3"/>
      <c r="C924" s="3"/>
      <c r="D924" s="17"/>
      <c r="E924" s="18"/>
    </row>
    <row r="925" spans="1:5" ht="15.75" customHeight="1" x14ac:dyDescent="0.25">
      <c r="A925" s="15"/>
      <c r="B925" s="3"/>
      <c r="C925" s="3"/>
      <c r="D925" s="17"/>
      <c r="E925" s="18"/>
    </row>
    <row r="926" spans="1:5" ht="15.75" customHeight="1" x14ac:dyDescent="0.25">
      <c r="A926" s="15"/>
      <c r="B926" s="3"/>
      <c r="C926" s="3"/>
      <c r="D926" s="17"/>
      <c r="E926" s="18"/>
    </row>
    <row r="927" spans="1:5" ht="15.75" customHeight="1" x14ac:dyDescent="0.25">
      <c r="A927" s="15"/>
      <c r="B927" s="3"/>
      <c r="C927" s="3"/>
      <c r="D927" s="17"/>
      <c r="E927" s="18"/>
    </row>
    <row r="928" spans="1:5" ht="15.75" customHeight="1" x14ac:dyDescent="0.25">
      <c r="A928" s="15"/>
      <c r="B928" s="3"/>
      <c r="C928" s="3"/>
      <c r="D928" s="17"/>
      <c r="E928" s="18"/>
    </row>
    <row r="929" spans="1:5" ht="15.75" customHeight="1" x14ac:dyDescent="0.25">
      <c r="A929" s="15"/>
      <c r="B929" s="3"/>
      <c r="C929" s="3"/>
      <c r="D929" s="17"/>
      <c r="E929" s="18"/>
    </row>
    <row r="930" spans="1:5" ht="15.75" customHeight="1" x14ac:dyDescent="0.25">
      <c r="A930" s="15"/>
      <c r="B930" s="3"/>
      <c r="C930" s="3"/>
      <c r="D930" s="17"/>
      <c r="E930" s="18"/>
    </row>
    <row r="931" spans="1:5" ht="15.75" customHeight="1" x14ac:dyDescent="0.25">
      <c r="A931" s="15"/>
      <c r="B931" s="3"/>
      <c r="C931" s="3"/>
      <c r="D931" s="17"/>
      <c r="E931" s="18"/>
    </row>
    <row r="932" spans="1:5" ht="15.75" customHeight="1" x14ac:dyDescent="0.25">
      <c r="A932" s="15"/>
      <c r="B932" s="3"/>
      <c r="C932" s="3"/>
      <c r="D932" s="17"/>
      <c r="E932" s="18"/>
    </row>
    <row r="933" spans="1:5" ht="15.75" customHeight="1" x14ac:dyDescent="0.25">
      <c r="A933" s="15"/>
      <c r="B933" s="3"/>
      <c r="C933" s="3"/>
      <c r="D933" s="17"/>
      <c r="E933" s="18"/>
    </row>
    <row r="934" spans="1:5" ht="15.75" customHeight="1" x14ac:dyDescent="0.25">
      <c r="A934" s="15"/>
      <c r="B934" s="3"/>
      <c r="C934" s="3"/>
      <c r="D934" s="17"/>
      <c r="E934" s="18"/>
    </row>
    <row r="935" spans="1:5" ht="15.75" customHeight="1" x14ac:dyDescent="0.25">
      <c r="A935" s="15"/>
      <c r="B935" s="3"/>
      <c r="C935" s="3"/>
      <c r="D935" s="17"/>
      <c r="E935" s="18"/>
    </row>
    <row r="936" spans="1:5" ht="15.75" customHeight="1" x14ac:dyDescent="0.25">
      <c r="A936" s="15"/>
      <c r="B936" s="3"/>
      <c r="C936" s="3"/>
      <c r="D936" s="17"/>
      <c r="E936" s="18"/>
    </row>
    <row r="937" spans="1:5" ht="15.75" customHeight="1" x14ac:dyDescent="0.25">
      <c r="A937" s="15"/>
      <c r="B937" s="3"/>
      <c r="C937" s="3"/>
      <c r="D937" s="17"/>
      <c r="E937" s="18"/>
    </row>
    <row r="938" spans="1:5" ht="15.75" customHeight="1" x14ac:dyDescent="0.25">
      <c r="A938" s="15"/>
      <c r="B938" s="3"/>
      <c r="C938" s="3"/>
      <c r="D938" s="17"/>
      <c r="E938" s="18"/>
    </row>
    <row r="939" spans="1:5" ht="15.75" customHeight="1" x14ac:dyDescent="0.25">
      <c r="A939" s="15"/>
      <c r="B939" s="3"/>
      <c r="C939" s="3"/>
      <c r="D939" s="17"/>
      <c r="E939" s="18"/>
    </row>
    <row r="940" spans="1:5" ht="15.75" customHeight="1" x14ac:dyDescent="0.25">
      <c r="A940" s="15"/>
      <c r="B940" s="3"/>
      <c r="C940" s="3"/>
      <c r="D940" s="17"/>
      <c r="E940" s="18"/>
    </row>
    <row r="941" spans="1:5" ht="15.75" customHeight="1" x14ac:dyDescent="0.25">
      <c r="A941" s="15"/>
      <c r="B941" s="3"/>
      <c r="C941" s="3"/>
      <c r="D941" s="17"/>
      <c r="E941" s="18"/>
    </row>
    <row r="942" spans="1:5" ht="15.75" customHeight="1" x14ac:dyDescent="0.25">
      <c r="A942" s="15"/>
      <c r="B942" s="3"/>
      <c r="C942" s="3"/>
      <c r="D942" s="17"/>
      <c r="E942" s="18"/>
    </row>
    <row r="943" spans="1:5" ht="15.75" customHeight="1" x14ac:dyDescent="0.25">
      <c r="A943" s="15"/>
      <c r="B943" s="3"/>
      <c r="C943" s="3"/>
      <c r="D943" s="17"/>
      <c r="E943" s="18"/>
    </row>
    <row r="944" spans="1:5" ht="15.75" customHeight="1" x14ac:dyDescent="0.25">
      <c r="A944" s="15"/>
      <c r="B944" s="3"/>
      <c r="C944" s="3"/>
      <c r="D944" s="17"/>
      <c r="E944" s="18"/>
    </row>
    <row r="945" spans="1:5" ht="15.75" customHeight="1" x14ac:dyDescent="0.25">
      <c r="A945" s="15"/>
      <c r="B945" s="3"/>
      <c r="C945" s="3"/>
      <c r="D945" s="17"/>
      <c r="E945" s="18"/>
    </row>
    <row r="946" spans="1:5" ht="15.75" customHeight="1" x14ac:dyDescent="0.25">
      <c r="A946" s="15"/>
      <c r="B946" s="3"/>
      <c r="C946" s="3"/>
      <c r="D946" s="17"/>
      <c r="E946" s="18"/>
    </row>
    <row r="947" spans="1:5" ht="15.75" customHeight="1" x14ac:dyDescent="0.25">
      <c r="A947" s="15"/>
      <c r="B947" s="3"/>
      <c r="C947" s="3"/>
      <c r="D947" s="17"/>
      <c r="E947" s="18"/>
    </row>
    <row r="948" spans="1:5" ht="15.75" customHeight="1" x14ac:dyDescent="0.25">
      <c r="A948" s="15"/>
      <c r="B948" s="3"/>
      <c r="C948" s="3"/>
      <c r="D948" s="17"/>
      <c r="E948" s="18"/>
    </row>
    <row r="949" spans="1:5" ht="15.75" customHeight="1" x14ac:dyDescent="0.25">
      <c r="A949" s="15"/>
      <c r="B949" s="3"/>
      <c r="C949" s="3"/>
      <c r="D949" s="17"/>
      <c r="E949" s="18"/>
    </row>
    <row r="950" spans="1:5" ht="15.75" customHeight="1" x14ac:dyDescent="0.25">
      <c r="A950" s="15"/>
      <c r="B950" s="3"/>
      <c r="C950" s="3"/>
      <c r="D950" s="17"/>
      <c r="E950" s="18"/>
    </row>
    <row r="951" spans="1:5" ht="15.75" customHeight="1" x14ac:dyDescent="0.25">
      <c r="A951" s="15"/>
      <c r="B951" s="3"/>
      <c r="C951" s="3"/>
      <c r="D951" s="17"/>
      <c r="E951" s="18"/>
    </row>
    <row r="952" spans="1:5" ht="15.75" customHeight="1" x14ac:dyDescent="0.25">
      <c r="A952" s="15"/>
      <c r="B952" s="3"/>
      <c r="C952" s="3"/>
      <c r="D952" s="17"/>
      <c r="E952" s="18"/>
    </row>
    <row r="953" spans="1:5" ht="15.75" customHeight="1" x14ac:dyDescent="0.25">
      <c r="A953" s="15"/>
      <c r="B953" s="3"/>
      <c r="C953" s="3"/>
      <c r="D953" s="17"/>
      <c r="E953" s="18"/>
    </row>
    <row r="954" spans="1:5" ht="15.75" customHeight="1" x14ac:dyDescent="0.25">
      <c r="A954" s="15"/>
      <c r="B954" s="3"/>
      <c r="C954" s="3"/>
      <c r="D954" s="17"/>
      <c r="E954" s="18"/>
    </row>
    <row r="955" spans="1:5" ht="15.75" customHeight="1" x14ac:dyDescent="0.25">
      <c r="A955" s="15"/>
      <c r="B955" s="3"/>
      <c r="C955" s="3"/>
      <c r="D955" s="17"/>
      <c r="E955" s="18"/>
    </row>
    <row r="956" spans="1:5" ht="15.75" customHeight="1" x14ac:dyDescent="0.25">
      <c r="A956" s="15"/>
      <c r="B956" s="3"/>
      <c r="C956" s="3"/>
      <c r="D956" s="17"/>
      <c r="E956" s="18"/>
    </row>
    <row r="957" spans="1:5" ht="15.75" customHeight="1" x14ac:dyDescent="0.25">
      <c r="A957" s="15"/>
      <c r="B957" s="3"/>
      <c r="C957" s="3"/>
      <c r="D957" s="17"/>
      <c r="E957" s="18"/>
    </row>
    <row r="958" spans="1:5" ht="15.75" customHeight="1" x14ac:dyDescent="0.25">
      <c r="A958" s="15"/>
      <c r="B958" s="3"/>
      <c r="C958" s="3"/>
      <c r="D958" s="17"/>
      <c r="E958" s="18"/>
    </row>
    <row r="959" spans="1:5" ht="15.75" customHeight="1" x14ac:dyDescent="0.25">
      <c r="A959" s="15"/>
      <c r="B959" s="3"/>
      <c r="C959" s="3"/>
      <c r="D959" s="17"/>
      <c r="E959" s="18"/>
    </row>
    <row r="960" spans="1:5" ht="15.75" customHeight="1" x14ac:dyDescent="0.25">
      <c r="A960" s="15"/>
      <c r="B960" s="3"/>
      <c r="C960" s="3"/>
      <c r="D960" s="17"/>
      <c r="E960" s="18"/>
    </row>
    <row r="961" spans="1:5" ht="15.75" customHeight="1" x14ac:dyDescent="0.25">
      <c r="A961" s="15"/>
      <c r="B961" s="3"/>
      <c r="C961" s="3"/>
      <c r="D961" s="17"/>
      <c r="E961" s="18"/>
    </row>
    <row r="962" spans="1:5" ht="15.75" customHeight="1" x14ac:dyDescent="0.25">
      <c r="A962" s="15"/>
      <c r="B962" s="3"/>
      <c r="C962" s="3"/>
      <c r="D962" s="17"/>
      <c r="E962" s="18"/>
    </row>
    <row r="963" spans="1:5" ht="15.75" customHeight="1" x14ac:dyDescent="0.25">
      <c r="A963" s="15"/>
      <c r="B963" s="3"/>
      <c r="C963" s="3"/>
      <c r="D963" s="17"/>
      <c r="E963" s="18"/>
    </row>
    <row r="964" spans="1:5" ht="15.75" customHeight="1" x14ac:dyDescent="0.25">
      <c r="A964" s="15"/>
      <c r="B964" s="3"/>
      <c r="C964" s="3"/>
      <c r="D964" s="17"/>
      <c r="E964" s="18"/>
    </row>
    <row r="965" spans="1:5" ht="15.75" customHeight="1" x14ac:dyDescent="0.25">
      <c r="A965" s="15"/>
      <c r="B965" s="3"/>
      <c r="C965" s="3"/>
      <c r="D965" s="17"/>
      <c r="E965" s="18"/>
    </row>
    <row r="966" spans="1:5" ht="15.75" customHeight="1" x14ac:dyDescent="0.25">
      <c r="A966" s="15"/>
      <c r="B966" s="3"/>
      <c r="C966" s="3"/>
      <c r="D966" s="17"/>
      <c r="E966" s="18"/>
    </row>
    <row r="967" spans="1:5" ht="15.75" customHeight="1" x14ac:dyDescent="0.25">
      <c r="A967" s="15"/>
      <c r="B967" s="3"/>
      <c r="C967" s="3"/>
      <c r="D967" s="17"/>
      <c r="E967" s="18"/>
    </row>
    <row r="968" spans="1:5" ht="15.75" customHeight="1" x14ac:dyDescent="0.25">
      <c r="A968" s="15"/>
      <c r="B968" s="3"/>
      <c r="C968" s="3"/>
      <c r="D968" s="17"/>
      <c r="E968" s="18"/>
    </row>
    <row r="969" spans="1:5" ht="15.75" customHeight="1" x14ac:dyDescent="0.25">
      <c r="A969" s="15"/>
      <c r="B969" s="3"/>
      <c r="C969" s="3"/>
      <c r="D969" s="17"/>
      <c r="E969" s="18"/>
    </row>
    <row r="970" spans="1:5" ht="15.75" customHeight="1" x14ac:dyDescent="0.25">
      <c r="A970" s="15"/>
      <c r="B970" s="3"/>
      <c r="C970" s="3"/>
      <c r="D970" s="17"/>
      <c r="E970" s="18"/>
    </row>
    <row r="971" spans="1:5" ht="15.75" customHeight="1" x14ac:dyDescent="0.25">
      <c r="A971" s="15"/>
      <c r="B971" s="3"/>
      <c r="C971" s="3"/>
      <c r="D971" s="17"/>
      <c r="E971" s="18"/>
    </row>
    <row r="972" spans="1:5" ht="15.75" customHeight="1" x14ac:dyDescent="0.25">
      <c r="A972" s="15"/>
      <c r="B972" s="3"/>
      <c r="C972" s="3"/>
      <c r="D972" s="17"/>
      <c r="E972" s="18"/>
    </row>
    <row r="973" spans="1:5" ht="15.75" customHeight="1" x14ac:dyDescent="0.25">
      <c r="A973" s="15"/>
      <c r="B973" s="3"/>
      <c r="C973" s="3"/>
      <c r="D973" s="17"/>
      <c r="E973" s="18"/>
    </row>
    <row r="974" spans="1:5" ht="15.75" customHeight="1" x14ac:dyDescent="0.25">
      <c r="A974" s="15"/>
      <c r="B974" s="3"/>
      <c r="C974" s="3"/>
      <c r="D974" s="17"/>
      <c r="E974" s="18"/>
    </row>
    <row r="975" spans="1:5" ht="15.75" customHeight="1" x14ac:dyDescent="0.25">
      <c r="A975" s="15"/>
      <c r="B975" s="3"/>
      <c r="C975" s="3"/>
      <c r="D975" s="17"/>
      <c r="E975" s="18"/>
    </row>
    <row r="976" spans="1:5" ht="15.75" customHeight="1" x14ac:dyDescent="0.25">
      <c r="A976" s="15"/>
      <c r="B976" s="3"/>
      <c r="C976" s="3"/>
      <c r="D976" s="17"/>
      <c r="E976" s="18"/>
    </row>
    <row r="977" spans="1:5" ht="15.75" customHeight="1" x14ac:dyDescent="0.25">
      <c r="A977" s="15"/>
      <c r="B977" s="3"/>
      <c r="C977" s="3"/>
      <c r="D977" s="17"/>
      <c r="E977" s="18"/>
    </row>
    <row r="978" spans="1:5" ht="15.75" customHeight="1" x14ac:dyDescent="0.25">
      <c r="A978" s="15"/>
      <c r="B978" s="3"/>
      <c r="C978" s="3"/>
      <c r="D978" s="17"/>
      <c r="E978" s="18"/>
    </row>
    <row r="979" spans="1:5" ht="15.75" customHeight="1" x14ac:dyDescent="0.25">
      <c r="A979" s="15"/>
      <c r="B979" s="3"/>
      <c r="C979" s="3"/>
      <c r="D979" s="17"/>
      <c r="E979" s="18"/>
    </row>
    <row r="980" spans="1:5" ht="15.75" customHeight="1" x14ac:dyDescent="0.25">
      <c r="A980" s="15"/>
      <c r="B980" s="3"/>
      <c r="C980" s="3"/>
      <c r="D980" s="17"/>
      <c r="E980" s="18"/>
    </row>
    <row r="981" spans="1:5" ht="15.75" customHeight="1" x14ac:dyDescent="0.25">
      <c r="A981" s="15"/>
      <c r="B981" s="3"/>
      <c r="C981" s="3"/>
      <c r="D981" s="17"/>
      <c r="E981" s="18"/>
    </row>
    <row r="982" spans="1:5" ht="15.75" customHeight="1" x14ac:dyDescent="0.25">
      <c r="A982" s="15"/>
      <c r="B982" s="3"/>
      <c r="C982" s="3"/>
      <c r="D982" s="17"/>
      <c r="E982" s="18"/>
    </row>
    <row r="983" spans="1:5" ht="15.75" customHeight="1" x14ac:dyDescent="0.25">
      <c r="A983" s="15"/>
      <c r="B983" s="3"/>
      <c r="C983" s="3"/>
      <c r="D983" s="17"/>
      <c r="E983" s="18"/>
    </row>
    <row r="984" spans="1:5" ht="15.75" customHeight="1" x14ac:dyDescent="0.25">
      <c r="A984" s="15"/>
      <c r="B984" s="3"/>
      <c r="C984" s="3"/>
      <c r="D984" s="17"/>
      <c r="E984" s="18"/>
    </row>
    <row r="985" spans="1:5" ht="15.75" customHeight="1" x14ac:dyDescent="0.25">
      <c r="A985" s="15"/>
      <c r="B985" s="3"/>
      <c r="C985" s="3"/>
      <c r="D985" s="17"/>
      <c r="E985" s="18"/>
    </row>
    <row r="986" spans="1:5" ht="15.75" customHeight="1" x14ac:dyDescent="0.25">
      <c r="A986" s="15"/>
      <c r="B986" s="3"/>
      <c r="C986" s="3"/>
      <c r="D986" s="17"/>
      <c r="E986" s="18"/>
    </row>
    <row r="987" spans="1:5" ht="15.75" customHeight="1" x14ac:dyDescent="0.25">
      <c r="A987" s="15"/>
      <c r="B987" s="3"/>
      <c r="C987" s="3"/>
      <c r="D987" s="17"/>
      <c r="E987" s="18"/>
    </row>
    <row r="988" spans="1:5" ht="15.75" customHeight="1" x14ac:dyDescent="0.25">
      <c r="A988" s="15"/>
      <c r="B988" s="3"/>
      <c r="C988" s="3"/>
      <c r="D988" s="17"/>
      <c r="E988" s="18"/>
    </row>
    <row r="989" spans="1:5" ht="15.75" customHeight="1" x14ac:dyDescent="0.25">
      <c r="A989" s="15"/>
      <c r="B989" s="3"/>
      <c r="C989" s="3"/>
      <c r="D989" s="17"/>
      <c r="E989" s="18"/>
    </row>
    <row r="990" spans="1:5" ht="15.75" customHeight="1" x14ac:dyDescent="0.25">
      <c r="A990" s="15"/>
      <c r="B990" s="3"/>
      <c r="C990" s="3"/>
      <c r="D990" s="17"/>
      <c r="E990" s="18"/>
    </row>
    <row r="991" spans="1:5" ht="15.75" customHeight="1" x14ac:dyDescent="0.25">
      <c r="A991" s="15"/>
      <c r="B991" s="3"/>
      <c r="C991" s="3"/>
      <c r="D991" s="17"/>
      <c r="E991" s="18"/>
    </row>
    <row r="992" spans="1:5" ht="15.75" customHeight="1" x14ac:dyDescent="0.25">
      <c r="A992" s="15"/>
      <c r="B992" s="3"/>
      <c r="C992" s="3"/>
      <c r="D992" s="17"/>
      <c r="E992" s="18"/>
    </row>
    <row r="993" spans="1:5" ht="15.75" customHeight="1" x14ac:dyDescent="0.25">
      <c r="A993" s="15"/>
      <c r="B993" s="3"/>
      <c r="C993" s="3"/>
      <c r="D993" s="17"/>
      <c r="E993" s="18"/>
    </row>
    <row r="994" spans="1:5" ht="15.75" customHeight="1" x14ac:dyDescent="0.25">
      <c r="A994" s="15"/>
      <c r="B994" s="3"/>
      <c r="C994" s="3"/>
      <c r="D994" s="17"/>
      <c r="E994" s="18"/>
    </row>
    <row r="995" spans="1:5" ht="15.75" customHeight="1" x14ac:dyDescent="0.25">
      <c r="A995" s="15"/>
      <c r="B995" s="3"/>
      <c r="C995" s="3"/>
      <c r="D995" s="17"/>
      <c r="E995" s="18"/>
    </row>
    <row r="996" spans="1:5" ht="15.75" customHeight="1" x14ac:dyDescent="0.25">
      <c r="A996" s="15"/>
      <c r="B996" s="3"/>
      <c r="C996" s="3"/>
      <c r="D996" s="17"/>
      <c r="E996" s="18"/>
    </row>
    <row r="997" spans="1:5" ht="15.75" customHeight="1" x14ac:dyDescent="0.25">
      <c r="A997" s="15"/>
      <c r="B997" s="3"/>
      <c r="C997" s="3"/>
      <c r="D997" s="17"/>
      <c r="E997" s="18"/>
    </row>
    <row r="998" spans="1:5" ht="15.75" customHeight="1" x14ac:dyDescent="0.25">
      <c r="A998" s="15"/>
      <c r="B998" s="3"/>
      <c r="C998" s="3"/>
      <c r="D998" s="17"/>
      <c r="E998" s="18"/>
    </row>
    <row r="999" spans="1:5" ht="15.75" customHeight="1" x14ac:dyDescent="0.25">
      <c r="A999" s="15"/>
      <c r="B999" s="3"/>
      <c r="C999" s="3"/>
      <c r="D999" s="17"/>
      <c r="E999" s="18"/>
    </row>
    <row r="1000" spans="1:5" ht="15.75" customHeight="1" x14ac:dyDescent="0.25">
      <c r="A1000" s="15"/>
      <c r="B1000" s="3"/>
      <c r="C1000" s="3"/>
      <c r="D1000" s="17"/>
      <c r="E1000" s="18"/>
    </row>
    <row r="1001" spans="1:5" ht="15.75" customHeight="1" x14ac:dyDescent="0.25">
      <c r="A1001" s="15"/>
      <c r="B1001" s="3"/>
      <c r="C1001" s="3"/>
      <c r="D1001" s="17"/>
      <c r="E1001" s="18"/>
    </row>
    <row r="1002" spans="1:5" ht="15.75" customHeight="1" x14ac:dyDescent="0.25">
      <c r="A1002" s="15"/>
      <c r="B1002" s="3"/>
      <c r="C1002" s="3"/>
      <c r="D1002" s="17"/>
      <c r="E1002" s="18"/>
    </row>
    <row r="1003" spans="1:5" ht="15.75" customHeight="1" x14ac:dyDescent="0.25">
      <c r="A1003" s="15"/>
      <c r="B1003" s="3"/>
      <c r="C1003" s="3"/>
      <c r="D1003" s="17"/>
      <c r="E1003" s="18"/>
    </row>
    <row r="1004" spans="1:5" ht="15" customHeight="1" x14ac:dyDescent="0.25">
      <c r="A1004" s="15"/>
      <c r="B1004" s="3"/>
      <c r="C1004" s="3"/>
      <c r="D1004" s="17"/>
      <c r="E1004" s="18"/>
    </row>
  </sheetData>
  <conditionalFormatting sqref="G1:G3">
    <cfRule type="cellIs" dxfId="121" priority="1" operator="lessThan">
      <formula>0</formula>
    </cfRule>
    <cfRule type="cellIs" dxfId="120" priority="2" operator="greaterThan">
      <formula>0</formula>
    </cfRule>
  </conditionalFormatting>
  <hyperlinks>
    <hyperlink ref="D1" location="CLIENTES!A1" display="volver" xr:uid="{00000000-0004-0000-0200-000000000000}"/>
  </hyperlink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2"/>
  <sheetViews>
    <sheetView workbookViewId="0">
      <selection activeCell="D1" sqref="D1"/>
    </sheetView>
  </sheetViews>
  <sheetFormatPr baseColWidth="10" defaultColWidth="14.42578125" defaultRowHeight="15" customHeight="1" x14ac:dyDescent="0.25"/>
  <cols>
    <col min="1" max="1" width="15.5703125" customWidth="1"/>
    <col min="2" max="2" width="19.85546875" style="33" customWidth="1"/>
    <col min="3" max="3" width="12.42578125" style="33" customWidth="1"/>
    <col min="4" max="4" width="16.140625" customWidth="1"/>
    <col min="5" max="6" width="10.7109375" customWidth="1"/>
    <col min="7" max="7" width="16.7109375" customWidth="1"/>
    <col min="8" max="26" width="10.7109375" customWidth="1"/>
  </cols>
  <sheetData>
    <row r="1" spans="1:7" ht="18.75" x14ac:dyDescent="0.3">
      <c r="A1" s="12" t="s">
        <v>2</v>
      </c>
      <c r="B1"/>
      <c r="C1"/>
      <c r="D1" s="101" t="s">
        <v>52</v>
      </c>
    </row>
    <row r="2" spans="1:7" s="37" customFormat="1" ht="16.5" customHeight="1" x14ac:dyDescent="0.25">
      <c r="A2" s="60" t="s">
        <v>53</v>
      </c>
      <c r="B2" s="61" t="s">
        <v>54</v>
      </c>
      <c r="C2" s="61" t="s">
        <v>55</v>
      </c>
      <c r="D2" s="62" t="s">
        <v>56</v>
      </c>
      <c r="E2" s="62" t="s">
        <v>57</v>
      </c>
      <c r="F2" s="63" t="s">
        <v>58</v>
      </c>
      <c r="G2" s="64">
        <f>SUM(C3:C1048576) - SUM(B3:B1048576)</f>
        <v>-366995</v>
      </c>
    </row>
    <row r="3" spans="1:7" x14ac:dyDescent="0.25">
      <c r="A3" s="21">
        <v>45443</v>
      </c>
      <c r="B3" s="32">
        <v>18723</v>
      </c>
    </row>
    <row r="4" spans="1:7" x14ac:dyDescent="0.25">
      <c r="A4" s="21">
        <v>45473</v>
      </c>
      <c r="B4" s="32">
        <v>40297</v>
      </c>
    </row>
    <row r="5" spans="1:7" x14ac:dyDescent="0.25">
      <c r="A5" s="21">
        <v>45493</v>
      </c>
      <c r="C5" s="32">
        <v>59020</v>
      </c>
    </row>
    <row r="6" spans="1:7" ht="15" customHeight="1" x14ac:dyDescent="0.25">
      <c r="A6" s="31">
        <v>45504</v>
      </c>
      <c r="B6" s="33">
        <v>268388</v>
      </c>
    </row>
    <row r="7" spans="1:7" ht="15" customHeight="1" x14ac:dyDescent="0.25">
      <c r="A7" s="31">
        <v>45526</v>
      </c>
      <c r="C7" s="33">
        <v>200000</v>
      </c>
    </row>
    <row r="8" spans="1:7" ht="15" customHeight="1" x14ac:dyDescent="0.25">
      <c r="A8" s="31">
        <v>45535</v>
      </c>
      <c r="B8" s="33">
        <v>57693</v>
      </c>
    </row>
    <row r="9" spans="1:7" ht="15" customHeight="1" x14ac:dyDescent="0.25">
      <c r="A9" s="31">
        <v>45565</v>
      </c>
      <c r="B9" s="33">
        <v>100316</v>
      </c>
    </row>
    <row r="10" spans="1:7" ht="15" customHeight="1" x14ac:dyDescent="0.25">
      <c r="A10" s="31">
        <v>45593</v>
      </c>
      <c r="C10" s="33">
        <v>115000</v>
      </c>
    </row>
    <row r="11" spans="1:7" ht="15" customHeight="1" x14ac:dyDescent="0.25">
      <c r="A11" s="31">
        <v>45596</v>
      </c>
      <c r="B11" s="33">
        <v>80004</v>
      </c>
    </row>
    <row r="12" spans="1:7" ht="15" customHeight="1" x14ac:dyDescent="0.25">
      <c r="A12" s="31">
        <v>45604</v>
      </c>
      <c r="C12" s="33">
        <v>111397</v>
      </c>
    </row>
    <row r="13" spans="1:7" ht="15" customHeight="1" x14ac:dyDescent="0.25">
      <c r="A13" s="31">
        <v>45616</v>
      </c>
      <c r="B13" s="33">
        <v>74041</v>
      </c>
    </row>
    <row r="14" spans="1:7" ht="15" customHeight="1" x14ac:dyDescent="0.25">
      <c r="A14" s="31">
        <v>45633</v>
      </c>
      <c r="C14" s="33">
        <v>74041</v>
      </c>
    </row>
    <row r="15" spans="1:7" ht="15" customHeight="1" x14ac:dyDescent="0.25">
      <c r="A15" s="31">
        <v>45657</v>
      </c>
      <c r="B15" s="33">
        <v>137021</v>
      </c>
    </row>
    <row r="16" spans="1:7" ht="15" customHeight="1" x14ac:dyDescent="0.25">
      <c r="A16" s="31">
        <v>45665</v>
      </c>
      <c r="C16" s="33">
        <v>137021</v>
      </c>
    </row>
    <row r="17" spans="1:3" ht="15" customHeight="1" x14ac:dyDescent="0.25">
      <c r="A17" s="31">
        <v>45680</v>
      </c>
      <c r="C17" s="33">
        <v>80004</v>
      </c>
    </row>
    <row r="18" spans="1:3" ht="15" customHeight="1" x14ac:dyDescent="0.25">
      <c r="A18" s="31">
        <v>45688</v>
      </c>
      <c r="B18" s="33">
        <v>377001</v>
      </c>
    </row>
    <row r="19" spans="1:3" ht="15" customHeight="1" x14ac:dyDescent="0.25">
      <c r="A19" s="31">
        <v>45707</v>
      </c>
      <c r="C19" s="33">
        <v>360000</v>
      </c>
    </row>
    <row r="20" spans="1:3" ht="15" customHeight="1" x14ac:dyDescent="0.25">
      <c r="A20" s="31">
        <v>45716</v>
      </c>
      <c r="B20" s="33">
        <v>285774</v>
      </c>
    </row>
    <row r="21" spans="1:3" ht="15" customHeight="1" x14ac:dyDescent="0.25">
      <c r="A21" s="31">
        <v>45726</v>
      </c>
      <c r="C21" s="33">
        <v>302775</v>
      </c>
    </row>
    <row r="22" spans="1:3" ht="15.75" customHeight="1" x14ac:dyDescent="0.25">
      <c r="A22" s="31">
        <v>45747</v>
      </c>
      <c r="B22" s="33">
        <v>195681</v>
      </c>
    </row>
    <row r="23" spans="1:3" ht="15.75" customHeight="1" x14ac:dyDescent="0.25">
      <c r="A23" s="31">
        <v>45777</v>
      </c>
      <c r="C23" s="33">
        <v>195681</v>
      </c>
    </row>
    <row r="24" spans="1:3" ht="15.75" customHeight="1" x14ac:dyDescent="0.25">
      <c r="A24" s="31">
        <v>45777</v>
      </c>
      <c r="B24" s="33">
        <v>31210</v>
      </c>
    </row>
    <row r="25" spans="1:3" ht="15.75" customHeight="1" x14ac:dyDescent="0.25">
      <c r="A25" s="31">
        <v>45807</v>
      </c>
      <c r="B25" s="33">
        <v>104178</v>
      </c>
    </row>
    <row r="26" spans="1:3" ht="15.75" customHeight="1" x14ac:dyDescent="0.25">
      <c r="A26" s="31">
        <v>45831</v>
      </c>
      <c r="C26" s="33">
        <v>135388</v>
      </c>
    </row>
    <row r="27" spans="1:3" ht="15.75" customHeight="1" x14ac:dyDescent="0.25">
      <c r="A27" s="31">
        <v>45900</v>
      </c>
      <c r="B27" s="33">
        <v>149618</v>
      </c>
    </row>
    <row r="28" spans="1:3" ht="15.75" customHeight="1" x14ac:dyDescent="0.25">
      <c r="A28" s="31">
        <v>45901</v>
      </c>
      <c r="C28" s="33">
        <v>149618</v>
      </c>
    </row>
    <row r="29" spans="1:3" ht="15.75" customHeight="1" x14ac:dyDescent="0.25">
      <c r="A29" s="31">
        <v>45930</v>
      </c>
      <c r="B29" s="33">
        <v>109548</v>
      </c>
    </row>
    <row r="30" spans="1:3" ht="15.75" customHeight="1" x14ac:dyDescent="0.25">
      <c r="A30" s="31">
        <v>45953</v>
      </c>
      <c r="C30" s="33">
        <v>109548</v>
      </c>
    </row>
    <row r="31" spans="1:3" ht="15.75" customHeight="1" x14ac:dyDescent="0.25">
      <c r="A31" s="31">
        <v>45961</v>
      </c>
      <c r="B31" s="33">
        <v>122062</v>
      </c>
    </row>
    <row r="32" spans="1:3" ht="15.75" customHeight="1" x14ac:dyDescent="0.25">
      <c r="A32" s="31">
        <v>45991</v>
      </c>
      <c r="B32" s="33">
        <v>120570</v>
      </c>
    </row>
    <row r="33" spans="1:3" ht="15.75" customHeight="1" x14ac:dyDescent="0.25">
      <c r="A33" s="31">
        <v>46022</v>
      </c>
      <c r="B33" s="33">
        <v>247662</v>
      </c>
    </row>
    <row r="34" spans="1:3" ht="15.75" customHeight="1" x14ac:dyDescent="0.25">
      <c r="A34" s="31">
        <v>46034</v>
      </c>
      <c r="C34" s="33">
        <v>242632</v>
      </c>
    </row>
    <row r="35" spans="1:3" ht="15.75" customHeight="1" x14ac:dyDescent="0.25">
      <c r="A35" s="31">
        <v>46053</v>
      </c>
      <c r="B35" s="33">
        <v>496518</v>
      </c>
    </row>
    <row r="36" spans="1:3" ht="15.75" customHeight="1" x14ac:dyDescent="0.25">
      <c r="A36" s="31">
        <v>46062</v>
      </c>
      <c r="C36" s="33">
        <v>247662</v>
      </c>
    </row>
    <row r="37" spans="1:3" ht="15.75" customHeight="1" x14ac:dyDescent="0.25">
      <c r="A37" s="31">
        <v>46073</v>
      </c>
      <c r="C37" s="33">
        <v>456500</v>
      </c>
    </row>
    <row r="38" spans="1:3" ht="15.75" customHeight="1" x14ac:dyDescent="0.25">
      <c r="A38" s="31">
        <v>46081</v>
      </c>
      <c r="B38" s="33">
        <v>326977</v>
      </c>
    </row>
    <row r="39" spans="1:3" ht="15.75" customHeight="1" x14ac:dyDescent="0.25"/>
    <row r="40" spans="1:3" ht="15.75" customHeight="1" x14ac:dyDescent="0.25"/>
    <row r="41" spans="1:3" ht="15.75" customHeight="1" x14ac:dyDescent="0.25"/>
    <row r="42" spans="1:3" ht="15.75" customHeight="1" x14ac:dyDescent="0.25"/>
    <row r="43" spans="1:3" ht="15.75" customHeight="1" x14ac:dyDescent="0.25"/>
    <row r="44" spans="1:3" ht="15.75" customHeight="1" x14ac:dyDescent="0.25"/>
    <row r="45" spans="1:3" ht="15.75" customHeight="1" x14ac:dyDescent="0.25"/>
    <row r="46" spans="1:3" ht="15.75" customHeight="1" x14ac:dyDescent="0.25"/>
    <row r="47" spans="1:3" ht="15.75" customHeight="1" x14ac:dyDescent="0.25"/>
    <row r="48" spans="1: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conditionalFormatting sqref="G2">
    <cfRule type="cellIs" dxfId="119" priority="1" operator="lessThan">
      <formula>0</formula>
    </cfRule>
    <cfRule type="cellIs" dxfId="118" priority="2" operator="greaterThan">
      <formula>0</formula>
    </cfRule>
  </conditionalFormatting>
  <hyperlinks>
    <hyperlink ref="D1" location="CLIENTES!A1" display="volver" xr:uid="{00000000-0004-0000-0300-000000000000}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"/>
  <sheetViews>
    <sheetView workbookViewId="0">
      <selection activeCell="D1" sqref="D1"/>
    </sheetView>
  </sheetViews>
  <sheetFormatPr baseColWidth="10" defaultColWidth="14.42578125" defaultRowHeight="15" customHeight="1" x14ac:dyDescent="0.25"/>
  <cols>
    <col min="1" max="7" width="18.85546875" customWidth="1"/>
    <col min="8" max="26" width="10.7109375" customWidth="1"/>
  </cols>
  <sheetData>
    <row r="1" spans="1:7" ht="18.75" x14ac:dyDescent="0.3">
      <c r="A1" s="12" t="s">
        <v>3</v>
      </c>
      <c r="D1" s="101" t="s">
        <v>52</v>
      </c>
    </row>
    <row r="2" spans="1:7" x14ac:dyDescent="0.25">
      <c r="A2" s="1" t="s">
        <v>53</v>
      </c>
      <c r="B2" s="3" t="s">
        <v>54</v>
      </c>
      <c r="C2" s="3" t="s">
        <v>55</v>
      </c>
      <c r="D2" s="1" t="s">
        <v>56</v>
      </c>
      <c r="E2" s="1" t="s">
        <v>57</v>
      </c>
      <c r="F2" s="22" t="s">
        <v>58</v>
      </c>
      <c r="G2" s="23">
        <f>SUM(C4:C1048576) - SUM(B4:B1048576)</f>
        <v>-505316</v>
      </c>
    </row>
    <row r="3" spans="1:7" x14ac:dyDescent="0.25">
      <c r="B3" s="3"/>
      <c r="C3" s="3"/>
      <c r="F3" s="69"/>
      <c r="G3" s="23"/>
    </row>
    <row r="4" spans="1:7" x14ac:dyDescent="0.25">
      <c r="A4" s="21">
        <v>45443</v>
      </c>
      <c r="B4" s="3">
        <v>152992</v>
      </c>
      <c r="C4" s="3"/>
    </row>
    <row r="5" spans="1:7" x14ac:dyDescent="0.25">
      <c r="A5" s="21">
        <v>45473</v>
      </c>
      <c r="B5" s="3">
        <v>54988</v>
      </c>
      <c r="C5" s="3"/>
    </row>
    <row r="6" spans="1:7" x14ac:dyDescent="0.25">
      <c r="A6" s="21">
        <v>45483</v>
      </c>
      <c r="B6" s="3"/>
      <c r="C6" s="3">
        <v>153000</v>
      </c>
    </row>
    <row r="7" spans="1:7" x14ac:dyDescent="0.25">
      <c r="A7" s="31">
        <v>45504</v>
      </c>
      <c r="B7" s="3">
        <v>155341</v>
      </c>
      <c r="C7" s="3"/>
    </row>
    <row r="8" spans="1:7" x14ac:dyDescent="0.25">
      <c r="A8" s="31">
        <v>45535</v>
      </c>
      <c r="B8" s="3">
        <v>34479</v>
      </c>
      <c r="C8" s="3"/>
    </row>
    <row r="9" spans="1:7" x14ac:dyDescent="0.25">
      <c r="A9" s="31">
        <v>45565</v>
      </c>
      <c r="B9" s="3">
        <v>97424</v>
      </c>
      <c r="C9" s="3"/>
    </row>
    <row r="10" spans="1:7" x14ac:dyDescent="0.25">
      <c r="A10" s="31">
        <v>45596</v>
      </c>
      <c r="B10" s="3">
        <v>102603</v>
      </c>
      <c r="C10" s="3"/>
    </row>
    <row r="11" spans="1:7" x14ac:dyDescent="0.25">
      <c r="A11" s="31">
        <v>45626</v>
      </c>
      <c r="B11" s="3">
        <v>265837</v>
      </c>
      <c r="C11" s="3"/>
    </row>
    <row r="12" spans="1:7" x14ac:dyDescent="0.25">
      <c r="A12" s="31">
        <v>45657</v>
      </c>
      <c r="B12" s="3">
        <v>192328</v>
      </c>
      <c r="C12" s="3"/>
    </row>
    <row r="13" spans="1:7" x14ac:dyDescent="0.25">
      <c r="A13" s="31">
        <v>45671</v>
      </c>
      <c r="B13" s="3"/>
      <c r="C13" s="3">
        <v>902992</v>
      </c>
    </row>
    <row r="14" spans="1:7" x14ac:dyDescent="0.25">
      <c r="A14" s="31">
        <v>45688</v>
      </c>
      <c r="B14" s="3">
        <v>737405</v>
      </c>
      <c r="C14" s="3"/>
    </row>
    <row r="15" spans="1:7" x14ac:dyDescent="0.25">
      <c r="A15" s="31">
        <v>45716</v>
      </c>
      <c r="B15" s="3">
        <v>487949</v>
      </c>
      <c r="C15" s="3"/>
    </row>
    <row r="16" spans="1:7" x14ac:dyDescent="0.25">
      <c r="A16" s="31">
        <v>45747</v>
      </c>
      <c r="B16" s="3">
        <v>224436</v>
      </c>
      <c r="C16" s="3"/>
    </row>
    <row r="17" spans="1:3" x14ac:dyDescent="0.25">
      <c r="A17" s="31">
        <v>45756</v>
      </c>
      <c r="B17" s="3"/>
      <c r="C17" s="3">
        <v>1076000</v>
      </c>
    </row>
    <row r="18" spans="1:3" x14ac:dyDescent="0.25">
      <c r="A18" s="31">
        <v>45777</v>
      </c>
      <c r="B18" s="3">
        <v>141993</v>
      </c>
      <c r="C18" s="3"/>
    </row>
    <row r="19" spans="1:3" x14ac:dyDescent="0.25">
      <c r="A19" s="31">
        <v>45789</v>
      </c>
      <c r="B19" s="3"/>
      <c r="C19" s="3">
        <v>464000</v>
      </c>
    </row>
    <row r="20" spans="1:3" x14ac:dyDescent="0.25">
      <c r="A20" s="31">
        <v>45807</v>
      </c>
      <c r="B20" s="3">
        <v>101057</v>
      </c>
      <c r="C20" s="3"/>
    </row>
    <row r="21" spans="1:3" ht="15.75" customHeight="1" x14ac:dyDescent="0.25">
      <c r="A21" s="31">
        <v>45859</v>
      </c>
      <c r="B21" s="3"/>
      <c r="C21" s="3">
        <v>150000</v>
      </c>
    </row>
    <row r="22" spans="1:3" ht="15.75" customHeight="1" x14ac:dyDescent="0.25">
      <c r="A22" s="31">
        <v>45869</v>
      </c>
      <c r="B22" s="3">
        <v>390407</v>
      </c>
      <c r="C22" s="3"/>
    </row>
    <row r="23" spans="1:3" ht="15.75" customHeight="1" x14ac:dyDescent="0.25">
      <c r="A23" s="31">
        <v>45900</v>
      </c>
      <c r="B23" s="3">
        <v>124090</v>
      </c>
      <c r="C23" s="3"/>
    </row>
    <row r="24" spans="1:3" ht="15.75" customHeight="1" x14ac:dyDescent="0.25">
      <c r="A24" s="31">
        <v>45909</v>
      </c>
      <c r="B24" s="3"/>
      <c r="C24" s="3">
        <v>517337</v>
      </c>
    </row>
    <row r="25" spans="1:3" ht="15.75" customHeight="1" x14ac:dyDescent="0.25">
      <c r="A25" s="31">
        <v>45930</v>
      </c>
      <c r="B25" s="3">
        <v>216848</v>
      </c>
      <c r="C25" s="3"/>
    </row>
    <row r="26" spans="1:3" ht="15.75" customHeight="1" x14ac:dyDescent="0.25">
      <c r="A26" s="31">
        <v>45961</v>
      </c>
      <c r="B26" s="3">
        <v>131977</v>
      </c>
      <c r="C26" s="3"/>
    </row>
    <row r="27" spans="1:3" ht="15.75" customHeight="1" x14ac:dyDescent="0.25">
      <c r="A27" s="31">
        <v>45982</v>
      </c>
      <c r="B27" s="3"/>
      <c r="C27" s="3">
        <v>131977</v>
      </c>
    </row>
    <row r="28" spans="1:3" ht="15.75" customHeight="1" x14ac:dyDescent="0.25">
      <c r="A28" s="31">
        <v>45991</v>
      </c>
      <c r="B28" s="3">
        <v>138138</v>
      </c>
      <c r="C28" s="3"/>
    </row>
    <row r="29" spans="1:3" ht="15.75" customHeight="1" x14ac:dyDescent="0.25">
      <c r="A29" s="31">
        <v>46022</v>
      </c>
      <c r="B29" s="3"/>
      <c r="C29" s="3">
        <v>350000</v>
      </c>
    </row>
    <row r="30" spans="1:3" ht="15.75" customHeight="1" x14ac:dyDescent="0.25">
      <c r="A30" s="31">
        <v>46022</v>
      </c>
      <c r="B30" s="3">
        <v>155666</v>
      </c>
      <c r="C30" s="3"/>
    </row>
    <row r="31" spans="1:3" ht="15.75" customHeight="1" x14ac:dyDescent="0.25">
      <c r="A31" s="31">
        <v>46034</v>
      </c>
      <c r="B31" s="3"/>
      <c r="C31" s="3">
        <v>160652</v>
      </c>
    </row>
    <row r="32" spans="1:3" ht="15.75" customHeight="1" x14ac:dyDescent="0.25">
      <c r="A32" s="31">
        <v>46053</v>
      </c>
      <c r="B32" s="3">
        <v>938170</v>
      </c>
      <c r="C32" s="3"/>
    </row>
    <row r="33" spans="1:4" ht="15.75" customHeight="1" x14ac:dyDescent="0.25">
      <c r="A33" s="31">
        <v>46053</v>
      </c>
      <c r="B33" s="3"/>
      <c r="C33" s="3">
        <v>253500</v>
      </c>
      <c r="D33" t="s">
        <v>226</v>
      </c>
    </row>
    <row r="34" spans="1:4" ht="15.75" customHeight="1" x14ac:dyDescent="0.25">
      <c r="A34" s="31">
        <v>46062</v>
      </c>
      <c r="B34" s="3"/>
      <c r="C34" s="3">
        <v>684670</v>
      </c>
    </row>
    <row r="35" spans="1:4" ht="15.75" customHeight="1" x14ac:dyDescent="0.25">
      <c r="A35" s="31">
        <v>46081</v>
      </c>
      <c r="B35" s="3">
        <v>505316</v>
      </c>
      <c r="C35" s="3"/>
    </row>
    <row r="36" spans="1:4" ht="15.75" customHeight="1" x14ac:dyDescent="0.25">
      <c r="B36" s="3"/>
      <c r="C36" s="3"/>
    </row>
    <row r="37" spans="1:4" ht="15.75" customHeight="1" x14ac:dyDescent="0.25">
      <c r="B37" s="3"/>
      <c r="C37" s="3"/>
    </row>
    <row r="38" spans="1:4" ht="15.75" customHeight="1" x14ac:dyDescent="0.25">
      <c r="B38" s="3"/>
      <c r="C38" s="3"/>
    </row>
    <row r="39" spans="1:4" ht="15.75" customHeight="1" x14ac:dyDescent="0.25">
      <c r="B39" s="3"/>
      <c r="C39" s="3"/>
    </row>
    <row r="40" spans="1:4" ht="15.75" customHeight="1" x14ac:dyDescent="0.25">
      <c r="B40" s="3"/>
      <c r="C40" s="3"/>
    </row>
    <row r="41" spans="1:4" ht="15.75" customHeight="1" x14ac:dyDescent="0.25">
      <c r="B41" s="3"/>
      <c r="C41" s="3"/>
    </row>
    <row r="42" spans="1:4" ht="15.75" customHeight="1" x14ac:dyDescent="0.25">
      <c r="B42" s="3"/>
      <c r="C42" s="3"/>
    </row>
    <row r="43" spans="1:4" ht="15.75" customHeight="1" x14ac:dyDescent="0.25">
      <c r="B43" s="3"/>
      <c r="C43" s="3"/>
    </row>
    <row r="44" spans="1:4" ht="15.75" customHeight="1" x14ac:dyDescent="0.25">
      <c r="B44" s="3"/>
      <c r="C44" s="3"/>
    </row>
    <row r="45" spans="1:4" ht="15.75" customHeight="1" x14ac:dyDescent="0.25">
      <c r="B45" s="3"/>
      <c r="C45" s="3"/>
    </row>
    <row r="46" spans="1:4" ht="15.75" customHeight="1" x14ac:dyDescent="0.25">
      <c r="B46" s="3"/>
      <c r="C46" s="3"/>
    </row>
    <row r="47" spans="1:4" ht="15.75" customHeight="1" x14ac:dyDescent="0.25">
      <c r="B47" s="3"/>
      <c r="C47" s="3"/>
    </row>
    <row r="48" spans="1:4" ht="15.75" customHeight="1" x14ac:dyDescent="0.25">
      <c r="B48" s="3"/>
      <c r="C48" s="3"/>
    </row>
    <row r="49" spans="2:3" ht="15.75" customHeight="1" x14ac:dyDescent="0.25">
      <c r="B49" s="3"/>
      <c r="C49" s="3"/>
    </row>
    <row r="50" spans="2:3" ht="15.75" customHeight="1" x14ac:dyDescent="0.25">
      <c r="B50" s="3"/>
      <c r="C50" s="3"/>
    </row>
    <row r="51" spans="2:3" ht="15.75" customHeight="1" x14ac:dyDescent="0.25">
      <c r="B51" s="3"/>
      <c r="C51" s="3"/>
    </row>
    <row r="52" spans="2:3" ht="15.75" customHeight="1" x14ac:dyDescent="0.25">
      <c r="B52" s="3"/>
      <c r="C52" s="3"/>
    </row>
    <row r="53" spans="2:3" ht="15.75" customHeight="1" x14ac:dyDescent="0.25">
      <c r="B53" s="3"/>
      <c r="C53" s="3"/>
    </row>
    <row r="54" spans="2:3" ht="15.75" customHeight="1" x14ac:dyDescent="0.25">
      <c r="B54" s="3"/>
      <c r="C54" s="3"/>
    </row>
    <row r="55" spans="2:3" ht="15.75" customHeight="1" x14ac:dyDescent="0.25">
      <c r="B55" s="3"/>
      <c r="C55" s="3"/>
    </row>
    <row r="56" spans="2:3" ht="15.75" customHeight="1" x14ac:dyDescent="0.25">
      <c r="B56" s="3"/>
      <c r="C56" s="3"/>
    </row>
    <row r="57" spans="2:3" ht="15.75" customHeight="1" x14ac:dyDescent="0.25">
      <c r="B57" s="3"/>
      <c r="C57" s="3"/>
    </row>
    <row r="58" spans="2:3" ht="15.75" customHeight="1" x14ac:dyDescent="0.25">
      <c r="B58" s="3"/>
      <c r="C58" s="3"/>
    </row>
    <row r="59" spans="2:3" ht="15.75" customHeight="1" x14ac:dyDescent="0.25">
      <c r="B59" s="3"/>
      <c r="C59" s="3"/>
    </row>
    <row r="60" spans="2:3" ht="15.75" customHeight="1" x14ac:dyDescent="0.25">
      <c r="B60" s="3"/>
      <c r="C60" s="3"/>
    </row>
    <row r="61" spans="2:3" ht="15.75" customHeight="1" x14ac:dyDescent="0.25">
      <c r="B61" s="3"/>
      <c r="C61" s="3"/>
    </row>
    <row r="62" spans="2:3" ht="15.75" customHeight="1" x14ac:dyDescent="0.25">
      <c r="B62" s="3"/>
      <c r="C62" s="3"/>
    </row>
    <row r="63" spans="2:3" ht="15.75" customHeight="1" x14ac:dyDescent="0.25">
      <c r="B63" s="3"/>
      <c r="C63" s="3"/>
    </row>
    <row r="64" spans="2:3" ht="15.75" customHeight="1" x14ac:dyDescent="0.25">
      <c r="B64" s="3"/>
      <c r="C64" s="3"/>
    </row>
    <row r="65" spans="2:3" ht="15.75" customHeight="1" x14ac:dyDescent="0.25">
      <c r="B65" s="3"/>
      <c r="C65" s="3"/>
    </row>
    <row r="66" spans="2:3" ht="15.75" customHeight="1" x14ac:dyDescent="0.25">
      <c r="B66" s="3"/>
      <c r="C66" s="3"/>
    </row>
    <row r="67" spans="2:3" ht="15.75" customHeight="1" x14ac:dyDescent="0.25">
      <c r="B67" s="3"/>
      <c r="C67" s="3"/>
    </row>
    <row r="68" spans="2:3" ht="15.75" customHeight="1" x14ac:dyDescent="0.25">
      <c r="B68" s="3"/>
      <c r="C68" s="3"/>
    </row>
    <row r="69" spans="2:3" ht="15.75" customHeight="1" x14ac:dyDescent="0.25">
      <c r="B69" s="3"/>
      <c r="C69" s="3"/>
    </row>
    <row r="70" spans="2:3" ht="15.75" customHeight="1" x14ac:dyDescent="0.25">
      <c r="B70" s="3"/>
      <c r="C70" s="3"/>
    </row>
    <row r="71" spans="2:3" ht="15.75" customHeight="1" x14ac:dyDescent="0.25">
      <c r="B71" s="3"/>
      <c r="C71" s="3"/>
    </row>
    <row r="72" spans="2:3" ht="15.75" customHeight="1" x14ac:dyDescent="0.25">
      <c r="B72" s="3"/>
      <c r="C72" s="3"/>
    </row>
    <row r="73" spans="2:3" ht="15.75" customHeight="1" x14ac:dyDescent="0.25">
      <c r="B73" s="3"/>
      <c r="C73" s="3"/>
    </row>
    <row r="74" spans="2:3" ht="15.75" customHeight="1" x14ac:dyDescent="0.25">
      <c r="B74" s="3"/>
      <c r="C74" s="3"/>
    </row>
    <row r="75" spans="2:3" ht="15.75" customHeight="1" x14ac:dyDescent="0.25">
      <c r="B75" s="3"/>
      <c r="C75" s="3"/>
    </row>
    <row r="76" spans="2:3" ht="15.75" customHeight="1" x14ac:dyDescent="0.25">
      <c r="B76" s="3"/>
      <c r="C76" s="3"/>
    </row>
    <row r="77" spans="2:3" ht="15.75" customHeight="1" x14ac:dyDescent="0.25">
      <c r="B77" s="3"/>
      <c r="C77" s="3"/>
    </row>
    <row r="78" spans="2:3" ht="15.75" customHeight="1" x14ac:dyDescent="0.25">
      <c r="B78" s="3"/>
      <c r="C78" s="3"/>
    </row>
    <row r="79" spans="2:3" ht="15.75" customHeight="1" x14ac:dyDescent="0.25">
      <c r="B79" s="3"/>
      <c r="C79" s="3"/>
    </row>
    <row r="80" spans="2:3" ht="15.75" customHeight="1" x14ac:dyDescent="0.25">
      <c r="B80" s="3"/>
      <c r="C80" s="3"/>
    </row>
    <row r="81" spans="2:3" ht="15.75" customHeight="1" x14ac:dyDescent="0.25">
      <c r="B81" s="3"/>
      <c r="C81" s="3"/>
    </row>
    <row r="82" spans="2:3" ht="15.75" customHeight="1" x14ac:dyDescent="0.25">
      <c r="B82" s="3"/>
      <c r="C82" s="3"/>
    </row>
    <row r="83" spans="2:3" ht="15.75" customHeight="1" x14ac:dyDescent="0.25">
      <c r="B83" s="3"/>
      <c r="C83" s="3"/>
    </row>
    <row r="84" spans="2:3" ht="15.75" customHeight="1" x14ac:dyDescent="0.25">
      <c r="B84" s="3"/>
      <c r="C84" s="3"/>
    </row>
    <row r="85" spans="2:3" ht="15.75" customHeight="1" x14ac:dyDescent="0.25">
      <c r="B85" s="3"/>
      <c r="C85" s="3"/>
    </row>
    <row r="86" spans="2:3" ht="15.75" customHeight="1" x14ac:dyDescent="0.25">
      <c r="B86" s="3"/>
      <c r="C86" s="3"/>
    </row>
    <row r="87" spans="2:3" ht="15.75" customHeight="1" x14ac:dyDescent="0.25">
      <c r="B87" s="3"/>
      <c r="C87" s="3"/>
    </row>
    <row r="88" spans="2:3" ht="15.75" customHeight="1" x14ac:dyDescent="0.25">
      <c r="B88" s="3"/>
      <c r="C88" s="3"/>
    </row>
    <row r="89" spans="2:3" ht="15.75" customHeight="1" x14ac:dyDescent="0.25">
      <c r="B89" s="3"/>
      <c r="C89" s="3"/>
    </row>
    <row r="90" spans="2:3" ht="15.75" customHeight="1" x14ac:dyDescent="0.25">
      <c r="B90" s="3"/>
      <c r="C90" s="3"/>
    </row>
    <row r="91" spans="2:3" ht="15.75" customHeight="1" x14ac:dyDescent="0.25">
      <c r="B91" s="3"/>
      <c r="C91" s="3"/>
    </row>
    <row r="92" spans="2:3" ht="15.75" customHeight="1" x14ac:dyDescent="0.25">
      <c r="B92" s="3"/>
      <c r="C92" s="3"/>
    </row>
    <row r="93" spans="2:3" ht="15.75" customHeight="1" x14ac:dyDescent="0.25">
      <c r="B93" s="3"/>
      <c r="C93" s="3"/>
    </row>
    <row r="94" spans="2:3" ht="15.75" customHeight="1" x14ac:dyDescent="0.25">
      <c r="B94" s="3"/>
      <c r="C94" s="3"/>
    </row>
    <row r="95" spans="2:3" ht="15.75" customHeight="1" x14ac:dyDescent="0.25">
      <c r="B95" s="3"/>
      <c r="C95" s="3"/>
    </row>
    <row r="96" spans="2:3" ht="15.75" customHeight="1" x14ac:dyDescent="0.25">
      <c r="B96" s="3"/>
      <c r="C96" s="3"/>
    </row>
    <row r="97" spans="2:3" ht="15.75" customHeight="1" x14ac:dyDescent="0.25">
      <c r="B97" s="3"/>
      <c r="C97" s="3"/>
    </row>
    <row r="98" spans="2:3" ht="15.75" customHeight="1" x14ac:dyDescent="0.25">
      <c r="B98" s="3"/>
      <c r="C98" s="3"/>
    </row>
    <row r="99" spans="2:3" ht="15.75" customHeight="1" x14ac:dyDescent="0.25">
      <c r="B99" s="3"/>
      <c r="C99" s="3"/>
    </row>
    <row r="100" spans="2:3" ht="15.75" customHeight="1" x14ac:dyDescent="0.25">
      <c r="B100" s="3"/>
      <c r="C100" s="3"/>
    </row>
    <row r="101" spans="2:3" ht="15.75" customHeight="1" x14ac:dyDescent="0.25">
      <c r="B101" s="3"/>
      <c r="C101" s="3"/>
    </row>
    <row r="102" spans="2:3" ht="15.75" customHeight="1" x14ac:dyDescent="0.25">
      <c r="B102" s="3"/>
      <c r="C102" s="3"/>
    </row>
    <row r="103" spans="2:3" ht="15.75" customHeight="1" x14ac:dyDescent="0.25">
      <c r="B103" s="3"/>
      <c r="C103" s="3"/>
    </row>
    <row r="104" spans="2:3" ht="15.75" customHeight="1" x14ac:dyDescent="0.25">
      <c r="B104" s="3"/>
      <c r="C104" s="3"/>
    </row>
    <row r="105" spans="2:3" ht="15.75" customHeight="1" x14ac:dyDescent="0.25">
      <c r="B105" s="3"/>
      <c r="C105" s="3"/>
    </row>
    <row r="106" spans="2:3" ht="15.75" customHeight="1" x14ac:dyDescent="0.25">
      <c r="B106" s="3"/>
      <c r="C106" s="3"/>
    </row>
    <row r="107" spans="2:3" ht="15.75" customHeight="1" x14ac:dyDescent="0.25">
      <c r="B107" s="3"/>
      <c r="C107" s="3"/>
    </row>
    <row r="108" spans="2:3" ht="15.75" customHeight="1" x14ac:dyDescent="0.25">
      <c r="B108" s="3"/>
      <c r="C108" s="3"/>
    </row>
    <row r="109" spans="2:3" ht="15.75" customHeight="1" x14ac:dyDescent="0.25">
      <c r="B109" s="3"/>
      <c r="C109" s="3"/>
    </row>
    <row r="110" spans="2:3" ht="15.75" customHeight="1" x14ac:dyDescent="0.25">
      <c r="B110" s="3"/>
      <c r="C110" s="3"/>
    </row>
    <row r="111" spans="2:3" ht="15.75" customHeight="1" x14ac:dyDescent="0.25">
      <c r="B111" s="3"/>
      <c r="C111" s="3"/>
    </row>
    <row r="112" spans="2:3" ht="15.75" customHeight="1" x14ac:dyDescent="0.25">
      <c r="B112" s="3"/>
      <c r="C112" s="3"/>
    </row>
    <row r="113" spans="2:3" ht="15.75" customHeight="1" x14ac:dyDescent="0.25">
      <c r="B113" s="3"/>
      <c r="C113" s="3"/>
    </row>
    <row r="114" spans="2:3" ht="15.75" customHeight="1" x14ac:dyDescent="0.25">
      <c r="B114" s="3"/>
      <c r="C114" s="3"/>
    </row>
    <row r="115" spans="2:3" ht="15.75" customHeight="1" x14ac:dyDescent="0.25">
      <c r="B115" s="3"/>
      <c r="C115" s="3"/>
    </row>
    <row r="116" spans="2:3" ht="15.75" customHeight="1" x14ac:dyDescent="0.25">
      <c r="B116" s="3"/>
      <c r="C116" s="3"/>
    </row>
    <row r="117" spans="2:3" ht="15.75" customHeight="1" x14ac:dyDescent="0.25">
      <c r="B117" s="3"/>
      <c r="C117" s="3"/>
    </row>
    <row r="118" spans="2:3" ht="15.75" customHeight="1" x14ac:dyDescent="0.25">
      <c r="B118" s="3"/>
      <c r="C118" s="3"/>
    </row>
    <row r="119" spans="2:3" ht="15.75" customHeight="1" x14ac:dyDescent="0.25">
      <c r="B119" s="3"/>
      <c r="C119" s="3"/>
    </row>
    <row r="120" spans="2:3" ht="15.75" customHeight="1" x14ac:dyDescent="0.25">
      <c r="B120" s="3"/>
      <c r="C120" s="3"/>
    </row>
    <row r="121" spans="2:3" ht="15.75" customHeight="1" x14ac:dyDescent="0.25">
      <c r="B121" s="3"/>
      <c r="C121" s="3"/>
    </row>
    <row r="122" spans="2:3" ht="15.75" customHeight="1" x14ac:dyDescent="0.25">
      <c r="B122" s="3"/>
      <c r="C122" s="3"/>
    </row>
    <row r="123" spans="2:3" ht="15.75" customHeight="1" x14ac:dyDescent="0.25">
      <c r="B123" s="3"/>
      <c r="C123" s="3"/>
    </row>
    <row r="124" spans="2:3" ht="15.75" customHeight="1" x14ac:dyDescent="0.25">
      <c r="B124" s="3"/>
      <c r="C124" s="3"/>
    </row>
    <row r="125" spans="2:3" ht="15.75" customHeight="1" x14ac:dyDescent="0.25">
      <c r="B125" s="3"/>
      <c r="C125" s="3"/>
    </row>
    <row r="126" spans="2:3" ht="15.75" customHeight="1" x14ac:dyDescent="0.25">
      <c r="B126" s="3"/>
      <c r="C126" s="3"/>
    </row>
    <row r="127" spans="2:3" ht="15.75" customHeight="1" x14ac:dyDescent="0.25">
      <c r="B127" s="3"/>
      <c r="C127" s="3"/>
    </row>
    <row r="128" spans="2:3" ht="15.75" customHeight="1" x14ac:dyDescent="0.25">
      <c r="B128" s="3"/>
      <c r="C128" s="3"/>
    </row>
    <row r="129" spans="2:3" ht="15.75" customHeight="1" x14ac:dyDescent="0.25">
      <c r="B129" s="3"/>
      <c r="C129" s="3"/>
    </row>
    <row r="130" spans="2:3" ht="15.75" customHeight="1" x14ac:dyDescent="0.25">
      <c r="B130" s="3"/>
      <c r="C130" s="3"/>
    </row>
    <row r="131" spans="2:3" ht="15.75" customHeight="1" x14ac:dyDescent="0.25">
      <c r="B131" s="3"/>
      <c r="C131" s="3"/>
    </row>
    <row r="132" spans="2:3" ht="15.75" customHeight="1" x14ac:dyDescent="0.25">
      <c r="B132" s="3"/>
      <c r="C132" s="3"/>
    </row>
    <row r="133" spans="2:3" ht="15.75" customHeight="1" x14ac:dyDescent="0.25">
      <c r="B133" s="3"/>
      <c r="C133" s="3"/>
    </row>
    <row r="134" spans="2:3" ht="15.75" customHeight="1" x14ac:dyDescent="0.25">
      <c r="B134" s="3"/>
      <c r="C134" s="3"/>
    </row>
    <row r="135" spans="2:3" ht="15.75" customHeight="1" x14ac:dyDescent="0.25">
      <c r="B135" s="3"/>
      <c r="C135" s="3"/>
    </row>
    <row r="136" spans="2:3" ht="15.75" customHeight="1" x14ac:dyDescent="0.25">
      <c r="B136" s="3"/>
      <c r="C136" s="3"/>
    </row>
    <row r="137" spans="2:3" ht="15.75" customHeight="1" x14ac:dyDescent="0.25">
      <c r="B137" s="3"/>
      <c r="C137" s="3"/>
    </row>
    <row r="138" spans="2:3" ht="15.75" customHeight="1" x14ac:dyDescent="0.25">
      <c r="B138" s="3"/>
      <c r="C138" s="3"/>
    </row>
    <row r="139" spans="2:3" ht="15.75" customHeight="1" x14ac:dyDescent="0.25">
      <c r="B139" s="3"/>
      <c r="C139" s="3"/>
    </row>
    <row r="140" spans="2:3" ht="15.75" customHeight="1" x14ac:dyDescent="0.25">
      <c r="B140" s="3"/>
      <c r="C140" s="3"/>
    </row>
    <row r="141" spans="2:3" ht="15.75" customHeight="1" x14ac:dyDescent="0.25">
      <c r="B141" s="3"/>
      <c r="C141" s="3"/>
    </row>
    <row r="142" spans="2:3" ht="15.75" customHeight="1" x14ac:dyDescent="0.25">
      <c r="B142" s="3"/>
      <c r="C142" s="3"/>
    </row>
    <row r="143" spans="2:3" ht="15.75" customHeight="1" x14ac:dyDescent="0.25">
      <c r="B143" s="3"/>
      <c r="C143" s="3"/>
    </row>
    <row r="144" spans="2:3" ht="15.75" customHeight="1" x14ac:dyDescent="0.25">
      <c r="B144" s="3"/>
      <c r="C144" s="3"/>
    </row>
    <row r="145" spans="2:3" ht="15.75" customHeight="1" x14ac:dyDescent="0.25">
      <c r="B145" s="3"/>
      <c r="C145" s="3"/>
    </row>
    <row r="146" spans="2:3" ht="15.75" customHeight="1" x14ac:dyDescent="0.25">
      <c r="B146" s="3"/>
      <c r="C146" s="3"/>
    </row>
    <row r="147" spans="2:3" ht="15.75" customHeight="1" x14ac:dyDescent="0.25">
      <c r="B147" s="3"/>
      <c r="C147" s="3"/>
    </row>
    <row r="148" spans="2:3" ht="15.75" customHeight="1" x14ac:dyDescent="0.25">
      <c r="B148" s="3"/>
      <c r="C148" s="3"/>
    </row>
    <row r="149" spans="2:3" ht="15.75" customHeight="1" x14ac:dyDescent="0.25">
      <c r="B149" s="3"/>
      <c r="C149" s="3"/>
    </row>
    <row r="150" spans="2:3" ht="15.75" customHeight="1" x14ac:dyDescent="0.25">
      <c r="B150" s="3"/>
      <c r="C150" s="3"/>
    </row>
    <row r="151" spans="2:3" ht="15.75" customHeight="1" x14ac:dyDescent="0.25">
      <c r="B151" s="3"/>
      <c r="C151" s="3"/>
    </row>
    <row r="152" spans="2:3" ht="15.75" customHeight="1" x14ac:dyDescent="0.25">
      <c r="B152" s="3"/>
      <c r="C152" s="3"/>
    </row>
    <row r="153" spans="2:3" ht="15.75" customHeight="1" x14ac:dyDescent="0.25">
      <c r="B153" s="3"/>
      <c r="C153" s="3"/>
    </row>
    <row r="154" spans="2:3" ht="15.75" customHeight="1" x14ac:dyDescent="0.25">
      <c r="B154" s="3"/>
      <c r="C154" s="3"/>
    </row>
    <row r="155" spans="2:3" ht="15.75" customHeight="1" x14ac:dyDescent="0.25">
      <c r="B155" s="3"/>
      <c r="C155" s="3"/>
    </row>
    <row r="156" spans="2:3" ht="15.75" customHeight="1" x14ac:dyDescent="0.25">
      <c r="B156" s="3"/>
      <c r="C156" s="3"/>
    </row>
    <row r="157" spans="2:3" ht="15.75" customHeight="1" x14ac:dyDescent="0.25">
      <c r="B157" s="3"/>
      <c r="C157" s="3"/>
    </row>
    <row r="158" spans="2:3" ht="15.75" customHeight="1" x14ac:dyDescent="0.25">
      <c r="B158" s="3"/>
      <c r="C158" s="3"/>
    </row>
    <row r="159" spans="2:3" ht="15.75" customHeight="1" x14ac:dyDescent="0.25">
      <c r="B159" s="3"/>
      <c r="C159" s="3"/>
    </row>
    <row r="160" spans="2:3" ht="15.75" customHeight="1" x14ac:dyDescent="0.25">
      <c r="B160" s="3"/>
      <c r="C160" s="3"/>
    </row>
    <row r="161" spans="2:3" ht="15.75" customHeight="1" x14ac:dyDescent="0.25">
      <c r="B161" s="3"/>
      <c r="C161" s="3"/>
    </row>
    <row r="162" spans="2:3" ht="15.75" customHeight="1" x14ac:dyDescent="0.25">
      <c r="B162" s="3"/>
      <c r="C162" s="3"/>
    </row>
    <row r="163" spans="2:3" ht="15.75" customHeight="1" x14ac:dyDescent="0.25">
      <c r="B163" s="3"/>
      <c r="C163" s="3"/>
    </row>
    <row r="164" spans="2:3" ht="15.75" customHeight="1" x14ac:dyDescent="0.25">
      <c r="B164" s="3"/>
      <c r="C164" s="3"/>
    </row>
    <row r="165" spans="2:3" ht="15.75" customHeight="1" x14ac:dyDescent="0.25">
      <c r="B165" s="3"/>
      <c r="C165" s="3"/>
    </row>
    <row r="166" spans="2:3" ht="15.75" customHeight="1" x14ac:dyDescent="0.25">
      <c r="B166" s="3"/>
      <c r="C166" s="3"/>
    </row>
    <row r="167" spans="2:3" ht="15.75" customHeight="1" x14ac:dyDescent="0.25">
      <c r="B167" s="3"/>
      <c r="C167" s="3"/>
    </row>
    <row r="168" spans="2:3" ht="15.75" customHeight="1" x14ac:dyDescent="0.25">
      <c r="B168" s="3"/>
      <c r="C168" s="3"/>
    </row>
    <row r="169" spans="2:3" ht="15.75" customHeight="1" x14ac:dyDescent="0.25">
      <c r="B169" s="3"/>
      <c r="C169" s="3"/>
    </row>
    <row r="170" spans="2:3" ht="15.75" customHeight="1" x14ac:dyDescent="0.25">
      <c r="B170" s="3"/>
      <c r="C170" s="3"/>
    </row>
    <row r="171" spans="2:3" ht="15.75" customHeight="1" x14ac:dyDescent="0.25">
      <c r="B171" s="3"/>
      <c r="C171" s="3"/>
    </row>
    <row r="172" spans="2:3" ht="15.75" customHeight="1" x14ac:dyDescent="0.25">
      <c r="B172" s="3"/>
      <c r="C172" s="3"/>
    </row>
    <row r="173" spans="2:3" ht="15.75" customHeight="1" x14ac:dyDescent="0.25">
      <c r="B173" s="3"/>
      <c r="C173" s="3"/>
    </row>
    <row r="174" spans="2:3" ht="15.75" customHeight="1" x14ac:dyDescent="0.25">
      <c r="B174" s="3"/>
      <c r="C174" s="3"/>
    </row>
    <row r="175" spans="2:3" ht="15.75" customHeight="1" x14ac:dyDescent="0.25">
      <c r="B175" s="3"/>
      <c r="C175" s="3"/>
    </row>
    <row r="176" spans="2:3" ht="15.75" customHeight="1" x14ac:dyDescent="0.25">
      <c r="B176" s="3"/>
      <c r="C176" s="3"/>
    </row>
    <row r="177" spans="2:3" ht="15.75" customHeight="1" x14ac:dyDescent="0.25">
      <c r="B177" s="3"/>
      <c r="C177" s="3"/>
    </row>
    <row r="178" spans="2:3" ht="15.75" customHeight="1" x14ac:dyDescent="0.25">
      <c r="B178" s="3"/>
      <c r="C178" s="3"/>
    </row>
    <row r="179" spans="2:3" ht="15.75" customHeight="1" x14ac:dyDescent="0.25">
      <c r="B179" s="3"/>
      <c r="C179" s="3"/>
    </row>
    <row r="180" spans="2:3" ht="15.75" customHeight="1" x14ac:dyDescent="0.25">
      <c r="B180" s="3"/>
      <c r="C180" s="3"/>
    </row>
    <row r="181" spans="2:3" ht="15.75" customHeight="1" x14ac:dyDescent="0.25">
      <c r="B181" s="3"/>
      <c r="C181" s="3"/>
    </row>
    <row r="182" spans="2:3" ht="15.75" customHeight="1" x14ac:dyDescent="0.25">
      <c r="B182" s="3"/>
      <c r="C182" s="3"/>
    </row>
    <row r="183" spans="2:3" ht="15.75" customHeight="1" x14ac:dyDescent="0.25">
      <c r="B183" s="3"/>
      <c r="C183" s="3"/>
    </row>
    <row r="184" spans="2:3" ht="15.75" customHeight="1" x14ac:dyDescent="0.25">
      <c r="B184" s="3"/>
      <c r="C184" s="3"/>
    </row>
    <row r="185" spans="2:3" ht="15.75" customHeight="1" x14ac:dyDescent="0.25">
      <c r="B185" s="3"/>
      <c r="C185" s="3"/>
    </row>
    <row r="186" spans="2:3" ht="15.75" customHeight="1" x14ac:dyDescent="0.25">
      <c r="B186" s="3"/>
      <c r="C186" s="3"/>
    </row>
    <row r="187" spans="2:3" ht="15.75" customHeight="1" x14ac:dyDescent="0.25">
      <c r="B187" s="3"/>
      <c r="C187" s="3"/>
    </row>
    <row r="188" spans="2:3" ht="15.75" customHeight="1" x14ac:dyDescent="0.25">
      <c r="B188" s="3"/>
      <c r="C188" s="3"/>
    </row>
    <row r="189" spans="2:3" ht="15.75" customHeight="1" x14ac:dyDescent="0.25">
      <c r="B189" s="3"/>
      <c r="C189" s="3"/>
    </row>
    <row r="190" spans="2:3" ht="15.75" customHeight="1" x14ac:dyDescent="0.25">
      <c r="B190" s="3"/>
      <c r="C190" s="3"/>
    </row>
    <row r="191" spans="2:3" ht="15.75" customHeight="1" x14ac:dyDescent="0.25">
      <c r="B191" s="3"/>
      <c r="C191" s="3"/>
    </row>
    <row r="192" spans="2:3" ht="15.75" customHeight="1" x14ac:dyDescent="0.25">
      <c r="B192" s="3"/>
      <c r="C192" s="3"/>
    </row>
    <row r="193" spans="2:3" ht="15.75" customHeight="1" x14ac:dyDescent="0.25">
      <c r="B193" s="3"/>
      <c r="C193" s="3"/>
    </row>
    <row r="194" spans="2:3" ht="15.75" customHeight="1" x14ac:dyDescent="0.25">
      <c r="B194" s="3"/>
      <c r="C194" s="3"/>
    </row>
    <row r="195" spans="2:3" ht="15.75" customHeight="1" x14ac:dyDescent="0.25">
      <c r="B195" s="3"/>
      <c r="C195" s="3"/>
    </row>
    <row r="196" spans="2:3" ht="15.75" customHeight="1" x14ac:dyDescent="0.25">
      <c r="B196" s="3"/>
      <c r="C196" s="3"/>
    </row>
    <row r="197" spans="2:3" ht="15.75" customHeight="1" x14ac:dyDescent="0.25">
      <c r="B197" s="3"/>
      <c r="C197" s="3"/>
    </row>
    <row r="198" spans="2:3" ht="15.75" customHeight="1" x14ac:dyDescent="0.25">
      <c r="B198" s="3"/>
      <c r="C198" s="3"/>
    </row>
    <row r="199" spans="2:3" ht="15.75" customHeight="1" x14ac:dyDescent="0.25">
      <c r="B199" s="3"/>
      <c r="C199" s="3"/>
    </row>
    <row r="200" spans="2:3" ht="15.75" customHeight="1" x14ac:dyDescent="0.25">
      <c r="B200" s="3"/>
      <c r="C200" s="3"/>
    </row>
    <row r="201" spans="2:3" ht="15.75" customHeight="1" x14ac:dyDescent="0.25">
      <c r="B201" s="3"/>
      <c r="C201" s="3"/>
    </row>
    <row r="202" spans="2:3" ht="15.75" customHeight="1" x14ac:dyDescent="0.25">
      <c r="B202" s="3"/>
      <c r="C202" s="3"/>
    </row>
    <row r="203" spans="2:3" ht="15.75" customHeight="1" x14ac:dyDescent="0.25">
      <c r="B203" s="3"/>
      <c r="C203" s="3"/>
    </row>
    <row r="204" spans="2:3" ht="15.75" customHeight="1" x14ac:dyDescent="0.25">
      <c r="B204" s="3"/>
      <c r="C204" s="3"/>
    </row>
    <row r="205" spans="2:3" ht="15.75" customHeight="1" x14ac:dyDescent="0.25">
      <c r="B205" s="3"/>
      <c r="C205" s="3"/>
    </row>
    <row r="206" spans="2:3" ht="15.75" customHeight="1" x14ac:dyDescent="0.25">
      <c r="B206" s="3"/>
      <c r="C206" s="3"/>
    </row>
    <row r="207" spans="2:3" ht="15.75" customHeight="1" x14ac:dyDescent="0.25">
      <c r="B207" s="3"/>
      <c r="C207" s="3"/>
    </row>
    <row r="208" spans="2:3" ht="15.75" customHeight="1" x14ac:dyDescent="0.25">
      <c r="B208" s="3"/>
      <c r="C208" s="3"/>
    </row>
    <row r="209" spans="2:3" ht="15.75" customHeight="1" x14ac:dyDescent="0.25">
      <c r="B209" s="3"/>
      <c r="C209" s="3"/>
    </row>
    <row r="210" spans="2:3" ht="15.75" customHeight="1" x14ac:dyDescent="0.25">
      <c r="B210" s="3"/>
      <c r="C210" s="3"/>
    </row>
    <row r="211" spans="2:3" ht="15.75" customHeight="1" x14ac:dyDescent="0.25">
      <c r="B211" s="3"/>
      <c r="C211" s="3"/>
    </row>
    <row r="212" spans="2:3" ht="15.75" customHeight="1" x14ac:dyDescent="0.25">
      <c r="B212" s="3"/>
      <c r="C212" s="3"/>
    </row>
    <row r="213" spans="2:3" ht="15.75" customHeight="1" x14ac:dyDescent="0.25">
      <c r="B213" s="3"/>
      <c r="C213" s="3"/>
    </row>
    <row r="214" spans="2:3" ht="15.75" customHeight="1" x14ac:dyDescent="0.25">
      <c r="B214" s="3"/>
      <c r="C214" s="3"/>
    </row>
    <row r="215" spans="2:3" ht="15.75" customHeight="1" x14ac:dyDescent="0.25">
      <c r="B215" s="3"/>
      <c r="C215" s="3"/>
    </row>
    <row r="216" spans="2:3" ht="15.75" customHeight="1" x14ac:dyDescent="0.25">
      <c r="B216" s="3"/>
      <c r="C216" s="3"/>
    </row>
    <row r="217" spans="2:3" ht="15.75" customHeight="1" x14ac:dyDescent="0.25">
      <c r="B217" s="3"/>
      <c r="C217" s="3"/>
    </row>
    <row r="218" spans="2:3" ht="15.75" customHeight="1" x14ac:dyDescent="0.25">
      <c r="B218" s="3"/>
      <c r="C218" s="3"/>
    </row>
    <row r="219" spans="2:3" ht="15.75" customHeight="1" x14ac:dyDescent="0.25">
      <c r="B219" s="3"/>
      <c r="C219" s="3"/>
    </row>
    <row r="220" spans="2:3" ht="15.75" customHeight="1" x14ac:dyDescent="0.25">
      <c r="B220" s="3"/>
      <c r="C220" s="3"/>
    </row>
    <row r="221" spans="2:3" ht="15.75" customHeight="1" x14ac:dyDescent="0.25">
      <c r="B221" s="3"/>
      <c r="C221" s="3"/>
    </row>
    <row r="222" spans="2:3" ht="15.75" customHeight="1" x14ac:dyDescent="0.25">
      <c r="B222" s="3"/>
      <c r="C222" s="3"/>
    </row>
    <row r="223" spans="2:3" ht="15.75" customHeight="1" x14ac:dyDescent="0.25">
      <c r="B223" s="3"/>
      <c r="C223" s="3"/>
    </row>
    <row r="224" spans="2:3" ht="15.75" customHeight="1" x14ac:dyDescent="0.25">
      <c r="B224" s="3"/>
      <c r="C224" s="3"/>
    </row>
    <row r="225" spans="2:3" ht="15.75" customHeight="1" x14ac:dyDescent="0.25">
      <c r="B225" s="3"/>
      <c r="C225" s="3"/>
    </row>
    <row r="226" spans="2:3" ht="15.75" customHeight="1" x14ac:dyDescent="0.25">
      <c r="B226" s="3"/>
      <c r="C226" s="3"/>
    </row>
    <row r="227" spans="2:3" ht="15.75" customHeight="1" x14ac:dyDescent="0.25">
      <c r="B227" s="3"/>
      <c r="C227" s="3"/>
    </row>
    <row r="228" spans="2:3" ht="15.75" customHeight="1" x14ac:dyDescent="0.25">
      <c r="B228" s="3"/>
      <c r="C228" s="3"/>
    </row>
    <row r="229" spans="2:3" ht="15.75" customHeight="1" x14ac:dyDescent="0.25">
      <c r="B229" s="3"/>
      <c r="C229" s="3"/>
    </row>
    <row r="230" spans="2:3" ht="15.75" customHeight="1" x14ac:dyDescent="0.25">
      <c r="B230" s="3"/>
      <c r="C230" s="3"/>
    </row>
    <row r="231" spans="2:3" ht="15.75" customHeight="1" x14ac:dyDescent="0.25">
      <c r="B231" s="3"/>
      <c r="C231" s="3"/>
    </row>
    <row r="232" spans="2:3" ht="15.75" customHeight="1" x14ac:dyDescent="0.25">
      <c r="B232" s="3"/>
      <c r="C232" s="3"/>
    </row>
    <row r="233" spans="2:3" ht="15.75" customHeight="1" x14ac:dyDescent="0.25">
      <c r="B233" s="3"/>
      <c r="C233" s="3"/>
    </row>
    <row r="234" spans="2:3" ht="15.75" customHeight="1" x14ac:dyDescent="0.25">
      <c r="B234" s="3"/>
      <c r="C234" s="3"/>
    </row>
    <row r="235" spans="2:3" ht="15.75" customHeight="1" x14ac:dyDescent="0.25">
      <c r="B235" s="3"/>
      <c r="C235" s="3"/>
    </row>
    <row r="236" spans="2:3" ht="15.75" customHeight="1" x14ac:dyDescent="0.25">
      <c r="B236" s="3"/>
      <c r="C236" s="3"/>
    </row>
    <row r="237" spans="2:3" ht="15.75" customHeight="1" x14ac:dyDescent="0.25">
      <c r="B237" s="3"/>
      <c r="C237" s="3"/>
    </row>
    <row r="238" spans="2:3" ht="15.75" customHeight="1" x14ac:dyDescent="0.25">
      <c r="B238" s="3"/>
      <c r="C238" s="3"/>
    </row>
    <row r="239" spans="2:3" ht="15.75" customHeight="1" x14ac:dyDescent="0.25">
      <c r="B239" s="3"/>
      <c r="C239" s="3"/>
    </row>
    <row r="240" spans="2:3" ht="15.75" customHeight="1" x14ac:dyDescent="0.25">
      <c r="B240" s="3"/>
      <c r="C240" s="3"/>
    </row>
    <row r="241" spans="2:3" ht="15.75" customHeight="1" x14ac:dyDescent="0.25">
      <c r="B241" s="3"/>
      <c r="C241" s="3"/>
    </row>
    <row r="242" spans="2:3" ht="15.75" customHeight="1" x14ac:dyDescent="0.25">
      <c r="B242" s="3"/>
      <c r="C242" s="3"/>
    </row>
    <row r="243" spans="2:3" ht="15.75" customHeight="1" x14ac:dyDescent="0.25">
      <c r="B243" s="3"/>
      <c r="C243" s="3"/>
    </row>
    <row r="244" spans="2:3" ht="15.75" customHeight="1" x14ac:dyDescent="0.25">
      <c r="B244" s="3"/>
      <c r="C244" s="3"/>
    </row>
    <row r="245" spans="2:3" ht="15.75" customHeight="1" x14ac:dyDescent="0.25">
      <c r="B245" s="3"/>
      <c r="C245" s="3"/>
    </row>
    <row r="246" spans="2:3" ht="15.75" customHeight="1" x14ac:dyDescent="0.25">
      <c r="B246" s="3"/>
      <c r="C246" s="3"/>
    </row>
    <row r="247" spans="2:3" ht="15.75" customHeight="1" x14ac:dyDescent="0.25">
      <c r="B247" s="3"/>
      <c r="C247" s="3"/>
    </row>
    <row r="248" spans="2:3" ht="15.75" customHeight="1" x14ac:dyDescent="0.25">
      <c r="B248" s="3"/>
      <c r="C248" s="3"/>
    </row>
    <row r="249" spans="2:3" ht="15.75" customHeight="1" x14ac:dyDescent="0.25">
      <c r="B249" s="3"/>
      <c r="C249" s="3"/>
    </row>
    <row r="250" spans="2:3" ht="15.75" customHeight="1" x14ac:dyDescent="0.25">
      <c r="B250" s="3"/>
      <c r="C250" s="3"/>
    </row>
    <row r="251" spans="2:3" ht="15.75" customHeight="1" x14ac:dyDescent="0.25">
      <c r="B251" s="3"/>
      <c r="C251" s="3"/>
    </row>
    <row r="252" spans="2:3" ht="15.75" customHeight="1" x14ac:dyDescent="0.25">
      <c r="B252" s="3"/>
      <c r="C252" s="3"/>
    </row>
    <row r="253" spans="2:3" ht="15.75" customHeight="1" x14ac:dyDescent="0.25">
      <c r="B253" s="3"/>
      <c r="C253" s="3"/>
    </row>
    <row r="254" spans="2:3" ht="15.75" customHeight="1" x14ac:dyDescent="0.25">
      <c r="B254" s="3"/>
      <c r="C254" s="3"/>
    </row>
    <row r="255" spans="2:3" ht="15.75" customHeight="1" x14ac:dyDescent="0.25">
      <c r="B255" s="3"/>
      <c r="C255" s="3"/>
    </row>
    <row r="256" spans="2:3" ht="15.75" customHeight="1" x14ac:dyDescent="0.25">
      <c r="B256" s="3"/>
      <c r="C256" s="3"/>
    </row>
    <row r="257" spans="2:3" ht="15.75" customHeight="1" x14ac:dyDescent="0.25">
      <c r="B257" s="3"/>
      <c r="C257" s="3"/>
    </row>
    <row r="258" spans="2:3" ht="15.75" customHeight="1" x14ac:dyDescent="0.25">
      <c r="B258" s="3"/>
      <c r="C258" s="3"/>
    </row>
    <row r="259" spans="2:3" ht="15.75" customHeight="1" x14ac:dyDescent="0.25">
      <c r="B259" s="3"/>
      <c r="C259" s="3"/>
    </row>
    <row r="260" spans="2:3" ht="15.75" customHeight="1" x14ac:dyDescent="0.25">
      <c r="B260" s="3"/>
      <c r="C260" s="3"/>
    </row>
    <row r="261" spans="2:3" ht="15.75" customHeight="1" x14ac:dyDescent="0.25">
      <c r="B261" s="3"/>
      <c r="C261" s="3"/>
    </row>
    <row r="262" spans="2:3" ht="15.75" customHeight="1" x14ac:dyDescent="0.25">
      <c r="B262" s="3"/>
      <c r="C262" s="3"/>
    </row>
    <row r="263" spans="2:3" ht="15.75" customHeight="1" x14ac:dyDescent="0.25">
      <c r="B263" s="3"/>
      <c r="C263" s="3"/>
    </row>
    <row r="264" spans="2:3" ht="15.75" customHeight="1" x14ac:dyDescent="0.25">
      <c r="B264" s="3"/>
      <c r="C264" s="3"/>
    </row>
    <row r="265" spans="2:3" ht="15.75" customHeight="1" x14ac:dyDescent="0.25">
      <c r="B265" s="3"/>
      <c r="C265" s="3"/>
    </row>
    <row r="266" spans="2:3" ht="15.75" customHeight="1" x14ac:dyDescent="0.25">
      <c r="B266" s="3"/>
      <c r="C266" s="3"/>
    </row>
    <row r="267" spans="2:3" ht="15.75" customHeight="1" x14ac:dyDescent="0.25">
      <c r="B267" s="3"/>
      <c r="C267" s="3"/>
    </row>
    <row r="268" spans="2:3" ht="15.75" customHeight="1" x14ac:dyDescent="0.25">
      <c r="B268" s="3"/>
      <c r="C268" s="3"/>
    </row>
    <row r="269" spans="2:3" ht="15.75" customHeight="1" x14ac:dyDescent="0.25">
      <c r="B269" s="3"/>
      <c r="C269" s="3"/>
    </row>
    <row r="270" spans="2:3" ht="15.75" customHeight="1" x14ac:dyDescent="0.25">
      <c r="B270" s="3"/>
      <c r="C270" s="3"/>
    </row>
    <row r="271" spans="2:3" ht="15.75" customHeight="1" x14ac:dyDescent="0.25">
      <c r="B271" s="3"/>
      <c r="C271" s="3"/>
    </row>
    <row r="272" spans="2:3" ht="15.75" customHeight="1" x14ac:dyDescent="0.25">
      <c r="B272" s="3"/>
      <c r="C272" s="3"/>
    </row>
    <row r="273" spans="2:3" ht="15.75" customHeight="1" x14ac:dyDescent="0.25">
      <c r="B273" s="3"/>
      <c r="C273" s="3"/>
    </row>
    <row r="274" spans="2:3" ht="15.75" customHeight="1" x14ac:dyDescent="0.25">
      <c r="B274" s="3"/>
      <c r="C274" s="3"/>
    </row>
    <row r="275" spans="2:3" ht="15.75" customHeight="1" x14ac:dyDescent="0.25">
      <c r="B275" s="3"/>
      <c r="C275" s="3"/>
    </row>
    <row r="276" spans="2:3" ht="15.75" customHeight="1" x14ac:dyDescent="0.25">
      <c r="B276" s="3"/>
      <c r="C276" s="3"/>
    </row>
    <row r="277" spans="2:3" ht="15.75" customHeight="1" x14ac:dyDescent="0.25">
      <c r="B277" s="3"/>
      <c r="C277" s="3"/>
    </row>
    <row r="278" spans="2:3" ht="15.75" customHeight="1" x14ac:dyDescent="0.25">
      <c r="B278" s="3"/>
      <c r="C278" s="3"/>
    </row>
    <row r="279" spans="2:3" ht="15.75" customHeight="1" x14ac:dyDescent="0.25">
      <c r="B279" s="3"/>
      <c r="C279" s="3"/>
    </row>
    <row r="280" spans="2:3" ht="15.75" customHeight="1" x14ac:dyDescent="0.25">
      <c r="B280" s="3"/>
      <c r="C280" s="3"/>
    </row>
    <row r="281" spans="2:3" ht="15.75" customHeight="1" x14ac:dyDescent="0.25">
      <c r="B281" s="3"/>
      <c r="C281" s="3"/>
    </row>
    <row r="282" spans="2:3" ht="15.75" customHeight="1" x14ac:dyDescent="0.25">
      <c r="B282" s="3"/>
      <c r="C282" s="3"/>
    </row>
    <row r="283" spans="2:3" ht="15.75" customHeight="1" x14ac:dyDescent="0.25">
      <c r="B283" s="3"/>
      <c r="C283" s="3"/>
    </row>
    <row r="284" spans="2:3" ht="15.75" customHeight="1" x14ac:dyDescent="0.25">
      <c r="B284" s="3"/>
      <c r="C284" s="3"/>
    </row>
    <row r="285" spans="2:3" ht="15.75" customHeight="1" x14ac:dyDescent="0.25">
      <c r="B285" s="3"/>
      <c r="C285" s="3"/>
    </row>
    <row r="286" spans="2:3" ht="15.75" customHeight="1" x14ac:dyDescent="0.25">
      <c r="B286" s="3"/>
      <c r="C286" s="3"/>
    </row>
    <row r="287" spans="2:3" ht="15.75" customHeight="1" x14ac:dyDescent="0.25">
      <c r="B287" s="3"/>
      <c r="C287" s="3"/>
    </row>
    <row r="288" spans="2:3" ht="15.75" customHeight="1" x14ac:dyDescent="0.25">
      <c r="B288" s="3"/>
      <c r="C288" s="3"/>
    </row>
    <row r="289" spans="2:3" ht="15.75" customHeight="1" x14ac:dyDescent="0.25">
      <c r="B289" s="3"/>
      <c r="C289" s="3"/>
    </row>
    <row r="290" spans="2:3" ht="15.75" customHeight="1" x14ac:dyDescent="0.25">
      <c r="B290" s="3"/>
      <c r="C290" s="3"/>
    </row>
    <row r="291" spans="2:3" ht="15.75" customHeight="1" x14ac:dyDescent="0.25">
      <c r="B291" s="3"/>
      <c r="C291" s="3"/>
    </row>
    <row r="292" spans="2:3" ht="15.75" customHeight="1" x14ac:dyDescent="0.25">
      <c r="B292" s="3"/>
      <c r="C292" s="3"/>
    </row>
    <row r="293" spans="2:3" ht="15.75" customHeight="1" x14ac:dyDescent="0.25">
      <c r="B293" s="3"/>
      <c r="C293" s="3"/>
    </row>
    <row r="294" spans="2:3" ht="15.75" customHeight="1" x14ac:dyDescent="0.25">
      <c r="B294" s="3"/>
      <c r="C294" s="3"/>
    </row>
    <row r="295" spans="2:3" ht="15.75" customHeight="1" x14ac:dyDescent="0.25">
      <c r="B295" s="3"/>
      <c r="C295" s="3"/>
    </row>
    <row r="296" spans="2:3" ht="15.75" customHeight="1" x14ac:dyDescent="0.25">
      <c r="B296" s="3"/>
      <c r="C296" s="3"/>
    </row>
    <row r="297" spans="2:3" ht="15.75" customHeight="1" x14ac:dyDescent="0.25">
      <c r="B297" s="3"/>
      <c r="C297" s="3"/>
    </row>
    <row r="298" spans="2:3" ht="15.75" customHeight="1" x14ac:dyDescent="0.25">
      <c r="B298" s="3"/>
      <c r="C298" s="3"/>
    </row>
    <row r="299" spans="2:3" ht="15.75" customHeight="1" x14ac:dyDescent="0.25">
      <c r="B299" s="3"/>
      <c r="C299" s="3"/>
    </row>
    <row r="300" spans="2:3" ht="15.75" customHeight="1" x14ac:dyDescent="0.25">
      <c r="B300" s="3"/>
      <c r="C300" s="3"/>
    </row>
    <row r="301" spans="2:3" ht="15.75" customHeight="1" x14ac:dyDescent="0.25">
      <c r="B301" s="3"/>
      <c r="C301" s="3"/>
    </row>
    <row r="302" spans="2:3" ht="15.75" customHeight="1" x14ac:dyDescent="0.25">
      <c r="B302" s="3"/>
      <c r="C302" s="3"/>
    </row>
    <row r="303" spans="2:3" ht="15.75" customHeight="1" x14ac:dyDescent="0.25">
      <c r="B303" s="3"/>
      <c r="C303" s="3"/>
    </row>
    <row r="304" spans="2:3" ht="15.75" customHeight="1" x14ac:dyDescent="0.25">
      <c r="B304" s="3"/>
      <c r="C304" s="3"/>
    </row>
    <row r="305" spans="2:3" ht="15.75" customHeight="1" x14ac:dyDescent="0.25">
      <c r="B305" s="3"/>
      <c r="C305" s="3"/>
    </row>
    <row r="306" spans="2:3" ht="15.75" customHeight="1" x14ac:dyDescent="0.25">
      <c r="B306" s="3"/>
      <c r="C306" s="3"/>
    </row>
    <row r="307" spans="2:3" ht="15.75" customHeight="1" x14ac:dyDescent="0.25">
      <c r="B307" s="3"/>
      <c r="C307" s="3"/>
    </row>
    <row r="308" spans="2:3" ht="15.75" customHeight="1" x14ac:dyDescent="0.25">
      <c r="B308" s="3"/>
      <c r="C308" s="3"/>
    </row>
    <row r="309" spans="2:3" ht="15.75" customHeight="1" x14ac:dyDescent="0.25">
      <c r="B309" s="3"/>
      <c r="C309" s="3"/>
    </row>
    <row r="310" spans="2:3" ht="15.75" customHeight="1" x14ac:dyDescent="0.25">
      <c r="B310" s="3"/>
      <c r="C310" s="3"/>
    </row>
    <row r="311" spans="2:3" ht="15.75" customHeight="1" x14ac:dyDescent="0.25">
      <c r="B311" s="3"/>
      <c r="C311" s="3"/>
    </row>
    <row r="312" spans="2:3" ht="15.75" customHeight="1" x14ac:dyDescent="0.25">
      <c r="B312" s="3"/>
      <c r="C312" s="3"/>
    </row>
    <row r="313" spans="2:3" ht="15.75" customHeight="1" x14ac:dyDescent="0.25">
      <c r="B313" s="3"/>
      <c r="C313" s="3"/>
    </row>
    <row r="314" spans="2:3" ht="15.75" customHeight="1" x14ac:dyDescent="0.25">
      <c r="B314" s="3"/>
      <c r="C314" s="3"/>
    </row>
    <row r="315" spans="2:3" ht="15.75" customHeight="1" x14ac:dyDescent="0.25">
      <c r="B315" s="3"/>
      <c r="C315" s="3"/>
    </row>
    <row r="316" spans="2:3" ht="15.75" customHeight="1" x14ac:dyDescent="0.25">
      <c r="B316" s="3"/>
      <c r="C316" s="3"/>
    </row>
    <row r="317" spans="2:3" ht="15.75" customHeight="1" x14ac:dyDescent="0.25">
      <c r="B317" s="3"/>
      <c r="C317" s="3"/>
    </row>
    <row r="318" spans="2:3" ht="15.75" customHeight="1" x14ac:dyDescent="0.25">
      <c r="B318" s="3"/>
      <c r="C318" s="3"/>
    </row>
    <row r="319" spans="2:3" ht="15.75" customHeight="1" x14ac:dyDescent="0.25">
      <c r="B319" s="3"/>
      <c r="C319" s="3"/>
    </row>
    <row r="320" spans="2:3" ht="15.75" customHeight="1" x14ac:dyDescent="0.25">
      <c r="B320" s="3"/>
      <c r="C320" s="3"/>
    </row>
    <row r="321" spans="2:3" ht="15.75" customHeight="1" x14ac:dyDescent="0.25">
      <c r="B321" s="3"/>
      <c r="C321" s="3"/>
    </row>
    <row r="322" spans="2:3" ht="15.75" customHeight="1" x14ac:dyDescent="0.25">
      <c r="B322" s="3"/>
      <c r="C322" s="3"/>
    </row>
    <row r="323" spans="2:3" ht="15.75" customHeight="1" x14ac:dyDescent="0.25">
      <c r="B323" s="3"/>
      <c r="C323" s="3"/>
    </row>
    <row r="324" spans="2:3" ht="15.75" customHeight="1" x14ac:dyDescent="0.25">
      <c r="B324" s="3"/>
      <c r="C324" s="3"/>
    </row>
    <row r="325" spans="2:3" ht="15.75" customHeight="1" x14ac:dyDescent="0.25">
      <c r="B325" s="3"/>
      <c r="C325" s="3"/>
    </row>
    <row r="326" spans="2:3" ht="15.75" customHeight="1" x14ac:dyDescent="0.25">
      <c r="B326" s="3"/>
      <c r="C326" s="3"/>
    </row>
    <row r="327" spans="2:3" ht="15.75" customHeight="1" x14ac:dyDescent="0.25">
      <c r="B327" s="3"/>
      <c r="C327" s="3"/>
    </row>
    <row r="328" spans="2:3" ht="15.75" customHeight="1" x14ac:dyDescent="0.25">
      <c r="B328" s="3"/>
      <c r="C328" s="3"/>
    </row>
    <row r="329" spans="2:3" ht="15.75" customHeight="1" x14ac:dyDescent="0.25">
      <c r="B329" s="3"/>
      <c r="C329" s="3"/>
    </row>
    <row r="330" spans="2:3" ht="15.75" customHeight="1" x14ac:dyDescent="0.25">
      <c r="B330" s="3"/>
      <c r="C330" s="3"/>
    </row>
    <row r="331" spans="2:3" ht="15.75" customHeight="1" x14ac:dyDescent="0.25">
      <c r="B331" s="3"/>
      <c r="C331" s="3"/>
    </row>
    <row r="332" spans="2:3" ht="15.75" customHeight="1" x14ac:dyDescent="0.25">
      <c r="B332" s="3"/>
      <c r="C332" s="3"/>
    </row>
    <row r="333" spans="2:3" ht="15.75" customHeight="1" x14ac:dyDescent="0.25">
      <c r="B333" s="3"/>
      <c r="C333" s="3"/>
    </row>
    <row r="334" spans="2:3" ht="15.75" customHeight="1" x14ac:dyDescent="0.25">
      <c r="B334" s="3"/>
      <c r="C334" s="3"/>
    </row>
    <row r="335" spans="2:3" ht="15.75" customHeight="1" x14ac:dyDescent="0.25">
      <c r="B335" s="3"/>
      <c r="C335" s="3"/>
    </row>
    <row r="336" spans="2:3" ht="15.75" customHeight="1" x14ac:dyDescent="0.25">
      <c r="B336" s="3"/>
      <c r="C336" s="3"/>
    </row>
    <row r="337" spans="2:3" ht="15.75" customHeight="1" x14ac:dyDescent="0.25">
      <c r="B337" s="3"/>
      <c r="C337" s="3"/>
    </row>
    <row r="338" spans="2:3" ht="15.75" customHeight="1" x14ac:dyDescent="0.25">
      <c r="B338" s="3"/>
      <c r="C338" s="3"/>
    </row>
    <row r="339" spans="2:3" ht="15.75" customHeight="1" x14ac:dyDescent="0.25">
      <c r="B339" s="3"/>
      <c r="C339" s="3"/>
    </row>
    <row r="340" spans="2:3" ht="15.75" customHeight="1" x14ac:dyDescent="0.25">
      <c r="B340" s="3"/>
      <c r="C340" s="3"/>
    </row>
    <row r="341" spans="2:3" ht="15.75" customHeight="1" x14ac:dyDescent="0.25">
      <c r="B341" s="3"/>
      <c r="C341" s="3"/>
    </row>
    <row r="342" spans="2:3" ht="15.75" customHeight="1" x14ac:dyDescent="0.25">
      <c r="B342" s="3"/>
      <c r="C342" s="3"/>
    </row>
    <row r="343" spans="2:3" ht="15.75" customHeight="1" x14ac:dyDescent="0.25">
      <c r="B343" s="3"/>
      <c r="C343" s="3"/>
    </row>
    <row r="344" spans="2:3" ht="15.75" customHeight="1" x14ac:dyDescent="0.25">
      <c r="B344" s="3"/>
      <c r="C344" s="3"/>
    </row>
    <row r="345" spans="2:3" ht="15.75" customHeight="1" x14ac:dyDescent="0.25">
      <c r="B345" s="3"/>
      <c r="C345" s="3"/>
    </row>
    <row r="346" spans="2:3" ht="15.75" customHeight="1" x14ac:dyDescent="0.25">
      <c r="B346" s="3"/>
      <c r="C346" s="3"/>
    </row>
    <row r="347" spans="2:3" ht="15.75" customHeight="1" x14ac:dyDescent="0.25">
      <c r="B347" s="3"/>
      <c r="C347" s="3"/>
    </row>
    <row r="348" spans="2:3" ht="15.75" customHeight="1" x14ac:dyDescent="0.25">
      <c r="B348" s="3"/>
      <c r="C348" s="3"/>
    </row>
    <row r="349" spans="2:3" ht="15.75" customHeight="1" x14ac:dyDescent="0.25">
      <c r="B349" s="3"/>
      <c r="C349" s="3"/>
    </row>
    <row r="350" spans="2:3" ht="15.75" customHeight="1" x14ac:dyDescent="0.25">
      <c r="B350" s="3"/>
      <c r="C350" s="3"/>
    </row>
    <row r="351" spans="2:3" ht="15.75" customHeight="1" x14ac:dyDescent="0.25">
      <c r="B351" s="3"/>
      <c r="C351" s="3"/>
    </row>
    <row r="352" spans="2:3" ht="15.75" customHeight="1" x14ac:dyDescent="0.25">
      <c r="B352" s="3"/>
      <c r="C352" s="3"/>
    </row>
    <row r="353" spans="2:3" ht="15.75" customHeight="1" x14ac:dyDescent="0.25">
      <c r="B353" s="3"/>
      <c r="C353" s="3"/>
    </row>
    <row r="354" spans="2:3" ht="15.75" customHeight="1" x14ac:dyDescent="0.25">
      <c r="B354" s="3"/>
      <c r="C354" s="3"/>
    </row>
    <row r="355" spans="2:3" ht="15.75" customHeight="1" x14ac:dyDescent="0.25">
      <c r="B355" s="3"/>
      <c r="C355" s="3"/>
    </row>
    <row r="356" spans="2:3" ht="15.75" customHeight="1" x14ac:dyDescent="0.25">
      <c r="B356" s="3"/>
      <c r="C356" s="3"/>
    </row>
    <row r="357" spans="2:3" ht="15.75" customHeight="1" x14ac:dyDescent="0.25">
      <c r="B357" s="3"/>
      <c r="C357" s="3"/>
    </row>
    <row r="358" spans="2:3" ht="15.75" customHeight="1" x14ac:dyDescent="0.25">
      <c r="B358" s="3"/>
      <c r="C358" s="3"/>
    </row>
    <row r="359" spans="2:3" ht="15.75" customHeight="1" x14ac:dyDescent="0.25">
      <c r="B359" s="3"/>
      <c r="C359" s="3"/>
    </row>
    <row r="360" spans="2:3" ht="15.75" customHeight="1" x14ac:dyDescent="0.25">
      <c r="B360" s="3"/>
      <c r="C360" s="3"/>
    </row>
    <row r="361" spans="2:3" ht="15.75" customHeight="1" x14ac:dyDescent="0.25">
      <c r="B361" s="3"/>
      <c r="C361" s="3"/>
    </row>
    <row r="362" spans="2:3" ht="15.75" customHeight="1" x14ac:dyDescent="0.25">
      <c r="B362" s="3"/>
      <c r="C362" s="3"/>
    </row>
    <row r="363" spans="2:3" ht="15.75" customHeight="1" x14ac:dyDescent="0.25">
      <c r="B363" s="3"/>
      <c r="C363" s="3"/>
    </row>
    <row r="364" spans="2:3" ht="15.75" customHeight="1" x14ac:dyDescent="0.25">
      <c r="B364" s="3"/>
      <c r="C364" s="3"/>
    </row>
    <row r="365" spans="2:3" ht="15.75" customHeight="1" x14ac:dyDescent="0.25">
      <c r="B365" s="3"/>
      <c r="C365" s="3"/>
    </row>
    <row r="366" spans="2:3" ht="15.75" customHeight="1" x14ac:dyDescent="0.25">
      <c r="B366" s="3"/>
      <c r="C366" s="3"/>
    </row>
    <row r="367" spans="2:3" ht="15.75" customHeight="1" x14ac:dyDescent="0.25">
      <c r="B367" s="3"/>
      <c r="C367" s="3"/>
    </row>
    <row r="368" spans="2:3" ht="15.75" customHeight="1" x14ac:dyDescent="0.25">
      <c r="B368" s="3"/>
      <c r="C368" s="3"/>
    </row>
    <row r="369" spans="2:3" ht="15.75" customHeight="1" x14ac:dyDescent="0.25">
      <c r="B369" s="3"/>
      <c r="C369" s="3"/>
    </row>
    <row r="370" spans="2:3" ht="15.75" customHeight="1" x14ac:dyDescent="0.25">
      <c r="B370" s="3"/>
      <c r="C370" s="3"/>
    </row>
    <row r="371" spans="2:3" ht="15.75" customHeight="1" x14ac:dyDescent="0.25">
      <c r="B371" s="3"/>
      <c r="C371" s="3"/>
    </row>
    <row r="372" spans="2:3" ht="15.75" customHeight="1" x14ac:dyDescent="0.25">
      <c r="B372" s="3"/>
      <c r="C372" s="3"/>
    </row>
    <row r="373" spans="2:3" ht="15.75" customHeight="1" x14ac:dyDescent="0.25">
      <c r="B373" s="3"/>
      <c r="C373" s="3"/>
    </row>
    <row r="374" spans="2:3" ht="15.75" customHeight="1" x14ac:dyDescent="0.25">
      <c r="B374" s="3"/>
      <c r="C374" s="3"/>
    </row>
    <row r="375" spans="2:3" ht="15.75" customHeight="1" x14ac:dyDescent="0.25">
      <c r="B375" s="3"/>
      <c r="C375" s="3"/>
    </row>
    <row r="376" spans="2:3" ht="15.75" customHeight="1" x14ac:dyDescent="0.25">
      <c r="B376" s="3"/>
      <c r="C376" s="3"/>
    </row>
    <row r="377" spans="2:3" ht="15.75" customHeight="1" x14ac:dyDescent="0.25">
      <c r="B377" s="3"/>
      <c r="C377" s="3"/>
    </row>
    <row r="378" spans="2:3" ht="15.75" customHeight="1" x14ac:dyDescent="0.25">
      <c r="B378" s="3"/>
      <c r="C378" s="3"/>
    </row>
    <row r="379" spans="2:3" ht="15.75" customHeight="1" x14ac:dyDescent="0.25">
      <c r="B379" s="3"/>
      <c r="C379" s="3"/>
    </row>
    <row r="380" spans="2:3" ht="15.75" customHeight="1" x14ac:dyDescent="0.25">
      <c r="B380" s="3"/>
      <c r="C380" s="3"/>
    </row>
    <row r="381" spans="2:3" ht="15.75" customHeight="1" x14ac:dyDescent="0.25">
      <c r="B381" s="3"/>
      <c r="C381" s="3"/>
    </row>
    <row r="382" spans="2:3" ht="15.75" customHeight="1" x14ac:dyDescent="0.25">
      <c r="B382" s="3"/>
      <c r="C382" s="3"/>
    </row>
    <row r="383" spans="2:3" ht="15.75" customHeight="1" x14ac:dyDescent="0.25">
      <c r="B383" s="3"/>
      <c r="C383" s="3"/>
    </row>
    <row r="384" spans="2:3" ht="15.75" customHeight="1" x14ac:dyDescent="0.25">
      <c r="B384" s="3"/>
      <c r="C384" s="3"/>
    </row>
    <row r="385" spans="2:3" ht="15.75" customHeight="1" x14ac:dyDescent="0.25">
      <c r="B385" s="3"/>
      <c r="C385" s="3"/>
    </row>
    <row r="386" spans="2:3" ht="15.75" customHeight="1" x14ac:dyDescent="0.25">
      <c r="B386" s="3"/>
      <c r="C386" s="3"/>
    </row>
    <row r="387" spans="2:3" ht="15.75" customHeight="1" x14ac:dyDescent="0.25">
      <c r="B387" s="3"/>
      <c r="C387" s="3"/>
    </row>
    <row r="388" spans="2:3" ht="15.75" customHeight="1" x14ac:dyDescent="0.25">
      <c r="B388" s="3"/>
      <c r="C388" s="3"/>
    </row>
    <row r="389" spans="2:3" ht="15.75" customHeight="1" x14ac:dyDescent="0.25">
      <c r="B389" s="3"/>
      <c r="C389" s="3"/>
    </row>
    <row r="390" spans="2:3" ht="15.75" customHeight="1" x14ac:dyDescent="0.25">
      <c r="B390" s="3"/>
      <c r="C390" s="3"/>
    </row>
    <row r="391" spans="2:3" ht="15.75" customHeight="1" x14ac:dyDescent="0.25">
      <c r="B391" s="3"/>
      <c r="C391" s="3"/>
    </row>
    <row r="392" spans="2:3" ht="15.75" customHeight="1" x14ac:dyDescent="0.25">
      <c r="B392" s="3"/>
      <c r="C392" s="3"/>
    </row>
    <row r="393" spans="2:3" ht="15.75" customHeight="1" x14ac:dyDescent="0.25">
      <c r="B393" s="3"/>
      <c r="C393" s="3"/>
    </row>
    <row r="394" spans="2:3" ht="15.75" customHeight="1" x14ac:dyDescent="0.25">
      <c r="B394" s="3"/>
      <c r="C394" s="3"/>
    </row>
    <row r="395" spans="2:3" ht="15.75" customHeight="1" x14ac:dyDescent="0.25">
      <c r="B395" s="3"/>
      <c r="C395" s="3"/>
    </row>
    <row r="396" spans="2:3" ht="15.75" customHeight="1" x14ac:dyDescent="0.25">
      <c r="B396" s="3"/>
      <c r="C396" s="3"/>
    </row>
    <row r="397" spans="2:3" ht="15.75" customHeight="1" x14ac:dyDescent="0.25">
      <c r="B397" s="3"/>
      <c r="C397" s="3"/>
    </row>
    <row r="398" spans="2:3" ht="15.75" customHeight="1" x14ac:dyDescent="0.25">
      <c r="B398" s="3"/>
      <c r="C398" s="3"/>
    </row>
    <row r="399" spans="2:3" ht="15.75" customHeight="1" x14ac:dyDescent="0.25">
      <c r="B399" s="3"/>
      <c r="C399" s="3"/>
    </row>
    <row r="400" spans="2:3" ht="15.75" customHeight="1" x14ac:dyDescent="0.25">
      <c r="B400" s="3"/>
      <c r="C400" s="3"/>
    </row>
    <row r="401" spans="2:3" ht="15.75" customHeight="1" x14ac:dyDescent="0.25">
      <c r="B401" s="3"/>
      <c r="C401" s="3"/>
    </row>
    <row r="402" spans="2:3" ht="15.75" customHeight="1" x14ac:dyDescent="0.25">
      <c r="B402" s="3"/>
      <c r="C402" s="3"/>
    </row>
    <row r="403" spans="2:3" ht="15.75" customHeight="1" x14ac:dyDescent="0.25">
      <c r="B403" s="3"/>
      <c r="C403" s="3"/>
    </row>
    <row r="404" spans="2:3" ht="15.75" customHeight="1" x14ac:dyDescent="0.25">
      <c r="B404" s="3"/>
      <c r="C404" s="3"/>
    </row>
    <row r="405" spans="2:3" ht="15.75" customHeight="1" x14ac:dyDescent="0.25">
      <c r="B405" s="3"/>
      <c r="C405" s="3"/>
    </row>
    <row r="406" spans="2:3" ht="15.75" customHeight="1" x14ac:dyDescent="0.25">
      <c r="B406" s="3"/>
      <c r="C406" s="3"/>
    </row>
    <row r="407" spans="2:3" ht="15.75" customHeight="1" x14ac:dyDescent="0.25">
      <c r="B407" s="3"/>
      <c r="C407" s="3"/>
    </row>
    <row r="408" spans="2:3" ht="15.75" customHeight="1" x14ac:dyDescent="0.25">
      <c r="B408" s="3"/>
      <c r="C408" s="3"/>
    </row>
    <row r="409" spans="2:3" ht="15.75" customHeight="1" x14ac:dyDescent="0.25">
      <c r="B409" s="3"/>
      <c r="C409" s="3"/>
    </row>
    <row r="410" spans="2:3" ht="15.75" customHeight="1" x14ac:dyDescent="0.25">
      <c r="B410" s="3"/>
      <c r="C410" s="3"/>
    </row>
    <row r="411" spans="2:3" ht="15.75" customHeight="1" x14ac:dyDescent="0.25">
      <c r="B411" s="3"/>
      <c r="C411" s="3"/>
    </row>
    <row r="412" spans="2:3" ht="15.75" customHeight="1" x14ac:dyDescent="0.25">
      <c r="B412" s="3"/>
      <c r="C412" s="3"/>
    </row>
    <row r="413" spans="2:3" ht="15.75" customHeight="1" x14ac:dyDescent="0.25">
      <c r="B413" s="3"/>
      <c r="C413" s="3"/>
    </row>
    <row r="414" spans="2:3" ht="15.75" customHeight="1" x14ac:dyDescent="0.25">
      <c r="B414" s="3"/>
      <c r="C414" s="3"/>
    </row>
    <row r="415" spans="2:3" ht="15.75" customHeight="1" x14ac:dyDescent="0.25">
      <c r="B415" s="3"/>
      <c r="C415" s="3"/>
    </row>
    <row r="416" spans="2:3" ht="15.75" customHeight="1" x14ac:dyDescent="0.25">
      <c r="B416" s="3"/>
      <c r="C416" s="3"/>
    </row>
    <row r="417" spans="2:3" ht="15.75" customHeight="1" x14ac:dyDescent="0.25">
      <c r="B417" s="3"/>
      <c r="C417" s="3"/>
    </row>
    <row r="418" spans="2:3" ht="15.75" customHeight="1" x14ac:dyDescent="0.25">
      <c r="B418" s="3"/>
      <c r="C418" s="3"/>
    </row>
    <row r="419" spans="2:3" ht="15.75" customHeight="1" x14ac:dyDescent="0.25">
      <c r="B419" s="3"/>
      <c r="C419" s="3"/>
    </row>
    <row r="420" spans="2:3" ht="15.75" customHeight="1" x14ac:dyDescent="0.25">
      <c r="B420" s="3"/>
      <c r="C420" s="3"/>
    </row>
    <row r="421" spans="2:3" ht="15.75" customHeight="1" x14ac:dyDescent="0.25">
      <c r="B421" s="3"/>
      <c r="C421" s="3"/>
    </row>
    <row r="422" spans="2:3" ht="15.75" customHeight="1" x14ac:dyDescent="0.25">
      <c r="B422" s="3"/>
      <c r="C422" s="3"/>
    </row>
    <row r="423" spans="2:3" ht="15.75" customHeight="1" x14ac:dyDescent="0.25">
      <c r="B423" s="3"/>
      <c r="C423" s="3"/>
    </row>
    <row r="424" spans="2:3" ht="15.75" customHeight="1" x14ac:dyDescent="0.25">
      <c r="B424" s="3"/>
      <c r="C424" s="3"/>
    </row>
    <row r="425" spans="2:3" ht="15.75" customHeight="1" x14ac:dyDescent="0.25">
      <c r="B425" s="3"/>
      <c r="C425" s="3"/>
    </row>
    <row r="426" spans="2:3" ht="15.75" customHeight="1" x14ac:dyDescent="0.25">
      <c r="B426" s="3"/>
      <c r="C426" s="3"/>
    </row>
    <row r="427" spans="2:3" ht="15.75" customHeight="1" x14ac:dyDescent="0.25">
      <c r="B427" s="3"/>
      <c r="C427" s="3"/>
    </row>
    <row r="428" spans="2:3" ht="15.75" customHeight="1" x14ac:dyDescent="0.25">
      <c r="B428" s="3"/>
      <c r="C428" s="3"/>
    </row>
    <row r="429" spans="2:3" ht="15.75" customHeight="1" x14ac:dyDescent="0.25">
      <c r="B429" s="3"/>
      <c r="C429" s="3"/>
    </row>
    <row r="430" spans="2:3" ht="15.75" customHeight="1" x14ac:dyDescent="0.25">
      <c r="B430" s="3"/>
      <c r="C430" s="3"/>
    </row>
    <row r="431" spans="2:3" ht="15.75" customHeight="1" x14ac:dyDescent="0.25">
      <c r="B431" s="3"/>
      <c r="C431" s="3"/>
    </row>
    <row r="432" spans="2:3" ht="15.75" customHeight="1" x14ac:dyDescent="0.25">
      <c r="B432" s="3"/>
      <c r="C432" s="3"/>
    </row>
    <row r="433" spans="2:3" ht="15.75" customHeight="1" x14ac:dyDescent="0.25">
      <c r="B433" s="3"/>
      <c r="C433" s="3"/>
    </row>
    <row r="434" spans="2:3" ht="15.75" customHeight="1" x14ac:dyDescent="0.25">
      <c r="B434" s="3"/>
      <c r="C434" s="3"/>
    </row>
    <row r="435" spans="2:3" ht="15.75" customHeight="1" x14ac:dyDescent="0.25">
      <c r="B435" s="3"/>
      <c r="C435" s="3"/>
    </row>
    <row r="436" spans="2:3" ht="15.75" customHeight="1" x14ac:dyDescent="0.25">
      <c r="B436" s="3"/>
      <c r="C436" s="3"/>
    </row>
    <row r="437" spans="2:3" ht="15.75" customHeight="1" x14ac:dyDescent="0.25">
      <c r="B437" s="3"/>
      <c r="C437" s="3"/>
    </row>
    <row r="438" spans="2:3" ht="15.75" customHeight="1" x14ac:dyDescent="0.25">
      <c r="B438" s="3"/>
      <c r="C438" s="3"/>
    </row>
    <row r="439" spans="2:3" ht="15.75" customHeight="1" x14ac:dyDescent="0.25">
      <c r="B439" s="3"/>
      <c r="C439" s="3"/>
    </row>
    <row r="440" spans="2:3" ht="15.75" customHeight="1" x14ac:dyDescent="0.25">
      <c r="B440" s="3"/>
      <c r="C440" s="3"/>
    </row>
    <row r="441" spans="2:3" ht="15.75" customHeight="1" x14ac:dyDescent="0.25">
      <c r="B441" s="3"/>
      <c r="C441" s="3"/>
    </row>
    <row r="442" spans="2:3" ht="15.75" customHeight="1" x14ac:dyDescent="0.25">
      <c r="B442" s="3"/>
      <c r="C442" s="3"/>
    </row>
    <row r="443" spans="2:3" ht="15.75" customHeight="1" x14ac:dyDescent="0.25">
      <c r="B443" s="3"/>
      <c r="C443" s="3"/>
    </row>
    <row r="444" spans="2:3" ht="15.75" customHeight="1" x14ac:dyDescent="0.25">
      <c r="B444" s="3"/>
      <c r="C444" s="3"/>
    </row>
    <row r="445" spans="2:3" ht="15.75" customHeight="1" x14ac:dyDescent="0.25">
      <c r="B445" s="3"/>
      <c r="C445" s="3"/>
    </row>
    <row r="446" spans="2:3" ht="15.75" customHeight="1" x14ac:dyDescent="0.25">
      <c r="B446" s="3"/>
      <c r="C446" s="3"/>
    </row>
    <row r="447" spans="2:3" ht="15.75" customHeight="1" x14ac:dyDescent="0.25">
      <c r="B447" s="3"/>
      <c r="C447" s="3"/>
    </row>
    <row r="448" spans="2:3" ht="15.75" customHeight="1" x14ac:dyDescent="0.25">
      <c r="B448" s="3"/>
      <c r="C448" s="3"/>
    </row>
    <row r="449" spans="2:3" ht="15.75" customHeight="1" x14ac:dyDescent="0.25">
      <c r="B449" s="3"/>
      <c r="C449" s="3"/>
    </row>
    <row r="450" spans="2:3" ht="15.75" customHeight="1" x14ac:dyDescent="0.25">
      <c r="B450" s="3"/>
      <c r="C450" s="3"/>
    </row>
    <row r="451" spans="2:3" ht="15.75" customHeight="1" x14ac:dyDescent="0.25">
      <c r="B451" s="3"/>
      <c r="C451" s="3"/>
    </row>
    <row r="452" spans="2:3" ht="15.75" customHeight="1" x14ac:dyDescent="0.25">
      <c r="B452" s="3"/>
      <c r="C452" s="3"/>
    </row>
    <row r="453" spans="2:3" ht="15.75" customHeight="1" x14ac:dyDescent="0.25">
      <c r="B453" s="3"/>
      <c r="C453" s="3"/>
    </row>
    <row r="454" spans="2:3" ht="15.75" customHeight="1" x14ac:dyDescent="0.25">
      <c r="B454" s="3"/>
      <c r="C454" s="3"/>
    </row>
    <row r="455" spans="2:3" ht="15.75" customHeight="1" x14ac:dyDescent="0.25">
      <c r="B455" s="3"/>
      <c r="C455" s="3"/>
    </row>
    <row r="456" spans="2:3" ht="15.75" customHeight="1" x14ac:dyDescent="0.25">
      <c r="B456" s="3"/>
      <c r="C456" s="3"/>
    </row>
    <row r="457" spans="2:3" ht="15.75" customHeight="1" x14ac:dyDescent="0.25">
      <c r="B457" s="3"/>
      <c r="C457" s="3"/>
    </row>
    <row r="458" spans="2:3" ht="15.75" customHeight="1" x14ac:dyDescent="0.25">
      <c r="B458" s="3"/>
      <c r="C458" s="3"/>
    </row>
    <row r="459" spans="2:3" ht="15.75" customHeight="1" x14ac:dyDescent="0.25">
      <c r="B459" s="3"/>
      <c r="C459" s="3"/>
    </row>
    <row r="460" spans="2:3" ht="15.75" customHeight="1" x14ac:dyDescent="0.25">
      <c r="B460" s="3"/>
      <c r="C460" s="3"/>
    </row>
    <row r="461" spans="2:3" ht="15.75" customHeight="1" x14ac:dyDescent="0.25">
      <c r="B461" s="3"/>
      <c r="C461" s="3"/>
    </row>
    <row r="462" spans="2:3" ht="15.75" customHeight="1" x14ac:dyDescent="0.25">
      <c r="B462" s="3"/>
      <c r="C462" s="3"/>
    </row>
    <row r="463" spans="2:3" ht="15.75" customHeight="1" x14ac:dyDescent="0.25">
      <c r="B463" s="3"/>
      <c r="C463" s="3"/>
    </row>
    <row r="464" spans="2:3" ht="15.75" customHeight="1" x14ac:dyDescent="0.25">
      <c r="B464" s="3"/>
      <c r="C464" s="3"/>
    </row>
    <row r="465" spans="2:3" ht="15.75" customHeight="1" x14ac:dyDescent="0.25">
      <c r="B465" s="3"/>
      <c r="C465" s="3"/>
    </row>
    <row r="466" spans="2:3" ht="15.75" customHeight="1" x14ac:dyDescent="0.25">
      <c r="B466" s="3"/>
      <c r="C466" s="3"/>
    </row>
    <row r="467" spans="2:3" ht="15.75" customHeight="1" x14ac:dyDescent="0.25">
      <c r="B467" s="3"/>
      <c r="C467" s="3"/>
    </row>
    <row r="468" spans="2:3" ht="15.75" customHeight="1" x14ac:dyDescent="0.25">
      <c r="B468" s="3"/>
      <c r="C468" s="3"/>
    </row>
    <row r="469" spans="2:3" ht="15.75" customHeight="1" x14ac:dyDescent="0.25">
      <c r="B469" s="3"/>
      <c r="C469" s="3"/>
    </row>
    <row r="470" spans="2:3" ht="15.75" customHeight="1" x14ac:dyDescent="0.25">
      <c r="B470" s="3"/>
      <c r="C470" s="3"/>
    </row>
    <row r="471" spans="2:3" ht="15.75" customHeight="1" x14ac:dyDescent="0.25">
      <c r="B471" s="3"/>
      <c r="C471" s="3"/>
    </row>
    <row r="472" spans="2:3" ht="15.75" customHeight="1" x14ac:dyDescent="0.25">
      <c r="B472" s="3"/>
      <c r="C472" s="3"/>
    </row>
    <row r="473" spans="2:3" ht="15.75" customHeight="1" x14ac:dyDescent="0.25">
      <c r="B473" s="3"/>
      <c r="C473" s="3"/>
    </row>
    <row r="474" spans="2:3" ht="15.75" customHeight="1" x14ac:dyDescent="0.25">
      <c r="B474" s="3"/>
      <c r="C474" s="3"/>
    </row>
    <row r="475" spans="2:3" ht="15.75" customHeight="1" x14ac:dyDescent="0.25">
      <c r="B475" s="3"/>
      <c r="C475" s="3"/>
    </row>
    <row r="476" spans="2:3" ht="15.75" customHeight="1" x14ac:dyDescent="0.25">
      <c r="B476" s="3"/>
      <c r="C476" s="3"/>
    </row>
    <row r="477" spans="2:3" ht="15.75" customHeight="1" x14ac:dyDescent="0.25">
      <c r="B477" s="3"/>
      <c r="C477" s="3"/>
    </row>
    <row r="478" spans="2:3" ht="15.75" customHeight="1" x14ac:dyDescent="0.25">
      <c r="B478" s="3"/>
      <c r="C478" s="3"/>
    </row>
    <row r="479" spans="2:3" ht="15.75" customHeight="1" x14ac:dyDescent="0.25">
      <c r="B479" s="3"/>
      <c r="C479" s="3"/>
    </row>
    <row r="480" spans="2:3" ht="15.75" customHeight="1" x14ac:dyDescent="0.25">
      <c r="B480" s="3"/>
      <c r="C480" s="3"/>
    </row>
    <row r="481" spans="2:3" ht="15.75" customHeight="1" x14ac:dyDescent="0.25">
      <c r="B481" s="3"/>
      <c r="C481" s="3"/>
    </row>
    <row r="482" spans="2:3" ht="15.75" customHeight="1" x14ac:dyDescent="0.25">
      <c r="B482" s="3"/>
      <c r="C482" s="3"/>
    </row>
    <row r="483" spans="2:3" ht="15.75" customHeight="1" x14ac:dyDescent="0.25">
      <c r="B483" s="3"/>
      <c r="C483" s="3"/>
    </row>
    <row r="484" spans="2:3" ht="15.75" customHeight="1" x14ac:dyDescent="0.25">
      <c r="B484" s="3"/>
      <c r="C484" s="3"/>
    </row>
    <row r="485" spans="2:3" ht="15.75" customHeight="1" x14ac:dyDescent="0.25">
      <c r="B485" s="3"/>
      <c r="C485" s="3"/>
    </row>
    <row r="486" spans="2:3" ht="15.75" customHeight="1" x14ac:dyDescent="0.25">
      <c r="B486" s="3"/>
      <c r="C486" s="3"/>
    </row>
    <row r="487" spans="2:3" ht="15.75" customHeight="1" x14ac:dyDescent="0.25">
      <c r="B487" s="3"/>
      <c r="C487" s="3"/>
    </row>
    <row r="488" spans="2:3" ht="15.75" customHeight="1" x14ac:dyDescent="0.25">
      <c r="B488" s="3"/>
      <c r="C488" s="3"/>
    </row>
    <row r="489" spans="2:3" ht="15.75" customHeight="1" x14ac:dyDescent="0.25">
      <c r="B489" s="3"/>
      <c r="C489" s="3"/>
    </row>
    <row r="490" spans="2:3" ht="15.75" customHeight="1" x14ac:dyDescent="0.25">
      <c r="B490" s="3"/>
      <c r="C490" s="3"/>
    </row>
    <row r="491" spans="2:3" ht="15.75" customHeight="1" x14ac:dyDescent="0.25">
      <c r="B491" s="3"/>
      <c r="C491" s="3"/>
    </row>
    <row r="492" spans="2:3" ht="15.75" customHeight="1" x14ac:dyDescent="0.25">
      <c r="B492" s="3"/>
      <c r="C492" s="3"/>
    </row>
    <row r="493" spans="2:3" ht="15.75" customHeight="1" x14ac:dyDescent="0.25">
      <c r="B493" s="3"/>
      <c r="C493" s="3"/>
    </row>
    <row r="494" spans="2:3" ht="15.75" customHeight="1" x14ac:dyDescent="0.25">
      <c r="B494" s="3"/>
      <c r="C494" s="3"/>
    </row>
    <row r="495" spans="2:3" ht="15.75" customHeight="1" x14ac:dyDescent="0.25">
      <c r="B495" s="3"/>
      <c r="C495" s="3"/>
    </row>
    <row r="496" spans="2:3" ht="15.75" customHeight="1" x14ac:dyDescent="0.25">
      <c r="B496" s="3"/>
      <c r="C496" s="3"/>
    </row>
    <row r="497" spans="2:3" ht="15.75" customHeight="1" x14ac:dyDescent="0.25">
      <c r="B497" s="3"/>
      <c r="C497" s="3"/>
    </row>
    <row r="498" spans="2:3" ht="15.75" customHeight="1" x14ac:dyDescent="0.25">
      <c r="B498" s="3"/>
      <c r="C498" s="3"/>
    </row>
    <row r="499" spans="2:3" ht="15.75" customHeight="1" x14ac:dyDescent="0.25">
      <c r="B499" s="3"/>
      <c r="C499" s="3"/>
    </row>
    <row r="500" spans="2:3" ht="15.75" customHeight="1" x14ac:dyDescent="0.25">
      <c r="B500" s="3"/>
      <c r="C500" s="3"/>
    </row>
    <row r="501" spans="2:3" ht="15.75" customHeight="1" x14ac:dyDescent="0.25">
      <c r="B501" s="3"/>
      <c r="C501" s="3"/>
    </row>
    <row r="502" spans="2:3" ht="15.75" customHeight="1" x14ac:dyDescent="0.25">
      <c r="B502" s="3"/>
      <c r="C502" s="3"/>
    </row>
    <row r="503" spans="2:3" ht="15.75" customHeight="1" x14ac:dyDescent="0.25">
      <c r="B503" s="3"/>
      <c r="C503" s="3"/>
    </row>
    <row r="504" spans="2:3" ht="15.75" customHeight="1" x14ac:dyDescent="0.25">
      <c r="B504" s="3"/>
      <c r="C504" s="3"/>
    </row>
    <row r="505" spans="2:3" ht="15.75" customHeight="1" x14ac:dyDescent="0.25">
      <c r="B505" s="3"/>
      <c r="C505" s="3"/>
    </row>
    <row r="506" spans="2:3" ht="15.75" customHeight="1" x14ac:dyDescent="0.25">
      <c r="B506" s="3"/>
      <c r="C506" s="3"/>
    </row>
    <row r="507" spans="2:3" ht="15.75" customHeight="1" x14ac:dyDescent="0.25">
      <c r="B507" s="3"/>
      <c r="C507" s="3"/>
    </row>
    <row r="508" spans="2:3" ht="15.75" customHeight="1" x14ac:dyDescent="0.25">
      <c r="B508" s="3"/>
      <c r="C508" s="3"/>
    </row>
    <row r="509" spans="2:3" ht="15.75" customHeight="1" x14ac:dyDescent="0.25">
      <c r="B509" s="3"/>
      <c r="C509" s="3"/>
    </row>
    <row r="510" spans="2:3" ht="15.75" customHeight="1" x14ac:dyDescent="0.25">
      <c r="B510" s="3"/>
      <c r="C510" s="3"/>
    </row>
    <row r="511" spans="2:3" ht="15.75" customHeight="1" x14ac:dyDescent="0.25">
      <c r="B511" s="3"/>
      <c r="C511" s="3"/>
    </row>
    <row r="512" spans="2:3" ht="15.75" customHeight="1" x14ac:dyDescent="0.25">
      <c r="B512" s="3"/>
      <c r="C512" s="3"/>
    </row>
    <row r="513" spans="2:3" ht="15.75" customHeight="1" x14ac:dyDescent="0.25">
      <c r="B513" s="3"/>
      <c r="C513" s="3"/>
    </row>
    <row r="514" spans="2:3" ht="15.75" customHeight="1" x14ac:dyDescent="0.25">
      <c r="B514" s="3"/>
      <c r="C514" s="3"/>
    </row>
    <row r="515" spans="2:3" ht="15.75" customHeight="1" x14ac:dyDescent="0.25">
      <c r="B515" s="3"/>
      <c r="C515" s="3"/>
    </row>
    <row r="516" spans="2:3" ht="15.75" customHeight="1" x14ac:dyDescent="0.25">
      <c r="B516" s="3"/>
      <c r="C516" s="3"/>
    </row>
    <row r="517" spans="2:3" ht="15.75" customHeight="1" x14ac:dyDescent="0.25">
      <c r="B517" s="3"/>
      <c r="C517" s="3"/>
    </row>
    <row r="518" spans="2:3" ht="15.75" customHeight="1" x14ac:dyDescent="0.25">
      <c r="B518" s="3"/>
      <c r="C518" s="3"/>
    </row>
    <row r="519" spans="2:3" ht="15.75" customHeight="1" x14ac:dyDescent="0.25">
      <c r="B519" s="3"/>
      <c r="C519" s="3"/>
    </row>
    <row r="520" spans="2:3" ht="15.75" customHeight="1" x14ac:dyDescent="0.25">
      <c r="B520" s="3"/>
      <c r="C520" s="3"/>
    </row>
    <row r="521" spans="2:3" ht="15.75" customHeight="1" x14ac:dyDescent="0.25">
      <c r="B521" s="3"/>
      <c r="C521" s="3"/>
    </row>
    <row r="522" spans="2:3" ht="15.75" customHeight="1" x14ac:dyDescent="0.25">
      <c r="B522" s="3"/>
      <c r="C522" s="3"/>
    </row>
    <row r="523" spans="2:3" ht="15.75" customHeight="1" x14ac:dyDescent="0.25">
      <c r="B523" s="3"/>
      <c r="C523" s="3"/>
    </row>
    <row r="524" spans="2:3" ht="15.75" customHeight="1" x14ac:dyDescent="0.25">
      <c r="B524" s="3"/>
      <c r="C524" s="3"/>
    </row>
    <row r="525" spans="2:3" ht="15.75" customHeight="1" x14ac:dyDescent="0.25">
      <c r="B525" s="3"/>
      <c r="C525" s="3"/>
    </row>
    <row r="526" spans="2:3" ht="15.75" customHeight="1" x14ac:dyDescent="0.25">
      <c r="B526" s="3"/>
      <c r="C526" s="3"/>
    </row>
    <row r="527" spans="2:3" ht="15.75" customHeight="1" x14ac:dyDescent="0.25">
      <c r="B527" s="3"/>
      <c r="C527" s="3"/>
    </row>
    <row r="528" spans="2:3" ht="15.75" customHeight="1" x14ac:dyDescent="0.25">
      <c r="B528" s="3"/>
      <c r="C528" s="3"/>
    </row>
    <row r="529" spans="2:3" ht="15.75" customHeight="1" x14ac:dyDescent="0.25">
      <c r="B529" s="3"/>
      <c r="C529" s="3"/>
    </row>
    <row r="530" spans="2:3" ht="15.75" customHeight="1" x14ac:dyDescent="0.25">
      <c r="B530" s="3"/>
      <c r="C530" s="3"/>
    </row>
    <row r="531" spans="2:3" ht="15.75" customHeight="1" x14ac:dyDescent="0.25">
      <c r="B531" s="3"/>
      <c r="C531" s="3"/>
    </row>
    <row r="532" spans="2:3" ht="15.75" customHeight="1" x14ac:dyDescent="0.25">
      <c r="B532" s="3"/>
      <c r="C532" s="3"/>
    </row>
    <row r="533" spans="2:3" ht="15.75" customHeight="1" x14ac:dyDescent="0.25">
      <c r="B533" s="3"/>
      <c r="C533" s="3"/>
    </row>
    <row r="534" spans="2:3" ht="15.75" customHeight="1" x14ac:dyDescent="0.25">
      <c r="B534" s="3"/>
      <c r="C534" s="3"/>
    </row>
    <row r="535" spans="2:3" ht="15.75" customHeight="1" x14ac:dyDescent="0.25">
      <c r="B535" s="3"/>
      <c r="C535" s="3"/>
    </row>
    <row r="536" spans="2:3" ht="15.75" customHeight="1" x14ac:dyDescent="0.25">
      <c r="B536" s="3"/>
      <c r="C536" s="3"/>
    </row>
    <row r="537" spans="2:3" ht="15.75" customHeight="1" x14ac:dyDescent="0.25">
      <c r="B537" s="3"/>
      <c r="C537" s="3"/>
    </row>
    <row r="538" spans="2:3" ht="15.75" customHeight="1" x14ac:dyDescent="0.25">
      <c r="B538" s="3"/>
      <c r="C538" s="3"/>
    </row>
    <row r="539" spans="2:3" ht="15.75" customHeight="1" x14ac:dyDescent="0.25">
      <c r="B539" s="3"/>
      <c r="C539" s="3"/>
    </row>
    <row r="540" spans="2:3" ht="15.75" customHeight="1" x14ac:dyDescent="0.25">
      <c r="B540" s="3"/>
      <c r="C540" s="3"/>
    </row>
    <row r="541" spans="2:3" ht="15.75" customHeight="1" x14ac:dyDescent="0.25">
      <c r="B541" s="3"/>
      <c r="C541" s="3"/>
    </row>
    <row r="542" spans="2:3" ht="15.75" customHeight="1" x14ac:dyDescent="0.25">
      <c r="B542" s="3"/>
      <c r="C542" s="3"/>
    </row>
    <row r="543" spans="2:3" ht="15.75" customHeight="1" x14ac:dyDescent="0.25">
      <c r="B543" s="3"/>
      <c r="C543" s="3"/>
    </row>
    <row r="544" spans="2:3" ht="15.75" customHeight="1" x14ac:dyDescent="0.25">
      <c r="B544" s="3"/>
      <c r="C544" s="3"/>
    </row>
    <row r="545" spans="2:3" ht="15.75" customHeight="1" x14ac:dyDescent="0.25">
      <c r="B545" s="3"/>
      <c r="C545" s="3"/>
    </row>
    <row r="546" spans="2:3" ht="15.75" customHeight="1" x14ac:dyDescent="0.25">
      <c r="B546" s="3"/>
      <c r="C546" s="3"/>
    </row>
    <row r="547" spans="2:3" ht="15.75" customHeight="1" x14ac:dyDescent="0.25">
      <c r="B547" s="3"/>
      <c r="C547" s="3"/>
    </row>
    <row r="548" spans="2:3" ht="15.75" customHeight="1" x14ac:dyDescent="0.25">
      <c r="B548" s="3"/>
      <c r="C548" s="3"/>
    </row>
    <row r="549" spans="2:3" ht="15.75" customHeight="1" x14ac:dyDescent="0.25">
      <c r="B549" s="3"/>
      <c r="C549" s="3"/>
    </row>
    <row r="550" spans="2:3" ht="15.75" customHeight="1" x14ac:dyDescent="0.25">
      <c r="B550" s="3"/>
      <c r="C550" s="3"/>
    </row>
    <row r="551" spans="2:3" ht="15.75" customHeight="1" x14ac:dyDescent="0.25">
      <c r="B551" s="3"/>
      <c r="C551" s="3"/>
    </row>
    <row r="552" spans="2:3" ht="15.75" customHeight="1" x14ac:dyDescent="0.25">
      <c r="B552" s="3"/>
      <c r="C552" s="3"/>
    </row>
    <row r="553" spans="2:3" ht="15.75" customHeight="1" x14ac:dyDescent="0.25">
      <c r="B553" s="3"/>
      <c r="C553" s="3"/>
    </row>
    <row r="554" spans="2:3" ht="15.75" customHeight="1" x14ac:dyDescent="0.25">
      <c r="B554" s="3"/>
      <c r="C554" s="3"/>
    </row>
    <row r="555" spans="2:3" ht="15.75" customHeight="1" x14ac:dyDescent="0.25">
      <c r="B555" s="3"/>
      <c r="C555" s="3"/>
    </row>
    <row r="556" spans="2:3" ht="15.75" customHeight="1" x14ac:dyDescent="0.25">
      <c r="B556" s="3"/>
      <c r="C556" s="3"/>
    </row>
    <row r="557" spans="2:3" ht="15.75" customHeight="1" x14ac:dyDescent="0.25">
      <c r="B557" s="3"/>
      <c r="C557" s="3"/>
    </row>
    <row r="558" spans="2:3" ht="15.75" customHeight="1" x14ac:dyDescent="0.25">
      <c r="B558" s="3"/>
      <c r="C558" s="3"/>
    </row>
    <row r="559" spans="2:3" ht="15.75" customHeight="1" x14ac:dyDescent="0.25">
      <c r="B559" s="3"/>
      <c r="C559" s="3"/>
    </row>
    <row r="560" spans="2:3" ht="15.75" customHeight="1" x14ac:dyDescent="0.25">
      <c r="B560" s="3"/>
      <c r="C560" s="3"/>
    </row>
    <row r="561" spans="2:3" ht="15.75" customHeight="1" x14ac:dyDescent="0.25">
      <c r="B561" s="3"/>
      <c r="C561" s="3"/>
    </row>
    <row r="562" spans="2:3" ht="15.75" customHeight="1" x14ac:dyDescent="0.25">
      <c r="B562" s="3"/>
      <c r="C562" s="3"/>
    </row>
    <row r="563" spans="2:3" ht="15.75" customHeight="1" x14ac:dyDescent="0.25">
      <c r="B563" s="3"/>
      <c r="C563" s="3"/>
    </row>
    <row r="564" spans="2:3" ht="15.75" customHeight="1" x14ac:dyDescent="0.25">
      <c r="B564" s="3"/>
      <c r="C564" s="3"/>
    </row>
    <row r="565" spans="2:3" ht="15.75" customHeight="1" x14ac:dyDescent="0.25">
      <c r="B565" s="3"/>
      <c r="C565" s="3"/>
    </row>
    <row r="566" spans="2:3" ht="15.75" customHeight="1" x14ac:dyDescent="0.25">
      <c r="B566" s="3"/>
      <c r="C566" s="3"/>
    </row>
    <row r="567" spans="2:3" ht="15.75" customHeight="1" x14ac:dyDescent="0.25">
      <c r="B567" s="3"/>
      <c r="C567" s="3"/>
    </row>
    <row r="568" spans="2:3" ht="15.75" customHeight="1" x14ac:dyDescent="0.25">
      <c r="B568" s="3"/>
      <c r="C568" s="3"/>
    </row>
    <row r="569" spans="2:3" ht="15.75" customHeight="1" x14ac:dyDescent="0.25">
      <c r="B569" s="3"/>
      <c r="C569" s="3"/>
    </row>
    <row r="570" spans="2:3" ht="15.75" customHeight="1" x14ac:dyDescent="0.25">
      <c r="B570" s="3"/>
      <c r="C570" s="3"/>
    </row>
    <row r="571" spans="2:3" ht="15.75" customHeight="1" x14ac:dyDescent="0.25">
      <c r="B571" s="3"/>
      <c r="C571" s="3"/>
    </row>
    <row r="572" spans="2:3" ht="15.75" customHeight="1" x14ac:dyDescent="0.25">
      <c r="B572" s="3"/>
      <c r="C572" s="3"/>
    </row>
    <row r="573" spans="2:3" ht="15.75" customHeight="1" x14ac:dyDescent="0.25">
      <c r="B573" s="3"/>
      <c r="C573" s="3"/>
    </row>
    <row r="574" spans="2:3" ht="15.75" customHeight="1" x14ac:dyDescent="0.25">
      <c r="B574" s="3"/>
      <c r="C574" s="3"/>
    </row>
    <row r="575" spans="2:3" ht="15.75" customHeight="1" x14ac:dyDescent="0.25">
      <c r="B575" s="3"/>
      <c r="C575" s="3"/>
    </row>
    <row r="576" spans="2:3" ht="15.75" customHeight="1" x14ac:dyDescent="0.25">
      <c r="B576" s="3"/>
      <c r="C576" s="3"/>
    </row>
    <row r="577" spans="2:3" ht="15.75" customHeight="1" x14ac:dyDescent="0.25">
      <c r="B577" s="3"/>
      <c r="C577" s="3"/>
    </row>
    <row r="578" spans="2:3" ht="15.75" customHeight="1" x14ac:dyDescent="0.25">
      <c r="B578" s="3"/>
      <c r="C578" s="3"/>
    </row>
    <row r="579" spans="2:3" ht="15.75" customHeight="1" x14ac:dyDescent="0.25">
      <c r="B579" s="3"/>
      <c r="C579" s="3"/>
    </row>
    <row r="580" spans="2:3" ht="15.75" customHeight="1" x14ac:dyDescent="0.25">
      <c r="B580" s="3"/>
      <c r="C580" s="3"/>
    </row>
    <row r="581" spans="2:3" ht="15.75" customHeight="1" x14ac:dyDescent="0.25">
      <c r="B581" s="3"/>
      <c r="C581" s="3"/>
    </row>
    <row r="582" spans="2:3" ht="15.75" customHeight="1" x14ac:dyDescent="0.25">
      <c r="B582" s="3"/>
      <c r="C582" s="3"/>
    </row>
    <row r="583" spans="2:3" ht="15.75" customHeight="1" x14ac:dyDescent="0.25">
      <c r="B583" s="3"/>
      <c r="C583" s="3"/>
    </row>
    <row r="584" spans="2:3" ht="15.75" customHeight="1" x14ac:dyDescent="0.25">
      <c r="B584" s="3"/>
      <c r="C584" s="3"/>
    </row>
    <row r="585" spans="2:3" ht="15.75" customHeight="1" x14ac:dyDescent="0.25">
      <c r="B585" s="3"/>
      <c r="C585" s="3"/>
    </row>
    <row r="586" spans="2:3" ht="15.75" customHeight="1" x14ac:dyDescent="0.25">
      <c r="B586" s="3"/>
      <c r="C586" s="3"/>
    </row>
    <row r="587" spans="2:3" ht="15.75" customHeight="1" x14ac:dyDescent="0.25">
      <c r="B587" s="3"/>
      <c r="C587" s="3"/>
    </row>
    <row r="588" spans="2:3" ht="15.75" customHeight="1" x14ac:dyDescent="0.25">
      <c r="B588" s="3"/>
      <c r="C588" s="3"/>
    </row>
    <row r="589" spans="2:3" ht="15.75" customHeight="1" x14ac:dyDescent="0.25">
      <c r="B589" s="3"/>
      <c r="C589" s="3"/>
    </row>
    <row r="590" spans="2:3" ht="15.75" customHeight="1" x14ac:dyDescent="0.25">
      <c r="B590" s="3"/>
      <c r="C590" s="3"/>
    </row>
    <row r="591" spans="2:3" ht="15.75" customHeight="1" x14ac:dyDescent="0.25">
      <c r="B591" s="3"/>
      <c r="C591" s="3"/>
    </row>
    <row r="592" spans="2:3" ht="15.75" customHeight="1" x14ac:dyDescent="0.25">
      <c r="B592" s="3"/>
      <c r="C592" s="3"/>
    </row>
    <row r="593" spans="2:3" ht="15.75" customHeight="1" x14ac:dyDescent="0.25">
      <c r="B593" s="3"/>
      <c r="C593" s="3"/>
    </row>
    <row r="594" spans="2:3" ht="15.75" customHeight="1" x14ac:dyDescent="0.25">
      <c r="B594" s="3"/>
      <c r="C594" s="3"/>
    </row>
    <row r="595" spans="2:3" ht="15.75" customHeight="1" x14ac:dyDescent="0.25">
      <c r="B595" s="3"/>
      <c r="C595" s="3"/>
    </row>
    <row r="596" spans="2:3" ht="15.75" customHeight="1" x14ac:dyDescent="0.25">
      <c r="B596" s="3"/>
      <c r="C596" s="3"/>
    </row>
    <row r="597" spans="2:3" ht="15.75" customHeight="1" x14ac:dyDescent="0.25">
      <c r="B597" s="3"/>
      <c r="C597" s="3"/>
    </row>
    <row r="598" spans="2:3" ht="15.75" customHeight="1" x14ac:dyDescent="0.25">
      <c r="B598" s="3"/>
      <c r="C598" s="3"/>
    </row>
    <row r="599" spans="2:3" ht="15.75" customHeight="1" x14ac:dyDescent="0.25">
      <c r="B599" s="3"/>
      <c r="C599" s="3"/>
    </row>
    <row r="600" spans="2:3" ht="15.75" customHeight="1" x14ac:dyDescent="0.25">
      <c r="B600" s="3"/>
      <c r="C600" s="3"/>
    </row>
    <row r="601" spans="2:3" ht="15.75" customHeight="1" x14ac:dyDescent="0.25">
      <c r="B601" s="3"/>
      <c r="C601" s="3"/>
    </row>
    <row r="602" spans="2:3" ht="15.75" customHeight="1" x14ac:dyDescent="0.25">
      <c r="B602" s="3"/>
      <c r="C602" s="3"/>
    </row>
    <row r="603" spans="2:3" ht="15.75" customHeight="1" x14ac:dyDescent="0.25">
      <c r="B603" s="3"/>
      <c r="C603" s="3"/>
    </row>
    <row r="604" spans="2:3" ht="15.75" customHeight="1" x14ac:dyDescent="0.25">
      <c r="B604" s="3"/>
      <c r="C604" s="3"/>
    </row>
    <row r="605" spans="2:3" ht="15.75" customHeight="1" x14ac:dyDescent="0.25">
      <c r="B605" s="3"/>
      <c r="C605" s="3"/>
    </row>
    <row r="606" spans="2:3" ht="15.75" customHeight="1" x14ac:dyDescent="0.25">
      <c r="B606" s="3"/>
      <c r="C606" s="3"/>
    </row>
    <row r="607" spans="2:3" ht="15.75" customHeight="1" x14ac:dyDescent="0.25">
      <c r="B607" s="3"/>
      <c r="C607" s="3"/>
    </row>
    <row r="608" spans="2:3" ht="15.75" customHeight="1" x14ac:dyDescent="0.25">
      <c r="B608" s="3"/>
      <c r="C608" s="3"/>
    </row>
    <row r="609" spans="2:3" ht="15.75" customHeight="1" x14ac:dyDescent="0.25">
      <c r="B609" s="3"/>
      <c r="C609" s="3"/>
    </row>
    <row r="610" spans="2:3" ht="15.75" customHeight="1" x14ac:dyDescent="0.25">
      <c r="B610" s="3"/>
      <c r="C610" s="3"/>
    </row>
    <row r="611" spans="2:3" ht="15.75" customHeight="1" x14ac:dyDescent="0.25">
      <c r="B611" s="3"/>
      <c r="C611" s="3"/>
    </row>
    <row r="612" spans="2:3" ht="15.75" customHeight="1" x14ac:dyDescent="0.25">
      <c r="B612" s="3"/>
      <c r="C612" s="3"/>
    </row>
    <row r="613" spans="2:3" ht="15.75" customHeight="1" x14ac:dyDescent="0.25">
      <c r="B613" s="3"/>
      <c r="C613" s="3"/>
    </row>
    <row r="614" spans="2:3" ht="15.75" customHeight="1" x14ac:dyDescent="0.25">
      <c r="B614" s="3"/>
      <c r="C614" s="3"/>
    </row>
    <row r="615" spans="2:3" ht="15.75" customHeight="1" x14ac:dyDescent="0.25">
      <c r="B615" s="3"/>
      <c r="C615" s="3"/>
    </row>
    <row r="616" spans="2:3" ht="15.75" customHeight="1" x14ac:dyDescent="0.25">
      <c r="B616" s="3"/>
      <c r="C616" s="3"/>
    </row>
    <row r="617" spans="2:3" ht="15.75" customHeight="1" x14ac:dyDescent="0.25">
      <c r="B617" s="3"/>
      <c r="C617" s="3"/>
    </row>
    <row r="618" spans="2:3" ht="15.75" customHeight="1" x14ac:dyDescent="0.25">
      <c r="B618" s="3"/>
      <c r="C618" s="3"/>
    </row>
    <row r="619" spans="2:3" ht="15.75" customHeight="1" x14ac:dyDescent="0.25">
      <c r="B619" s="3"/>
      <c r="C619" s="3"/>
    </row>
    <row r="620" spans="2:3" ht="15.75" customHeight="1" x14ac:dyDescent="0.25">
      <c r="B620" s="3"/>
      <c r="C620" s="3"/>
    </row>
    <row r="621" spans="2:3" ht="15.75" customHeight="1" x14ac:dyDescent="0.25">
      <c r="B621" s="3"/>
      <c r="C621" s="3"/>
    </row>
    <row r="622" spans="2:3" ht="15.75" customHeight="1" x14ac:dyDescent="0.25">
      <c r="B622" s="3"/>
      <c r="C622" s="3"/>
    </row>
    <row r="623" spans="2:3" ht="15.75" customHeight="1" x14ac:dyDescent="0.25">
      <c r="B623" s="3"/>
      <c r="C623" s="3"/>
    </row>
    <row r="624" spans="2:3" ht="15.75" customHeight="1" x14ac:dyDescent="0.25">
      <c r="B624" s="3"/>
      <c r="C624" s="3"/>
    </row>
    <row r="625" spans="2:3" ht="15.75" customHeight="1" x14ac:dyDescent="0.25">
      <c r="B625" s="3"/>
      <c r="C625" s="3"/>
    </row>
    <row r="626" spans="2:3" ht="15.75" customHeight="1" x14ac:dyDescent="0.25">
      <c r="B626" s="3"/>
      <c r="C626" s="3"/>
    </row>
    <row r="627" spans="2:3" ht="15.75" customHeight="1" x14ac:dyDescent="0.25">
      <c r="B627" s="3"/>
      <c r="C627" s="3"/>
    </row>
    <row r="628" spans="2:3" ht="15.75" customHeight="1" x14ac:dyDescent="0.25">
      <c r="B628" s="3"/>
      <c r="C628" s="3"/>
    </row>
    <row r="629" spans="2:3" ht="15.75" customHeight="1" x14ac:dyDescent="0.25">
      <c r="B629" s="3"/>
      <c r="C629" s="3"/>
    </row>
    <row r="630" spans="2:3" ht="15.75" customHeight="1" x14ac:dyDescent="0.25">
      <c r="B630" s="3"/>
      <c r="C630" s="3"/>
    </row>
    <row r="631" spans="2:3" ht="15.75" customHeight="1" x14ac:dyDescent="0.25">
      <c r="B631" s="3"/>
      <c r="C631" s="3"/>
    </row>
    <row r="632" spans="2:3" ht="15.75" customHeight="1" x14ac:dyDescent="0.25">
      <c r="B632" s="3"/>
      <c r="C632" s="3"/>
    </row>
    <row r="633" spans="2:3" ht="15.75" customHeight="1" x14ac:dyDescent="0.25">
      <c r="B633" s="3"/>
      <c r="C633" s="3"/>
    </row>
    <row r="634" spans="2:3" ht="15.75" customHeight="1" x14ac:dyDescent="0.25">
      <c r="B634" s="3"/>
      <c r="C634" s="3"/>
    </row>
    <row r="635" spans="2:3" ht="15.75" customHeight="1" x14ac:dyDescent="0.25">
      <c r="B635" s="3"/>
      <c r="C635" s="3"/>
    </row>
    <row r="636" spans="2:3" ht="15.75" customHeight="1" x14ac:dyDescent="0.25">
      <c r="B636" s="3"/>
      <c r="C636" s="3"/>
    </row>
    <row r="637" spans="2:3" ht="15.75" customHeight="1" x14ac:dyDescent="0.25">
      <c r="B637" s="3"/>
      <c r="C637" s="3"/>
    </row>
    <row r="638" spans="2:3" ht="15.75" customHeight="1" x14ac:dyDescent="0.25">
      <c r="B638" s="3"/>
      <c r="C638" s="3"/>
    </row>
    <row r="639" spans="2:3" ht="15.75" customHeight="1" x14ac:dyDescent="0.25">
      <c r="B639" s="3"/>
      <c r="C639" s="3"/>
    </row>
    <row r="640" spans="2:3" ht="15.75" customHeight="1" x14ac:dyDescent="0.25">
      <c r="B640" s="3"/>
      <c r="C640" s="3"/>
    </row>
    <row r="641" spans="2:3" ht="15.75" customHeight="1" x14ac:dyDescent="0.25">
      <c r="B641" s="3"/>
      <c r="C641" s="3"/>
    </row>
    <row r="642" spans="2:3" ht="15.75" customHeight="1" x14ac:dyDescent="0.25">
      <c r="B642" s="3"/>
      <c r="C642" s="3"/>
    </row>
    <row r="643" spans="2:3" ht="15.75" customHeight="1" x14ac:dyDescent="0.25">
      <c r="B643" s="3"/>
      <c r="C643" s="3"/>
    </row>
    <row r="644" spans="2:3" ht="15.75" customHeight="1" x14ac:dyDescent="0.25">
      <c r="B644" s="3"/>
      <c r="C644" s="3"/>
    </row>
    <row r="645" spans="2:3" ht="15.75" customHeight="1" x14ac:dyDescent="0.25">
      <c r="B645" s="3"/>
      <c r="C645" s="3"/>
    </row>
    <row r="646" spans="2:3" ht="15.75" customHeight="1" x14ac:dyDescent="0.25">
      <c r="B646" s="3"/>
      <c r="C646" s="3"/>
    </row>
    <row r="647" spans="2:3" ht="15.75" customHeight="1" x14ac:dyDescent="0.25">
      <c r="B647" s="3"/>
      <c r="C647" s="3"/>
    </row>
    <row r="648" spans="2:3" ht="15.75" customHeight="1" x14ac:dyDescent="0.25">
      <c r="B648" s="3"/>
      <c r="C648" s="3"/>
    </row>
    <row r="649" spans="2:3" ht="15.75" customHeight="1" x14ac:dyDescent="0.25">
      <c r="B649" s="3"/>
      <c r="C649" s="3"/>
    </row>
    <row r="650" spans="2:3" ht="15.75" customHeight="1" x14ac:dyDescent="0.25">
      <c r="B650" s="3"/>
      <c r="C650" s="3"/>
    </row>
    <row r="651" spans="2:3" ht="15.75" customHeight="1" x14ac:dyDescent="0.25">
      <c r="B651" s="3"/>
      <c r="C651" s="3"/>
    </row>
    <row r="652" spans="2:3" ht="15.75" customHeight="1" x14ac:dyDescent="0.25">
      <c r="B652" s="3"/>
      <c r="C652" s="3"/>
    </row>
    <row r="653" spans="2:3" ht="15.75" customHeight="1" x14ac:dyDescent="0.25">
      <c r="B653" s="3"/>
      <c r="C653" s="3"/>
    </row>
    <row r="654" spans="2:3" ht="15.75" customHeight="1" x14ac:dyDescent="0.25">
      <c r="B654" s="3"/>
      <c r="C654" s="3"/>
    </row>
    <row r="655" spans="2:3" ht="15.75" customHeight="1" x14ac:dyDescent="0.25">
      <c r="B655" s="3"/>
      <c r="C655" s="3"/>
    </row>
    <row r="656" spans="2:3" ht="15.75" customHeight="1" x14ac:dyDescent="0.25">
      <c r="B656" s="3"/>
      <c r="C656" s="3"/>
    </row>
    <row r="657" spans="2:3" ht="15.75" customHeight="1" x14ac:dyDescent="0.25">
      <c r="B657" s="3"/>
      <c r="C657" s="3"/>
    </row>
    <row r="658" spans="2:3" ht="15.75" customHeight="1" x14ac:dyDescent="0.25">
      <c r="B658" s="3"/>
      <c r="C658" s="3"/>
    </row>
    <row r="659" spans="2:3" ht="15.75" customHeight="1" x14ac:dyDescent="0.25">
      <c r="B659" s="3"/>
      <c r="C659" s="3"/>
    </row>
    <row r="660" spans="2:3" ht="15.75" customHeight="1" x14ac:dyDescent="0.25">
      <c r="B660" s="3"/>
      <c r="C660" s="3"/>
    </row>
    <row r="661" spans="2:3" ht="15.75" customHeight="1" x14ac:dyDescent="0.25">
      <c r="B661" s="3"/>
      <c r="C661" s="3"/>
    </row>
    <row r="662" spans="2:3" ht="15.75" customHeight="1" x14ac:dyDescent="0.25">
      <c r="B662" s="3"/>
      <c r="C662" s="3"/>
    </row>
    <row r="663" spans="2:3" ht="15.75" customHeight="1" x14ac:dyDescent="0.25">
      <c r="B663" s="3"/>
      <c r="C663" s="3"/>
    </row>
    <row r="664" spans="2:3" ht="15.75" customHeight="1" x14ac:dyDescent="0.25">
      <c r="B664" s="3"/>
      <c r="C664" s="3"/>
    </row>
    <row r="665" spans="2:3" ht="15.75" customHeight="1" x14ac:dyDescent="0.25">
      <c r="B665" s="3"/>
      <c r="C665" s="3"/>
    </row>
    <row r="666" spans="2:3" ht="15.75" customHeight="1" x14ac:dyDescent="0.25">
      <c r="B666" s="3"/>
      <c r="C666" s="3"/>
    </row>
    <row r="667" spans="2:3" ht="15.75" customHeight="1" x14ac:dyDescent="0.25">
      <c r="B667" s="3"/>
      <c r="C667" s="3"/>
    </row>
    <row r="668" spans="2:3" ht="15.75" customHeight="1" x14ac:dyDescent="0.25">
      <c r="B668" s="3"/>
      <c r="C668" s="3"/>
    </row>
    <row r="669" spans="2:3" ht="15.75" customHeight="1" x14ac:dyDescent="0.25">
      <c r="B669" s="3"/>
      <c r="C669" s="3"/>
    </row>
    <row r="670" spans="2:3" ht="15.75" customHeight="1" x14ac:dyDescent="0.25">
      <c r="B670" s="3"/>
      <c r="C670" s="3"/>
    </row>
    <row r="671" spans="2:3" ht="15.75" customHeight="1" x14ac:dyDescent="0.25">
      <c r="B671" s="3"/>
      <c r="C671" s="3"/>
    </row>
    <row r="672" spans="2:3" ht="15.75" customHeight="1" x14ac:dyDescent="0.25">
      <c r="B672" s="3"/>
      <c r="C672" s="3"/>
    </row>
    <row r="673" spans="2:3" ht="15.75" customHeight="1" x14ac:dyDescent="0.25">
      <c r="B673" s="3"/>
      <c r="C673" s="3"/>
    </row>
    <row r="674" spans="2:3" ht="15.75" customHeight="1" x14ac:dyDescent="0.25">
      <c r="B674" s="3"/>
      <c r="C674" s="3"/>
    </row>
    <row r="675" spans="2:3" ht="15.75" customHeight="1" x14ac:dyDescent="0.25">
      <c r="B675" s="3"/>
      <c r="C675" s="3"/>
    </row>
    <row r="676" spans="2:3" ht="15.75" customHeight="1" x14ac:dyDescent="0.25">
      <c r="B676" s="3"/>
      <c r="C676" s="3"/>
    </row>
    <row r="677" spans="2:3" ht="15.75" customHeight="1" x14ac:dyDescent="0.25">
      <c r="B677" s="3"/>
      <c r="C677" s="3"/>
    </row>
    <row r="678" spans="2:3" ht="15.75" customHeight="1" x14ac:dyDescent="0.25">
      <c r="B678" s="3"/>
      <c r="C678" s="3"/>
    </row>
    <row r="679" spans="2:3" ht="15.75" customHeight="1" x14ac:dyDescent="0.25">
      <c r="B679" s="3"/>
      <c r="C679" s="3"/>
    </row>
    <row r="680" spans="2:3" ht="15.75" customHeight="1" x14ac:dyDescent="0.25">
      <c r="B680" s="3"/>
      <c r="C680" s="3"/>
    </row>
    <row r="681" spans="2:3" ht="15.75" customHeight="1" x14ac:dyDescent="0.25">
      <c r="B681" s="3"/>
      <c r="C681" s="3"/>
    </row>
    <row r="682" spans="2:3" ht="15.75" customHeight="1" x14ac:dyDescent="0.25">
      <c r="B682" s="3"/>
      <c r="C682" s="3"/>
    </row>
    <row r="683" spans="2:3" ht="15.75" customHeight="1" x14ac:dyDescent="0.25">
      <c r="B683" s="3"/>
      <c r="C683" s="3"/>
    </row>
    <row r="684" spans="2:3" ht="15.75" customHeight="1" x14ac:dyDescent="0.25">
      <c r="B684" s="3"/>
      <c r="C684" s="3"/>
    </row>
    <row r="685" spans="2:3" ht="15.75" customHeight="1" x14ac:dyDescent="0.25">
      <c r="B685" s="3"/>
      <c r="C685" s="3"/>
    </row>
    <row r="686" spans="2:3" ht="15.75" customHeight="1" x14ac:dyDescent="0.25">
      <c r="B686" s="3"/>
      <c r="C686" s="3"/>
    </row>
    <row r="687" spans="2:3" ht="15.75" customHeight="1" x14ac:dyDescent="0.25">
      <c r="B687" s="3"/>
      <c r="C687" s="3"/>
    </row>
    <row r="688" spans="2:3" ht="15.75" customHeight="1" x14ac:dyDescent="0.25">
      <c r="B688" s="3"/>
      <c r="C688" s="3"/>
    </row>
    <row r="689" spans="2:3" ht="15.75" customHeight="1" x14ac:dyDescent="0.25">
      <c r="B689" s="3"/>
      <c r="C689" s="3"/>
    </row>
    <row r="690" spans="2:3" ht="15.75" customHeight="1" x14ac:dyDescent="0.25">
      <c r="B690" s="3"/>
      <c r="C690" s="3"/>
    </row>
    <row r="691" spans="2:3" ht="15.75" customHeight="1" x14ac:dyDescent="0.25">
      <c r="B691" s="3"/>
      <c r="C691" s="3"/>
    </row>
    <row r="692" spans="2:3" ht="15.75" customHeight="1" x14ac:dyDescent="0.25">
      <c r="B692" s="3"/>
      <c r="C692" s="3"/>
    </row>
    <row r="693" spans="2:3" ht="15.75" customHeight="1" x14ac:dyDescent="0.25">
      <c r="B693" s="3"/>
      <c r="C693" s="3"/>
    </row>
    <row r="694" spans="2:3" ht="15.75" customHeight="1" x14ac:dyDescent="0.25">
      <c r="B694" s="3"/>
      <c r="C694" s="3"/>
    </row>
    <row r="695" spans="2:3" ht="15.75" customHeight="1" x14ac:dyDescent="0.25">
      <c r="B695" s="3"/>
      <c r="C695" s="3"/>
    </row>
    <row r="696" spans="2:3" ht="15.75" customHeight="1" x14ac:dyDescent="0.25">
      <c r="B696" s="3"/>
      <c r="C696" s="3"/>
    </row>
    <row r="697" spans="2:3" ht="15.75" customHeight="1" x14ac:dyDescent="0.25">
      <c r="B697" s="3"/>
      <c r="C697" s="3"/>
    </row>
    <row r="698" spans="2:3" ht="15.75" customHeight="1" x14ac:dyDescent="0.25">
      <c r="B698" s="3"/>
      <c r="C698" s="3"/>
    </row>
    <row r="699" spans="2:3" ht="15.75" customHeight="1" x14ac:dyDescent="0.25">
      <c r="B699" s="3"/>
      <c r="C699" s="3"/>
    </row>
    <row r="700" spans="2:3" ht="15.75" customHeight="1" x14ac:dyDescent="0.25">
      <c r="B700" s="3"/>
      <c r="C700" s="3"/>
    </row>
    <row r="701" spans="2:3" ht="15.75" customHeight="1" x14ac:dyDescent="0.25">
      <c r="B701" s="3"/>
      <c r="C701" s="3"/>
    </row>
    <row r="702" spans="2:3" ht="15.75" customHeight="1" x14ac:dyDescent="0.25">
      <c r="B702" s="3"/>
      <c r="C702" s="3"/>
    </row>
    <row r="703" spans="2:3" ht="15.75" customHeight="1" x14ac:dyDescent="0.25">
      <c r="B703" s="3"/>
      <c r="C703" s="3"/>
    </row>
    <row r="704" spans="2:3" ht="15.75" customHeight="1" x14ac:dyDescent="0.25">
      <c r="B704" s="3"/>
      <c r="C704" s="3"/>
    </row>
    <row r="705" spans="2:3" ht="15.75" customHeight="1" x14ac:dyDescent="0.25">
      <c r="B705" s="3"/>
      <c r="C705" s="3"/>
    </row>
    <row r="706" spans="2:3" ht="15.75" customHeight="1" x14ac:dyDescent="0.25">
      <c r="B706" s="3"/>
      <c r="C706" s="3"/>
    </row>
    <row r="707" spans="2:3" ht="15.75" customHeight="1" x14ac:dyDescent="0.25">
      <c r="B707" s="3"/>
      <c r="C707" s="3"/>
    </row>
    <row r="708" spans="2:3" ht="15.75" customHeight="1" x14ac:dyDescent="0.25">
      <c r="B708" s="3"/>
      <c r="C708" s="3"/>
    </row>
    <row r="709" spans="2:3" ht="15.75" customHeight="1" x14ac:dyDescent="0.25">
      <c r="B709" s="3"/>
      <c r="C709" s="3"/>
    </row>
    <row r="710" spans="2:3" ht="15.75" customHeight="1" x14ac:dyDescent="0.25">
      <c r="B710" s="3"/>
      <c r="C710" s="3"/>
    </row>
    <row r="711" spans="2:3" ht="15.75" customHeight="1" x14ac:dyDescent="0.25">
      <c r="B711" s="3"/>
      <c r="C711" s="3"/>
    </row>
    <row r="712" spans="2:3" ht="15.75" customHeight="1" x14ac:dyDescent="0.25">
      <c r="B712" s="3"/>
      <c r="C712" s="3"/>
    </row>
    <row r="713" spans="2:3" ht="15.75" customHeight="1" x14ac:dyDescent="0.25">
      <c r="B713" s="3"/>
      <c r="C713" s="3"/>
    </row>
    <row r="714" spans="2:3" ht="15.75" customHeight="1" x14ac:dyDescent="0.25">
      <c r="B714" s="3"/>
      <c r="C714" s="3"/>
    </row>
    <row r="715" spans="2:3" ht="15.75" customHeight="1" x14ac:dyDescent="0.25">
      <c r="B715" s="3"/>
      <c r="C715" s="3"/>
    </row>
    <row r="716" spans="2:3" ht="15.75" customHeight="1" x14ac:dyDescent="0.25">
      <c r="B716" s="3"/>
      <c r="C716" s="3"/>
    </row>
    <row r="717" spans="2:3" ht="15.75" customHeight="1" x14ac:dyDescent="0.25">
      <c r="B717" s="3"/>
      <c r="C717" s="3"/>
    </row>
    <row r="718" spans="2:3" ht="15.75" customHeight="1" x14ac:dyDescent="0.25">
      <c r="B718" s="3"/>
      <c r="C718" s="3"/>
    </row>
    <row r="719" spans="2:3" ht="15.75" customHeight="1" x14ac:dyDescent="0.25">
      <c r="B719" s="3"/>
      <c r="C719" s="3"/>
    </row>
    <row r="720" spans="2:3" ht="15.75" customHeight="1" x14ac:dyDescent="0.25">
      <c r="B720" s="3"/>
      <c r="C720" s="3"/>
    </row>
    <row r="721" spans="2:3" ht="15.75" customHeight="1" x14ac:dyDescent="0.25">
      <c r="B721" s="3"/>
      <c r="C721" s="3"/>
    </row>
    <row r="722" spans="2:3" ht="15.75" customHeight="1" x14ac:dyDescent="0.25">
      <c r="B722" s="3"/>
      <c r="C722" s="3"/>
    </row>
    <row r="723" spans="2:3" ht="15.75" customHeight="1" x14ac:dyDescent="0.25">
      <c r="B723" s="3"/>
      <c r="C723" s="3"/>
    </row>
    <row r="724" spans="2:3" ht="15.75" customHeight="1" x14ac:dyDescent="0.25">
      <c r="B724" s="3"/>
      <c r="C724" s="3"/>
    </row>
    <row r="725" spans="2:3" ht="15.75" customHeight="1" x14ac:dyDescent="0.25">
      <c r="B725" s="3"/>
      <c r="C725" s="3"/>
    </row>
    <row r="726" spans="2:3" ht="15.75" customHeight="1" x14ac:dyDescent="0.25">
      <c r="B726" s="3"/>
      <c r="C726" s="3"/>
    </row>
    <row r="727" spans="2:3" ht="15.75" customHeight="1" x14ac:dyDescent="0.25">
      <c r="B727" s="3"/>
      <c r="C727" s="3"/>
    </row>
    <row r="728" spans="2:3" ht="15.75" customHeight="1" x14ac:dyDescent="0.25">
      <c r="B728" s="3"/>
      <c r="C728" s="3"/>
    </row>
    <row r="729" spans="2:3" ht="15.75" customHeight="1" x14ac:dyDescent="0.25">
      <c r="B729" s="3"/>
      <c r="C729" s="3"/>
    </row>
    <row r="730" spans="2:3" ht="15.75" customHeight="1" x14ac:dyDescent="0.25">
      <c r="B730" s="3"/>
      <c r="C730" s="3"/>
    </row>
    <row r="731" spans="2:3" ht="15.75" customHeight="1" x14ac:dyDescent="0.25">
      <c r="B731" s="3"/>
      <c r="C731" s="3"/>
    </row>
    <row r="732" spans="2:3" ht="15.75" customHeight="1" x14ac:dyDescent="0.25">
      <c r="B732" s="3"/>
      <c r="C732" s="3"/>
    </row>
    <row r="733" spans="2:3" ht="15.75" customHeight="1" x14ac:dyDescent="0.25">
      <c r="B733" s="3"/>
      <c r="C733" s="3"/>
    </row>
    <row r="734" spans="2:3" ht="15.75" customHeight="1" x14ac:dyDescent="0.25">
      <c r="B734" s="3"/>
      <c r="C734" s="3"/>
    </row>
    <row r="735" spans="2:3" ht="15.75" customHeight="1" x14ac:dyDescent="0.25">
      <c r="B735" s="3"/>
      <c r="C735" s="3"/>
    </row>
    <row r="736" spans="2:3" ht="15.75" customHeight="1" x14ac:dyDescent="0.25">
      <c r="B736" s="3"/>
      <c r="C736" s="3"/>
    </row>
    <row r="737" spans="2:3" ht="15.75" customHeight="1" x14ac:dyDescent="0.25">
      <c r="B737" s="3"/>
      <c r="C737" s="3"/>
    </row>
    <row r="738" spans="2:3" ht="15.75" customHeight="1" x14ac:dyDescent="0.25">
      <c r="B738" s="3"/>
      <c r="C738" s="3"/>
    </row>
    <row r="739" spans="2:3" ht="15.75" customHeight="1" x14ac:dyDescent="0.25">
      <c r="B739" s="3"/>
      <c r="C739" s="3"/>
    </row>
    <row r="740" spans="2:3" ht="15.75" customHeight="1" x14ac:dyDescent="0.25">
      <c r="B740" s="3"/>
      <c r="C740" s="3"/>
    </row>
    <row r="741" spans="2:3" ht="15.75" customHeight="1" x14ac:dyDescent="0.25">
      <c r="B741" s="3"/>
      <c r="C741" s="3"/>
    </row>
    <row r="742" spans="2:3" ht="15.75" customHeight="1" x14ac:dyDescent="0.25">
      <c r="B742" s="3"/>
      <c r="C742" s="3"/>
    </row>
    <row r="743" spans="2:3" ht="15.75" customHeight="1" x14ac:dyDescent="0.25">
      <c r="B743" s="3"/>
      <c r="C743" s="3"/>
    </row>
    <row r="744" spans="2:3" ht="15.75" customHeight="1" x14ac:dyDescent="0.25">
      <c r="B744" s="3"/>
      <c r="C744" s="3"/>
    </row>
    <row r="745" spans="2:3" ht="15.75" customHeight="1" x14ac:dyDescent="0.25">
      <c r="B745" s="3"/>
      <c r="C745" s="3"/>
    </row>
    <row r="746" spans="2:3" ht="15.75" customHeight="1" x14ac:dyDescent="0.25">
      <c r="B746" s="3"/>
      <c r="C746" s="3"/>
    </row>
    <row r="747" spans="2:3" ht="15.75" customHeight="1" x14ac:dyDescent="0.25">
      <c r="B747" s="3"/>
      <c r="C747" s="3"/>
    </row>
    <row r="748" spans="2:3" ht="15.75" customHeight="1" x14ac:dyDescent="0.25">
      <c r="B748" s="3"/>
      <c r="C748" s="3"/>
    </row>
    <row r="749" spans="2:3" ht="15.75" customHeight="1" x14ac:dyDescent="0.25">
      <c r="B749" s="3"/>
      <c r="C749" s="3"/>
    </row>
    <row r="750" spans="2:3" ht="15.75" customHeight="1" x14ac:dyDescent="0.25">
      <c r="B750" s="3"/>
      <c r="C750" s="3"/>
    </row>
    <row r="751" spans="2:3" ht="15.75" customHeight="1" x14ac:dyDescent="0.25">
      <c r="B751" s="3"/>
      <c r="C751" s="3"/>
    </row>
    <row r="752" spans="2:3" ht="15.75" customHeight="1" x14ac:dyDescent="0.25">
      <c r="B752" s="3"/>
      <c r="C752" s="3"/>
    </row>
    <row r="753" spans="2:3" ht="15.75" customHeight="1" x14ac:dyDescent="0.25">
      <c r="B753" s="3"/>
      <c r="C753" s="3"/>
    </row>
    <row r="754" spans="2:3" ht="15.75" customHeight="1" x14ac:dyDescent="0.25">
      <c r="B754" s="3"/>
      <c r="C754" s="3"/>
    </row>
    <row r="755" spans="2:3" ht="15.75" customHeight="1" x14ac:dyDescent="0.25">
      <c r="B755" s="3"/>
      <c r="C755" s="3"/>
    </row>
    <row r="756" spans="2:3" ht="15.75" customHeight="1" x14ac:dyDescent="0.25">
      <c r="B756" s="3"/>
      <c r="C756" s="3"/>
    </row>
    <row r="757" spans="2:3" ht="15.75" customHeight="1" x14ac:dyDescent="0.25">
      <c r="B757" s="3"/>
      <c r="C757" s="3"/>
    </row>
    <row r="758" spans="2:3" ht="15.75" customHeight="1" x14ac:dyDescent="0.25">
      <c r="B758" s="3"/>
      <c r="C758" s="3"/>
    </row>
    <row r="759" spans="2:3" ht="15.75" customHeight="1" x14ac:dyDescent="0.25">
      <c r="B759" s="3"/>
      <c r="C759" s="3"/>
    </row>
    <row r="760" spans="2:3" ht="15.75" customHeight="1" x14ac:dyDescent="0.25">
      <c r="B760" s="3"/>
      <c r="C760" s="3"/>
    </row>
    <row r="761" spans="2:3" ht="15.75" customHeight="1" x14ac:dyDescent="0.25">
      <c r="B761" s="3"/>
      <c r="C761" s="3"/>
    </row>
    <row r="762" spans="2:3" ht="15.75" customHeight="1" x14ac:dyDescent="0.25">
      <c r="B762" s="3"/>
      <c r="C762" s="3"/>
    </row>
    <row r="763" spans="2:3" ht="15.75" customHeight="1" x14ac:dyDescent="0.25">
      <c r="B763" s="3"/>
      <c r="C763" s="3"/>
    </row>
    <row r="764" spans="2:3" ht="15.75" customHeight="1" x14ac:dyDescent="0.25">
      <c r="B764" s="3"/>
      <c r="C764" s="3"/>
    </row>
    <row r="765" spans="2:3" ht="15.75" customHeight="1" x14ac:dyDescent="0.25">
      <c r="B765" s="3"/>
      <c r="C765" s="3"/>
    </row>
    <row r="766" spans="2:3" ht="15.75" customHeight="1" x14ac:dyDescent="0.25">
      <c r="B766" s="3"/>
      <c r="C766" s="3"/>
    </row>
    <row r="767" spans="2:3" ht="15.75" customHeight="1" x14ac:dyDescent="0.25">
      <c r="B767" s="3"/>
      <c r="C767" s="3"/>
    </row>
    <row r="768" spans="2:3" ht="15.75" customHeight="1" x14ac:dyDescent="0.25">
      <c r="B768" s="3"/>
      <c r="C768" s="3"/>
    </row>
    <row r="769" spans="2:3" ht="15.75" customHeight="1" x14ac:dyDescent="0.25">
      <c r="B769" s="3"/>
      <c r="C769" s="3"/>
    </row>
    <row r="770" spans="2:3" ht="15.75" customHeight="1" x14ac:dyDescent="0.25">
      <c r="B770" s="3"/>
      <c r="C770" s="3"/>
    </row>
    <row r="771" spans="2:3" ht="15.75" customHeight="1" x14ac:dyDescent="0.25">
      <c r="B771" s="3"/>
      <c r="C771" s="3"/>
    </row>
    <row r="772" spans="2:3" ht="15.75" customHeight="1" x14ac:dyDescent="0.25">
      <c r="B772" s="3"/>
      <c r="C772" s="3"/>
    </row>
    <row r="773" spans="2:3" ht="15.75" customHeight="1" x14ac:dyDescent="0.25">
      <c r="B773" s="3"/>
      <c r="C773" s="3"/>
    </row>
    <row r="774" spans="2:3" ht="15.75" customHeight="1" x14ac:dyDescent="0.25">
      <c r="B774" s="3"/>
      <c r="C774" s="3"/>
    </row>
    <row r="775" spans="2:3" ht="15.75" customHeight="1" x14ac:dyDescent="0.25">
      <c r="B775" s="3"/>
      <c r="C775" s="3"/>
    </row>
    <row r="776" spans="2:3" ht="15.75" customHeight="1" x14ac:dyDescent="0.25">
      <c r="B776" s="3"/>
      <c r="C776" s="3"/>
    </row>
    <row r="777" spans="2:3" ht="15.75" customHeight="1" x14ac:dyDescent="0.25">
      <c r="B777" s="3"/>
      <c r="C777" s="3"/>
    </row>
    <row r="778" spans="2:3" ht="15.75" customHeight="1" x14ac:dyDescent="0.25">
      <c r="B778" s="3"/>
      <c r="C778" s="3"/>
    </row>
    <row r="779" spans="2:3" ht="15.75" customHeight="1" x14ac:dyDescent="0.25">
      <c r="B779" s="3"/>
      <c r="C779" s="3"/>
    </row>
    <row r="780" spans="2:3" ht="15.75" customHeight="1" x14ac:dyDescent="0.25">
      <c r="B780" s="3"/>
      <c r="C780" s="3"/>
    </row>
    <row r="781" spans="2:3" ht="15.75" customHeight="1" x14ac:dyDescent="0.25">
      <c r="B781" s="3"/>
      <c r="C781" s="3"/>
    </row>
    <row r="782" spans="2:3" ht="15.75" customHeight="1" x14ac:dyDescent="0.25">
      <c r="B782" s="3"/>
      <c r="C782" s="3"/>
    </row>
    <row r="783" spans="2:3" ht="15.75" customHeight="1" x14ac:dyDescent="0.25">
      <c r="B783" s="3"/>
      <c r="C783" s="3"/>
    </row>
    <row r="784" spans="2:3" ht="15.75" customHeight="1" x14ac:dyDescent="0.25">
      <c r="B784" s="3"/>
      <c r="C784" s="3"/>
    </row>
    <row r="785" spans="2:3" ht="15.75" customHeight="1" x14ac:dyDescent="0.25">
      <c r="B785" s="3"/>
      <c r="C785" s="3"/>
    </row>
    <row r="786" spans="2:3" ht="15.75" customHeight="1" x14ac:dyDescent="0.25">
      <c r="B786" s="3"/>
      <c r="C786" s="3"/>
    </row>
    <row r="787" spans="2:3" ht="15.75" customHeight="1" x14ac:dyDescent="0.25">
      <c r="B787" s="3"/>
      <c r="C787" s="3"/>
    </row>
    <row r="788" spans="2:3" ht="15.75" customHeight="1" x14ac:dyDescent="0.25">
      <c r="B788" s="3"/>
      <c r="C788" s="3"/>
    </row>
    <row r="789" spans="2:3" ht="15.75" customHeight="1" x14ac:dyDescent="0.25">
      <c r="B789" s="3"/>
      <c r="C789" s="3"/>
    </row>
    <row r="790" spans="2:3" ht="15.75" customHeight="1" x14ac:dyDescent="0.25">
      <c r="B790" s="3"/>
      <c r="C790" s="3"/>
    </row>
    <row r="791" spans="2:3" ht="15.75" customHeight="1" x14ac:dyDescent="0.25">
      <c r="B791" s="3"/>
      <c r="C791" s="3"/>
    </row>
    <row r="792" spans="2:3" ht="15.75" customHeight="1" x14ac:dyDescent="0.25">
      <c r="B792" s="3"/>
      <c r="C792" s="3"/>
    </row>
    <row r="793" spans="2:3" ht="15.75" customHeight="1" x14ac:dyDescent="0.25">
      <c r="B793" s="3"/>
      <c r="C793" s="3"/>
    </row>
    <row r="794" spans="2:3" ht="15.75" customHeight="1" x14ac:dyDescent="0.25">
      <c r="B794" s="3"/>
      <c r="C794" s="3"/>
    </row>
    <row r="795" spans="2:3" ht="15.75" customHeight="1" x14ac:dyDescent="0.25">
      <c r="B795" s="3"/>
      <c r="C795" s="3"/>
    </row>
    <row r="796" spans="2:3" ht="15.75" customHeight="1" x14ac:dyDescent="0.25">
      <c r="B796" s="3"/>
      <c r="C796" s="3"/>
    </row>
    <row r="797" spans="2:3" ht="15.75" customHeight="1" x14ac:dyDescent="0.25">
      <c r="B797" s="3"/>
      <c r="C797" s="3"/>
    </row>
    <row r="798" spans="2:3" ht="15.75" customHeight="1" x14ac:dyDescent="0.25">
      <c r="B798" s="3"/>
      <c r="C798" s="3"/>
    </row>
    <row r="799" spans="2:3" ht="15.75" customHeight="1" x14ac:dyDescent="0.25">
      <c r="B799" s="3"/>
      <c r="C799" s="3"/>
    </row>
    <row r="800" spans="2:3" ht="15.75" customHeight="1" x14ac:dyDescent="0.25">
      <c r="B800" s="3"/>
      <c r="C800" s="3"/>
    </row>
    <row r="801" spans="2:3" ht="15.75" customHeight="1" x14ac:dyDescent="0.25">
      <c r="B801" s="3"/>
      <c r="C801" s="3"/>
    </row>
    <row r="802" spans="2:3" ht="15.75" customHeight="1" x14ac:dyDescent="0.25">
      <c r="B802" s="3"/>
      <c r="C802" s="3"/>
    </row>
    <row r="803" spans="2:3" ht="15.75" customHeight="1" x14ac:dyDescent="0.25">
      <c r="B803" s="3"/>
      <c r="C803" s="3"/>
    </row>
    <row r="804" spans="2:3" ht="15.75" customHeight="1" x14ac:dyDescent="0.25">
      <c r="B804" s="3"/>
      <c r="C804" s="3"/>
    </row>
    <row r="805" spans="2:3" ht="15.75" customHeight="1" x14ac:dyDescent="0.25">
      <c r="B805" s="3"/>
      <c r="C805" s="3"/>
    </row>
    <row r="806" spans="2:3" ht="15.75" customHeight="1" x14ac:dyDescent="0.25">
      <c r="B806" s="3"/>
      <c r="C806" s="3"/>
    </row>
    <row r="807" spans="2:3" ht="15.75" customHeight="1" x14ac:dyDescent="0.25">
      <c r="B807" s="3"/>
      <c r="C807" s="3"/>
    </row>
    <row r="808" spans="2:3" ht="15.75" customHeight="1" x14ac:dyDescent="0.25">
      <c r="B808" s="3"/>
      <c r="C808" s="3"/>
    </row>
    <row r="809" spans="2:3" ht="15.75" customHeight="1" x14ac:dyDescent="0.25">
      <c r="B809" s="3"/>
      <c r="C809" s="3"/>
    </row>
    <row r="810" spans="2:3" ht="15.75" customHeight="1" x14ac:dyDescent="0.25">
      <c r="B810" s="3"/>
      <c r="C810" s="3"/>
    </row>
    <row r="811" spans="2:3" ht="15.75" customHeight="1" x14ac:dyDescent="0.25">
      <c r="B811" s="3"/>
      <c r="C811" s="3"/>
    </row>
    <row r="812" spans="2:3" ht="15.75" customHeight="1" x14ac:dyDescent="0.25">
      <c r="B812" s="3"/>
      <c r="C812" s="3"/>
    </row>
    <row r="813" spans="2:3" ht="15.75" customHeight="1" x14ac:dyDescent="0.25">
      <c r="B813" s="3"/>
      <c r="C813" s="3"/>
    </row>
    <row r="814" spans="2:3" ht="15.75" customHeight="1" x14ac:dyDescent="0.25">
      <c r="B814" s="3"/>
      <c r="C814" s="3"/>
    </row>
    <row r="815" spans="2:3" ht="15.75" customHeight="1" x14ac:dyDescent="0.25">
      <c r="B815" s="3"/>
      <c r="C815" s="3"/>
    </row>
    <row r="816" spans="2:3" ht="15.75" customHeight="1" x14ac:dyDescent="0.25">
      <c r="B816" s="3"/>
      <c r="C816" s="3"/>
    </row>
    <row r="817" spans="2:3" ht="15.75" customHeight="1" x14ac:dyDescent="0.25">
      <c r="B817" s="3"/>
      <c r="C817" s="3"/>
    </row>
    <row r="818" spans="2:3" ht="15.75" customHeight="1" x14ac:dyDescent="0.25">
      <c r="B818" s="3"/>
      <c r="C818" s="3"/>
    </row>
    <row r="819" spans="2:3" ht="15.75" customHeight="1" x14ac:dyDescent="0.25">
      <c r="B819" s="3"/>
      <c r="C819" s="3"/>
    </row>
    <row r="820" spans="2:3" ht="15.75" customHeight="1" x14ac:dyDescent="0.25">
      <c r="B820" s="3"/>
      <c r="C820" s="3"/>
    </row>
    <row r="821" spans="2:3" ht="15.75" customHeight="1" x14ac:dyDescent="0.25">
      <c r="B821" s="3"/>
      <c r="C821" s="3"/>
    </row>
    <row r="822" spans="2:3" ht="15.75" customHeight="1" x14ac:dyDescent="0.25">
      <c r="B822" s="3"/>
      <c r="C822" s="3"/>
    </row>
    <row r="823" spans="2:3" ht="15.75" customHeight="1" x14ac:dyDescent="0.25">
      <c r="B823" s="3"/>
      <c r="C823" s="3"/>
    </row>
    <row r="824" spans="2:3" ht="15.75" customHeight="1" x14ac:dyDescent="0.25">
      <c r="B824" s="3"/>
      <c r="C824" s="3"/>
    </row>
    <row r="825" spans="2:3" ht="15.75" customHeight="1" x14ac:dyDescent="0.25">
      <c r="B825" s="3"/>
      <c r="C825" s="3"/>
    </row>
    <row r="826" spans="2:3" ht="15.75" customHeight="1" x14ac:dyDescent="0.25">
      <c r="B826" s="3"/>
      <c r="C826" s="3"/>
    </row>
    <row r="827" spans="2:3" ht="15.75" customHeight="1" x14ac:dyDescent="0.25">
      <c r="B827" s="3"/>
      <c r="C827" s="3"/>
    </row>
    <row r="828" spans="2:3" ht="15.75" customHeight="1" x14ac:dyDescent="0.25">
      <c r="B828" s="3"/>
      <c r="C828" s="3"/>
    </row>
    <row r="829" spans="2:3" ht="15.75" customHeight="1" x14ac:dyDescent="0.25">
      <c r="B829" s="3"/>
      <c r="C829" s="3"/>
    </row>
    <row r="830" spans="2:3" ht="15.75" customHeight="1" x14ac:dyDescent="0.25">
      <c r="B830" s="3"/>
      <c r="C830" s="3"/>
    </row>
    <row r="831" spans="2:3" ht="15.75" customHeight="1" x14ac:dyDescent="0.25">
      <c r="B831" s="3"/>
      <c r="C831" s="3"/>
    </row>
    <row r="832" spans="2:3" ht="15.75" customHeight="1" x14ac:dyDescent="0.25">
      <c r="B832" s="3"/>
      <c r="C832" s="3"/>
    </row>
    <row r="833" spans="2:3" ht="15.75" customHeight="1" x14ac:dyDescent="0.25">
      <c r="B833" s="3"/>
      <c r="C833" s="3"/>
    </row>
    <row r="834" spans="2:3" ht="15.75" customHeight="1" x14ac:dyDescent="0.25">
      <c r="B834" s="3"/>
      <c r="C834" s="3"/>
    </row>
    <row r="835" spans="2:3" ht="15.75" customHeight="1" x14ac:dyDescent="0.25">
      <c r="B835" s="3"/>
      <c r="C835" s="3"/>
    </row>
    <row r="836" spans="2:3" ht="15.75" customHeight="1" x14ac:dyDescent="0.25">
      <c r="B836" s="3"/>
      <c r="C836" s="3"/>
    </row>
    <row r="837" spans="2:3" ht="15.75" customHeight="1" x14ac:dyDescent="0.25">
      <c r="B837" s="3"/>
      <c r="C837" s="3"/>
    </row>
    <row r="838" spans="2:3" ht="15.75" customHeight="1" x14ac:dyDescent="0.25">
      <c r="B838" s="3"/>
      <c r="C838" s="3"/>
    </row>
    <row r="839" spans="2:3" ht="15.75" customHeight="1" x14ac:dyDescent="0.25">
      <c r="B839" s="3"/>
      <c r="C839" s="3"/>
    </row>
    <row r="840" spans="2:3" ht="15.75" customHeight="1" x14ac:dyDescent="0.25">
      <c r="B840" s="3"/>
      <c r="C840" s="3"/>
    </row>
    <row r="841" spans="2:3" ht="15.75" customHeight="1" x14ac:dyDescent="0.25">
      <c r="B841" s="3"/>
      <c r="C841" s="3"/>
    </row>
    <row r="842" spans="2:3" ht="15.75" customHeight="1" x14ac:dyDescent="0.25">
      <c r="B842" s="3"/>
      <c r="C842" s="3"/>
    </row>
    <row r="843" spans="2:3" ht="15.75" customHeight="1" x14ac:dyDescent="0.25">
      <c r="B843" s="3"/>
      <c r="C843" s="3"/>
    </row>
    <row r="844" spans="2:3" ht="15.75" customHeight="1" x14ac:dyDescent="0.25">
      <c r="B844" s="3"/>
      <c r="C844" s="3"/>
    </row>
    <row r="845" spans="2:3" ht="15.75" customHeight="1" x14ac:dyDescent="0.25">
      <c r="B845" s="3"/>
      <c r="C845" s="3"/>
    </row>
    <row r="846" spans="2:3" ht="15.75" customHeight="1" x14ac:dyDescent="0.25">
      <c r="B846" s="3"/>
      <c r="C846" s="3"/>
    </row>
    <row r="847" spans="2:3" ht="15.75" customHeight="1" x14ac:dyDescent="0.25">
      <c r="B847" s="3"/>
      <c r="C847" s="3"/>
    </row>
    <row r="848" spans="2:3" ht="15.75" customHeight="1" x14ac:dyDescent="0.25">
      <c r="B848" s="3"/>
      <c r="C848" s="3"/>
    </row>
    <row r="849" spans="2:3" ht="15.75" customHeight="1" x14ac:dyDescent="0.25">
      <c r="B849" s="3"/>
      <c r="C849" s="3"/>
    </row>
    <row r="850" spans="2:3" ht="15.75" customHeight="1" x14ac:dyDescent="0.25">
      <c r="B850" s="3"/>
      <c r="C850" s="3"/>
    </row>
    <row r="851" spans="2:3" ht="15.75" customHeight="1" x14ac:dyDescent="0.25">
      <c r="B851" s="3"/>
      <c r="C851" s="3"/>
    </row>
    <row r="852" spans="2:3" ht="15.75" customHeight="1" x14ac:dyDescent="0.25">
      <c r="B852" s="3"/>
      <c r="C852" s="3"/>
    </row>
    <row r="853" spans="2:3" ht="15.75" customHeight="1" x14ac:dyDescent="0.25">
      <c r="B853" s="3"/>
      <c r="C853" s="3"/>
    </row>
    <row r="854" spans="2:3" ht="15.75" customHeight="1" x14ac:dyDescent="0.25">
      <c r="B854" s="3"/>
      <c r="C854" s="3"/>
    </row>
    <row r="855" spans="2:3" ht="15.75" customHeight="1" x14ac:dyDescent="0.25">
      <c r="B855" s="3"/>
      <c r="C855" s="3"/>
    </row>
    <row r="856" spans="2:3" ht="15.75" customHeight="1" x14ac:dyDescent="0.25">
      <c r="B856" s="3"/>
      <c r="C856" s="3"/>
    </row>
    <row r="857" spans="2:3" ht="15.75" customHeight="1" x14ac:dyDescent="0.25">
      <c r="B857" s="3"/>
      <c r="C857" s="3"/>
    </row>
    <row r="858" spans="2:3" ht="15.75" customHeight="1" x14ac:dyDescent="0.25">
      <c r="B858" s="3"/>
      <c r="C858" s="3"/>
    </row>
    <row r="859" spans="2:3" ht="15.75" customHeight="1" x14ac:dyDescent="0.25">
      <c r="B859" s="3"/>
      <c r="C859" s="3"/>
    </row>
    <row r="860" spans="2:3" ht="15.75" customHeight="1" x14ac:dyDescent="0.25">
      <c r="B860" s="3"/>
      <c r="C860" s="3"/>
    </row>
    <row r="861" spans="2:3" ht="15.75" customHeight="1" x14ac:dyDescent="0.25">
      <c r="B861" s="3"/>
      <c r="C861" s="3"/>
    </row>
    <row r="862" spans="2:3" ht="15.75" customHeight="1" x14ac:dyDescent="0.25">
      <c r="B862" s="3"/>
      <c r="C862" s="3"/>
    </row>
    <row r="863" spans="2:3" ht="15.75" customHeight="1" x14ac:dyDescent="0.25">
      <c r="B863" s="3"/>
      <c r="C863" s="3"/>
    </row>
    <row r="864" spans="2:3" ht="15.75" customHeight="1" x14ac:dyDescent="0.25">
      <c r="B864" s="3"/>
      <c r="C864" s="3"/>
    </row>
    <row r="865" spans="2:3" ht="15.75" customHeight="1" x14ac:dyDescent="0.25">
      <c r="B865" s="3"/>
      <c r="C865" s="3"/>
    </row>
    <row r="866" spans="2:3" ht="15.75" customHeight="1" x14ac:dyDescent="0.25">
      <c r="B866" s="3"/>
      <c r="C866" s="3"/>
    </row>
    <row r="867" spans="2:3" ht="15.75" customHeight="1" x14ac:dyDescent="0.25">
      <c r="B867" s="3"/>
      <c r="C867" s="3"/>
    </row>
    <row r="868" spans="2:3" ht="15.75" customHeight="1" x14ac:dyDescent="0.25">
      <c r="B868" s="3"/>
      <c r="C868" s="3"/>
    </row>
    <row r="869" spans="2:3" ht="15.75" customHeight="1" x14ac:dyDescent="0.25">
      <c r="B869" s="3"/>
      <c r="C869" s="3"/>
    </row>
    <row r="870" spans="2:3" ht="15.75" customHeight="1" x14ac:dyDescent="0.25">
      <c r="B870" s="3"/>
      <c r="C870" s="3"/>
    </row>
    <row r="871" spans="2:3" ht="15.75" customHeight="1" x14ac:dyDescent="0.25">
      <c r="B871" s="3"/>
      <c r="C871" s="3"/>
    </row>
    <row r="872" spans="2:3" ht="15.75" customHeight="1" x14ac:dyDescent="0.25">
      <c r="B872" s="3"/>
      <c r="C872" s="3"/>
    </row>
    <row r="873" spans="2:3" ht="15.75" customHeight="1" x14ac:dyDescent="0.25">
      <c r="B873" s="3"/>
      <c r="C873" s="3"/>
    </row>
    <row r="874" spans="2:3" ht="15.75" customHeight="1" x14ac:dyDescent="0.25">
      <c r="B874" s="3"/>
      <c r="C874" s="3"/>
    </row>
    <row r="875" spans="2:3" ht="15.75" customHeight="1" x14ac:dyDescent="0.25">
      <c r="B875" s="3"/>
      <c r="C875" s="3"/>
    </row>
    <row r="876" spans="2:3" ht="15.75" customHeight="1" x14ac:dyDescent="0.25">
      <c r="B876" s="3"/>
      <c r="C876" s="3"/>
    </row>
    <row r="877" spans="2:3" ht="15.75" customHeight="1" x14ac:dyDescent="0.25">
      <c r="B877" s="3"/>
      <c r="C877" s="3"/>
    </row>
    <row r="878" spans="2:3" ht="15.75" customHeight="1" x14ac:dyDescent="0.25">
      <c r="B878" s="3"/>
      <c r="C878" s="3"/>
    </row>
    <row r="879" spans="2:3" ht="15.75" customHeight="1" x14ac:dyDescent="0.25">
      <c r="B879" s="3"/>
      <c r="C879" s="3"/>
    </row>
    <row r="880" spans="2:3" ht="15.75" customHeight="1" x14ac:dyDescent="0.25">
      <c r="B880" s="3"/>
      <c r="C880" s="3"/>
    </row>
    <row r="881" spans="2:3" ht="15.75" customHeight="1" x14ac:dyDescent="0.25">
      <c r="B881" s="3"/>
      <c r="C881" s="3"/>
    </row>
    <row r="882" spans="2:3" ht="15.75" customHeight="1" x14ac:dyDescent="0.25">
      <c r="B882" s="3"/>
      <c r="C882" s="3"/>
    </row>
    <row r="883" spans="2:3" ht="15.75" customHeight="1" x14ac:dyDescent="0.25">
      <c r="B883" s="3"/>
      <c r="C883" s="3"/>
    </row>
    <row r="884" spans="2:3" ht="15.75" customHeight="1" x14ac:dyDescent="0.25">
      <c r="B884" s="3"/>
      <c r="C884" s="3"/>
    </row>
    <row r="885" spans="2:3" ht="15.75" customHeight="1" x14ac:dyDescent="0.25">
      <c r="B885" s="3"/>
      <c r="C885" s="3"/>
    </row>
    <row r="886" spans="2:3" ht="15.75" customHeight="1" x14ac:dyDescent="0.25">
      <c r="B886" s="3"/>
      <c r="C886" s="3"/>
    </row>
    <row r="887" spans="2:3" ht="15.75" customHeight="1" x14ac:dyDescent="0.25">
      <c r="B887" s="3"/>
      <c r="C887" s="3"/>
    </row>
    <row r="888" spans="2:3" ht="15.75" customHeight="1" x14ac:dyDescent="0.25">
      <c r="B888" s="3"/>
      <c r="C888" s="3"/>
    </row>
    <row r="889" spans="2:3" ht="15.75" customHeight="1" x14ac:dyDescent="0.25">
      <c r="B889" s="3"/>
      <c r="C889" s="3"/>
    </row>
    <row r="890" spans="2:3" ht="15.75" customHeight="1" x14ac:dyDescent="0.25">
      <c r="B890" s="3"/>
      <c r="C890" s="3"/>
    </row>
    <row r="891" spans="2:3" ht="15.75" customHeight="1" x14ac:dyDescent="0.25">
      <c r="B891" s="3"/>
      <c r="C891" s="3"/>
    </row>
    <row r="892" spans="2:3" ht="15.75" customHeight="1" x14ac:dyDescent="0.25">
      <c r="B892" s="3"/>
      <c r="C892" s="3"/>
    </row>
    <row r="893" spans="2:3" ht="15.75" customHeight="1" x14ac:dyDescent="0.25">
      <c r="B893" s="3"/>
      <c r="C893" s="3"/>
    </row>
    <row r="894" spans="2:3" ht="15.75" customHeight="1" x14ac:dyDescent="0.25">
      <c r="B894" s="3"/>
      <c r="C894" s="3"/>
    </row>
    <row r="895" spans="2:3" ht="15.75" customHeight="1" x14ac:dyDescent="0.25">
      <c r="B895" s="3"/>
      <c r="C895" s="3"/>
    </row>
    <row r="896" spans="2:3" ht="15.75" customHeight="1" x14ac:dyDescent="0.25">
      <c r="B896" s="3"/>
      <c r="C896" s="3"/>
    </row>
    <row r="897" spans="2:3" ht="15.75" customHeight="1" x14ac:dyDescent="0.25">
      <c r="B897" s="3"/>
      <c r="C897" s="3"/>
    </row>
    <row r="898" spans="2:3" ht="15.75" customHeight="1" x14ac:dyDescent="0.25">
      <c r="B898" s="3"/>
      <c r="C898" s="3"/>
    </row>
    <row r="899" spans="2:3" ht="15.75" customHeight="1" x14ac:dyDescent="0.25">
      <c r="B899" s="3"/>
      <c r="C899" s="3"/>
    </row>
    <row r="900" spans="2:3" ht="15.75" customHeight="1" x14ac:dyDescent="0.25">
      <c r="B900" s="3"/>
      <c r="C900" s="3"/>
    </row>
    <row r="901" spans="2:3" ht="15.75" customHeight="1" x14ac:dyDescent="0.25">
      <c r="B901" s="3"/>
      <c r="C901" s="3"/>
    </row>
    <row r="902" spans="2:3" ht="15.75" customHeight="1" x14ac:dyDescent="0.25">
      <c r="B902" s="3"/>
      <c r="C902" s="3"/>
    </row>
    <row r="903" spans="2:3" ht="15.75" customHeight="1" x14ac:dyDescent="0.25">
      <c r="B903" s="3"/>
      <c r="C903" s="3"/>
    </row>
    <row r="904" spans="2:3" ht="15.75" customHeight="1" x14ac:dyDescent="0.25">
      <c r="B904" s="3"/>
      <c r="C904" s="3"/>
    </row>
    <row r="905" spans="2:3" ht="15.75" customHeight="1" x14ac:dyDescent="0.25">
      <c r="B905" s="3"/>
      <c r="C905" s="3"/>
    </row>
    <row r="906" spans="2:3" ht="15.75" customHeight="1" x14ac:dyDescent="0.25">
      <c r="B906" s="3"/>
      <c r="C906" s="3"/>
    </row>
    <row r="907" spans="2:3" ht="15.75" customHeight="1" x14ac:dyDescent="0.25">
      <c r="B907" s="3"/>
      <c r="C907" s="3"/>
    </row>
    <row r="908" spans="2:3" ht="15.75" customHeight="1" x14ac:dyDescent="0.25">
      <c r="B908" s="3"/>
      <c r="C908" s="3"/>
    </row>
    <row r="909" spans="2:3" ht="15.75" customHeight="1" x14ac:dyDescent="0.25">
      <c r="B909" s="3"/>
      <c r="C909" s="3"/>
    </row>
    <row r="910" spans="2:3" ht="15.75" customHeight="1" x14ac:dyDescent="0.25">
      <c r="B910" s="3"/>
      <c r="C910" s="3"/>
    </row>
    <row r="911" spans="2:3" ht="15.75" customHeight="1" x14ac:dyDescent="0.25">
      <c r="B911" s="3"/>
      <c r="C911" s="3"/>
    </row>
    <row r="912" spans="2:3" ht="15.75" customHeight="1" x14ac:dyDescent="0.25">
      <c r="B912" s="3"/>
      <c r="C912" s="3"/>
    </row>
    <row r="913" spans="2:3" ht="15.75" customHeight="1" x14ac:dyDescent="0.25">
      <c r="B913" s="3"/>
      <c r="C913" s="3"/>
    </row>
    <row r="914" spans="2:3" ht="15.75" customHeight="1" x14ac:dyDescent="0.25">
      <c r="B914" s="3"/>
      <c r="C914" s="3"/>
    </row>
    <row r="915" spans="2:3" ht="15.75" customHeight="1" x14ac:dyDescent="0.25">
      <c r="B915" s="3"/>
      <c r="C915" s="3"/>
    </row>
    <row r="916" spans="2:3" ht="15.75" customHeight="1" x14ac:dyDescent="0.25">
      <c r="B916" s="3"/>
      <c r="C916" s="3"/>
    </row>
    <row r="917" spans="2:3" ht="15.75" customHeight="1" x14ac:dyDescent="0.25">
      <c r="B917" s="3"/>
      <c r="C917" s="3"/>
    </row>
    <row r="918" spans="2:3" ht="15.75" customHeight="1" x14ac:dyDescent="0.25">
      <c r="B918" s="3"/>
      <c r="C918" s="3"/>
    </row>
    <row r="919" spans="2:3" ht="15.75" customHeight="1" x14ac:dyDescent="0.25">
      <c r="B919" s="3"/>
      <c r="C919" s="3"/>
    </row>
    <row r="920" spans="2:3" ht="15.75" customHeight="1" x14ac:dyDescent="0.25">
      <c r="B920" s="3"/>
      <c r="C920" s="3"/>
    </row>
    <row r="921" spans="2:3" ht="15.75" customHeight="1" x14ac:dyDescent="0.25">
      <c r="B921" s="3"/>
      <c r="C921" s="3"/>
    </row>
    <row r="922" spans="2:3" ht="15.75" customHeight="1" x14ac:dyDescent="0.25">
      <c r="B922" s="3"/>
      <c r="C922" s="3"/>
    </row>
    <row r="923" spans="2:3" ht="15.75" customHeight="1" x14ac:dyDescent="0.25">
      <c r="B923" s="3"/>
      <c r="C923" s="3"/>
    </row>
    <row r="924" spans="2:3" ht="15.75" customHeight="1" x14ac:dyDescent="0.25">
      <c r="B924" s="3"/>
      <c r="C924" s="3"/>
    </row>
    <row r="925" spans="2:3" ht="15.75" customHeight="1" x14ac:dyDescent="0.25">
      <c r="B925" s="3"/>
      <c r="C925" s="3"/>
    </row>
    <row r="926" spans="2:3" ht="15.75" customHeight="1" x14ac:dyDescent="0.25">
      <c r="B926" s="3"/>
      <c r="C926" s="3"/>
    </row>
    <row r="927" spans="2:3" ht="15.75" customHeight="1" x14ac:dyDescent="0.25">
      <c r="B927" s="3"/>
      <c r="C927" s="3"/>
    </row>
    <row r="928" spans="2:3" ht="15.75" customHeight="1" x14ac:dyDescent="0.25">
      <c r="B928" s="3"/>
      <c r="C928" s="3"/>
    </row>
    <row r="929" spans="2:3" ht="15.75" customHeight="1" x14ac:dyDescent="0.25">
      <c r="B929" s="3"/>
      <c r="C929" s="3"/>
    </row>
    <row r="930" spans="2:3" ht="15.75" customHeight="1" x14ac:dyDescent="0.25">
      <c r="B930" s="3"/>
      <c r="C930" s="3"/>
    </row>
    <row r="931" spans="2:3" ht="15.75" customHeight="1" x14ac:dyDescent="0.25">
      <c r="B931" s="3"/>
      <c r="C931" s="3"/>
    </row>
    <row r="932" spans="2:3" ht="15.75" customHeight="1" x14ac:dyDescent="0.25">
      <c r="B932" s="3"/>
      <c r="C932" s="3"/>
    </row>
    <row r="933" spans="2:3" ht="15.75" customHeight="1" x14ac:dyDescent="0.25">
      <c r="B933" s="3"/>
      <c r="C933" s="3"/>
    </row>
    <row r="934" spans="2:3" ht="15.75" customHeight="1" x14ac:dyDescent="0.25">
      <c r="B934" s="3"/>
      <c r="C934" s="3"/>
    </row>
    <row r="935" spans="2:3" ht="15.75" customHeight="1" x14ac:dyDescent="0.25">
      <c r="B935" s="3"/>
      <c r="C935" s="3"/>
    </row>
    <row r="936" spans="2:3" ht="15.75" customHeight="1" x14ac:dyDescent="0.25">
      <c r="B936" s="3"/>
      <c r="C936" s="3"/>
    </row>
    <row r="937" spans="2:3" ht="15.75" customHeight="1" x14ac:dyDescent="0.25">
      <c r="B937" s="3"/>
      <c r="C937" s="3"/>
    </row>
    <row r="938" spans="2:3" ht="15.75" customHeight="1" x14ac:dyDescent="0.25">
      <c r="B938" s="3"/>
      <c r="C938" s="3"/>
    </row>
    <row r="939" spans="2:3" ht="15.75" customHeight="1" x14ac:dyDescent="0.25">
      <c r="B939" s="3"/>
      <c r="C939" s="3"/>
    </row>
    <row r="940" spans="2:3" ht="15.75" customHeight="1" x14ac:dyDescent="0.25">
      <c r="B940" s="3"/>
      <c r="C940" s="3"/>
    </row>
    <row r="941" spans="2:3" ht="15.75" customHeight="1" x14ac:dyDescent="0.25">
      <c r="B941" s="3"/>
      <c r="C941" s="3"/>
    </row>
    <row r="942" spans="2:3" ht="15.75" customHeight="1" x14ac:dyDescent="0.25">
      <c r="B942" s="3"/>
      <c r="C942" s="3"/>
    </row>
    <row r="943" spans="2:3" ht="15.75" customHeight="1" x14ac:dyDescent="0.25">
      <c r="B943" s="3"/>
      <c r="C943" s="3"/>
    </row>
    <row r="944" spans="2:3" ht="15.75" customHeight="1" x14ac:dyDescent="0.25">
      <c r="B944" s="3"/>
      <c r="C944" s="3"/>
    </row>
    <row r="945" spans="2:3" ht="15.75" customHeight="1" x14ac:dyDescent="0.25">
      <c r="B945" s="3"/>
      <c r="C945" s="3"/>
    </row>
    <row r="946" spans="2:3" ht="15.75" customHeight="1" x14ac:dyDescent="0.25">
      <c r="B946" s="3"/>
      <c r="C946" s="3"/>
    </row>
    <row r="947" spans="2:3" ht="15.75" customHeight="1" x14ac:dyDescent="0.25">
      <c r="B947" s="3"/>
      <c r="C947" s="3"/>
    </row>
    <row r="948" spans="2:3" ht="15.75" customHeight="1" x14ac:dyDescent="0.25">
      <c r="B948" s="3"/>
      <c r="C948" s="3"/>
    </row>
    <row r="949" spans="2:3" ht="15.75" customHeight="1" x14ac:dyDescent="0.25">
      <c r="B949" s="3"/>
      <c r="C949" s="3"/>
    </row>
    <row r="950" spans="2:3" ht="15.75" customHeight="1" x14ac:dyDescent="0.25">
      <c r="B950" s="3"/>
      <c r="C950" s="3"/>
    </row>
    <row r="951" spans="2:3" ht="15.75" customHeight="1" x14ac:dyDescent="0.25">
      <c r="B951" s="3"/>
      <c r="C951" s="3"/>
    </row>
    <row r="952" spans="2:3" ht="15.75" customHeight="1" x14ac:dyDescent="0.25">
      <c r="B952" s="3"/>
      <c r="C952" s="3"/>
    </row>
    <row r="953" spans="2:3" ht="15.75" customHeight="1" x14ac:dyDescent="0.25">
      <c r="B953" s="3"/>
      <c r="C953" s="3"/>
    </row>
    <row r="954" spans="2:3" ht="15.75" customHeight="1" x14ac:dyDescent="0.25">
      <c r="B954" s="3"/>
      <c r="C954" s="3"/>
    </row>
    <row r="955" spans="2:3" ht="15.75" customHeight="1" x14ac:dyDescent="0.25">
      <c r="B955" s="3"/>
      <c r="C955" s="3"/>
    </row>
    <row r="956" spans="2:3" ht="15.75" customHeight="1" x14ac:dyDescent="0.25">
      <c r="B956" s="3"/>
      <c r="C956" s="3"/>
    </row>
    <row r="957" spans="2:3" ht="15.75" customHeight="1" x14ac:dyDescent="0.25">
      <c r="B957" s="3"/>
      <c r="C957" s="3"/>
    </row>
    <row r="958" spans="2:3" ht="15.75" customHeight="1" x14ac:dyDescent="0.25">
      <c r="B958" s="3"/>
      <c r="C958" s="3"/>
    </row>
    <row r="959" spans="2:3" ht="15.75" customHeight="1" x14ac:dyDescent="0.25">
      <c r="B959" s="3"/>
      <c r="C959" s="3"/>
    </row>
    <row r="960" spans="2:3" ht="15.75" customHeight="1" x14ac:dyDescent="0.25">
      <c r="B960" s="3"/>
      <c r="C960" s="3"/>
    </row>
    <row r="961" spans="2:3" ht="15.75" customHeight="1" x14ac:dyDescent="0.25">
      <c r="B961" s="3"/>
      <c r="C961" s="3"/>
    </row>
    <row r="962" spans="2:3" ht="15.75" customHeight="1" x14ac:dyDescent="0.25">
      <c r="B962" s="3"/>
      <c r="C962" s="3"/>
    </row>
    <row r="963" spans="2:3" ht="15.75" customHeight="1" x14ac:dyDescent="0.25">
      <c r="B963" s="3"/>
      <c r="C963" s="3"/>
    </row>
    <row r="964" spans="2:3" ht="15.75" customHeight="1" x14ac:dyDescent="0.25">
      <c r="B964" s="3"/>
      <c r="C964" s="3"/>
    </row>
    <row r="965" spans="2:3" ht="15.75" customHeight="1" x14ac:dyDescent="0.25">
      <c r="B965" s="3"/>
      <c r="C965" s="3"/>
    </row>
    <row r="966" spans="2:3" ht="15.75" customHeight="1" x14ac:dyDescent="0.25">
      <c r="B966" s="3"/>
      <c r="C966" s="3"/>
    </row>
    <row r="967" spans="2:3" ht="15.75" customHeight="1" x14ac:dyDescent="0.25">
      <c r="B967" s="3"/>
      <c r="C967" s="3"/>
    </row>
    <row r="968" spans="2:3" ht="15.75" customHeight="1" x14ac:dyDescent="0.25">
      <c r="B968" s="3"/>
      <c r="C968" s="3"/>
    </row>
    <row r="969" spans="2:3" ht="15.75" customHeight="1" x14ac:dyDescent="0.25">
      <c r="B969" s="3"/>
      <c r="C969" s="3"/>
    </row>
    <row r="970" spans="2:3" ht="15.75" customHeight="1" x14ac:dyDescent="0.25">
      <c r="B970" s="3"/>
      <c r="C970" s="3"/>
    </row>
    <row r="971" spans="2:3" ht="15.75" customHeight="1" x14ac:dyDescent="0.25">
      <c r="B971" s="3"/>
      <c r="C971" s="3"/>
    </row>
    <row r="972" spans="2:3" ht="15.75" customHeight="1" x14ac:dyDescent="0.25">
      <c r="B972" s="3"/>
      <c r="C972" s="3"/>
    </row>
    <row r="973" spans="2:3" ht="15.75" customHeight="1" x14ac:dyDescent="0.25">
      <c r="B973" s="3"/>
      <c r="C973" s="3"/>
    </row>
    <row r="974" spans="2:3" ht="15.75" customHeight="1" x14ac:dyDescent="0.25">
      <c r="B974" s="3"/>
      <c r="C974" s="3"/>
    </row>
    <row r="975" spans="2:3" ht="15.75" customHeight="1" x14ac:dyDescent="0.25">
      <c r="B975" s="3"/>
      <c r="C975" s="3"/>
    </row>
    <row r="976" spans="2:3" ht="15.75" customHeight="1" x14ac:dyDescent="0.25">
      <c r="B976" s="3"/>
      <c r="C976" s="3"/>
    </row>
    <row r="977" spans="2:3" ht="15.75" customHeight="1" x14ac:dyDescent="0.25">
      <c r="B977" s="3"/>
      <c r="C977" s="3"/>
    </row>
    <row r="978" spans="2:3" ht="15.75" customHeight="1" x14ac:dyDescent="0.25">
      <c r="B978" s="3"/>
      <c r="C978" s="3"/>
    </row>
    <row r="979" spans="2:3" ht="15.75" customHeight="1" x14ac:dyDescent="0.25">
      <c r="B979" s="3"/>
      <c r="C979" s="3"/>
    </row>
    <row r="980" spans="2:3" ht="15.75" customHeight="1" x14ac:dyDescent="0.25">
      <c r="B980" s="3"/>
      <c r="C980" s="3"/>
    </row>
    <row r="981" spans="2:3" ht="15.75" customHeight="1" x14ac:dyDescent="0.25">
      <c r="B981" s="3"/>
      <c r="C981" s="3"/>
    </row>
    <row r="982" spans="2:3" ht="15.75" customHeight="1" x14ac:dyDescent="0.25">
      <c r="B982" s="3"/>
      <c r="C982" s="3"/>
    </row>
    <row r="983" spans="2:3" ht="15.75" customHeight="1" x14ac:dyDescent="0.25">
      <c r="B983" s="3"/>
      <c r="C983" s="3"/>
    </row>
    <row r="984" spans="2:3" ht="15.75" customHeight="1" x14ac:dyDescent="0.25">
      <c r="B984" s="3"/>
      <c r="C984" s="3"/>
    </row>
    <row r="985" spans="2:3" ht="15.75" customHeight="1" x14ac:dyDescent="0.25">
      <c r="B985" s="3"/>
      <c r="C985" s="3"/>
    </row>
    <row r="986" spans="2:3" ht="15.75" customHeight="1" x14ac:dyDescent="0.25">
      <c r="B986" s="3"/>
      <c r="C986" s="3"/>
    </row>
    <row r="987" spans="2:3" ht="15.75" customHeight="1" x14ac:dyDescent="0.25">
      <c r="B987" s="3"/>
      <c r="C987" s="3"/>
    </row>
    <row r="988" spans="2:3" ht="15.75" customHeight="1" x14ac:dyDescent="0.25">
      <c r="B988" s="3"/>
      <c r="C988" s="3"/>
    </row>
    <row r="989" spans="2:3" ht="15.75" customHeight="1" x14ac:dyDescent="0.25">
      <c r="B989" s="3"/>
      <c r="C989" s="3"/>
    </row>
    <row r="990" spans="2:3" ht="15.75" customHeight="1" x14ac:dyDescent="0.25">
      <c r="B990" s="3"/>
      <c r="C990" s="3"/>
    </row>
    <row r="991" spans="2:3" ht="15.75" customHeight="1" x14ac:dyDescent="0.25">
      <c r="B991" s="3"/>
      <c r="C991" s="3"/>
    </row>
    <row r="992" spans="2:3" ht="15.75" customHeight="1" x14ac:dyDescent="0.25">
      <c r="B992" s="3"/>
      <c r="C992" s="3"/>
    </row>
    <row r="993" spans="2:3" ht="15.75" customHeight="1" x14ac:dyDescent="0.25">
      <c r="B993" s="3"/>
      <c r="C993" s="3"/>
    </row>
    <row r="994" spans="2:3" ht="15.75" customHeight="1" x14ac:dyDescent="0.25">
      <c r="B994" s="3"/>
      <c r="C994" s="3"/>
    </row>
    <row r="995" spans="2:3" ht="15.75" customHeight="1" x14ac:dyDescent="0.25">
      <c r="B995" s="3"/>
      <c r="C995" s="3"/>
    </row>
    <row r="996" spans="2:3" ht="15.75" customHeight="1" x14ac:dyDescent="0.25">
      <c r="B996" s="3"/>
      <c r="C996" s="3"/>
    </row>
    <row r="997" spans="2:3" ht="15.75" customHeight="1" x14ac:dyDescent="0.25">
      <c r="B997" s="3"/>
      <c r="C997" s="3"/>
    </row>
    <row r="998" spans="2:3" ht="15.75" customHeight="1" x14ac:dyDescent="0.25">
      <c r="B998" s="3"/>
      <c r="C998" s="3"/>
    </row>
    <row r="999" spans="2:3" ht="15.75" customHeight="1" x14ac:dyDescent="0.25">
      <c r="B999" s="3"/>
      <c r="C999" s="3"/>
    </row>
    <row r="1000" spans="2:3" ht="15.75" customHeight="1" x14ac:dyDescent="0.25">
      <c r="B1000" s="3"/>
      <c r="C1000" s="3"/>
    </row>
  </sheetData>
  <conditionalFormatting sqref="G2:G3">
    <cfRule type="cellIs" dxfId="117" priority="1" operator="lessThan">
      <formula>0</formula>
    </cfRule>
    <cfRule type="cellIs" dxfId="116" priority="2" operator="greaterThan">
      <formula>0</formula>
    </cfRule>
  </conditionalFormatting>
  <hyperlinks>
    <hyperlink ref="D1" location="CLIENTES!A1" display="volver" xr:uid="{00000000-0004-0000-0400-000000000000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01"/>
  <sheetViews>
    <sheetView workbookViewId="0">
      <selection activeCell="D1" sqref="D1"/>
    </sheetView>
  </sheetViews>
  <sheetFormatPr baseColWidth="10" defaultColWidth="14.42578125" defaultRowHeight="15" customHeight="1" x14ac:dyDescent="0.25"/>
  <cols>
    <col min="1" max="1" width="16" customWidth="1"/>
    <col min="2" max="2" width="21.5703125" style="33" customWidth="1"/>
    <col min="3" max="3" width="16" style="33" customWidth="1"/>
    <col min="4" max="7" width="16" customWidth="1"/>
    <col min="8" max="26" width="10.7109375" customWidth="1"/>
  </cols>
  <sheetData>
    <row r="1" spans="1:7" ht="18.75" x14ac:dyDescent="0.3">
      <c r="A1" s="12" t="s">
        <v>230</v>
      </c>
      <c r="B1"/>
      <c r="C1"/>
      <c r="D1" s="101" t="s">
        <v>52</v>
      </c>
    </row>
    <row r="2" spans="1:7" s="37" customFormat="1" ht="19.5" customHeight="1" x14ac:dyDescent="0.25">
      <c r="A2" s="37" t="s">
        <v>53</v>
      </c>
      <c r="B2" s="38" t="s">
        <v>54</v>
      </c>
      <c r="C2" s="38" t="s">
        <v>55</v>
      </c>
      <c r="D2" s="37" t="s">
        <v>56</v>
      </c>
      <c r="E2" s="37" t="s">
        <v>57</v>
      </c>
      <c r="F2" s="39" t="s">
        <v>58</v>
      </c>
      <c r="G2" s="40">
        <f>SUM(C3:C1048576) - SUM(B3:B1048576)</f>
        <v>-374343</v>
      </c>
    </row>
    <row r="3" spans="1:7" x14ac:dyDescent="0.25">
      <c r="A3" s="148">
        <v>46092</v>
      </c>
      <c r="B3" s="32">
        <v>374343</v>
      </c>
    </row>
    <row r="4" spans="1:7" x14ac:dyDescent="0.25">
      <c r="A4" s="66"/>
      <c r="B4" s="32"/>
    </row>
    <row r="5" spans="1:7" x14ac:dyDescent="0.25">
      <c r="A5" s="21"/>
      <c r="B5" s="32"/>
    </row>
    <row r="6" spans="1:7" x14ac:dyDescent="0.25">
      <c r="A6" s="21"/>
      <c r="C6" s="32"/>
    </row>
    <row r="7" spans="1:7" x14ac:dyDescent="0.25">
      <c r="A7" s="21"/>
      <c r="B7" s="32"/>
    </row>
    <row r="8" spans="1:7" x14ac:dyDescent="0.25">
      <c r="A8" s="31"/>
      <c r="B8" s="65"/>
    </row>
    <row r="9" spans="1:7" ht="15" customHeight="1" x14ac:dyDescent="0.25">
      <c r="A9" s="31"/>
    </row>
    <row r="10" spans="1:7" ht="15" customHeight="1" x14ac:dyDescent="0.25">
      <c r="A10" s="31"/>
    </row>
    <row r="11" spans="1:7" ht="15" customHeight="1" x14ac:dyDescent="0.25">
      <c r="A11" s="31"/>
    </row>
    <row r="12" spans="1:7" ht="15" customHeight="1" x14ac:dyDescent="0.25">
      <c r="A12" s="31"/>
    </row>
    <row r="13" spans="1:7" ht="15" customHeight="1" x14ac:dyDescent="0.25">
      <c r="A13" s="31"/>
    </row>
    <row r="14" spans="1:7" ht="15" customHeight="1" x14ac:dyDescent="0.25">
      <c r="A14" s="31"/>
    </row>
    <row r="15" spans="1:7" ht="15" customHeight="1" x14ac:dyDescent="0.25">
      <c r="A15" s="31"/>
    </row>
    <row r="16" spans="1:7" ht="15" customHeight="1" x14ac:dyDescent="0.25">
      <c r="A16" s="31"/>
    </row>
    <row r="17" spans="1:1" ht="15" customHeight="1" x14ac:dyDescent="0.25">
      <c r="A17" s="31"/>
    </row>
    <row r="18" spans="1:1" ht="15" customHeight="1" x14ac:dyDescent="0.25">
      <c r="A18" s="31"/>
    </row>
    <row r="19" spans="1:1" ht="15" customHeight="1" x14ac:dyDescent="0.25">
      <c r="A19" s="31"/>
    </row>
    <row r="20" spans="1:1" ht="15" customHeight="1" x14ac:dyDescent="0.25">
      <c r="A20" s="31"/>
    </row>
    <row r="22" spans="1:1" ht="15.75" customHeight="1" x14ac:dyDescent="0.25"/>
    <row r="23" spans="1:1" ht="15.75" customHeight="1" x14ac:dyDescent="0.25"/>
    <row r="24" spans="1:1" ht="15.75" customHeight="1" x14ac:dyDescent="0.25"/>
    <row r="25" spans="1:1" ht="15.75" customHeight="1" x14ac:dyDescent="0.25"/>
    <row r="26" spans="1:1" ht="15.75" customHeight="1" x14ac:dyDescent="0.25"/>
    <row r="27" spans="1:1" ht="15.75" customHeight="1" x14ac:dyDescent="0.25"/>
    <row r="28" spans="1:1" ht="15.75" customHeight="1" x14ac:dyDescent="0.25"/>
    <row r="29" spans="1:1" ht="15.75" customHeight="1" x14ac:dyDescent="0.25"/>
    <row r="30" spans="1:1" ht="15.75" customHeight="1" x14ac:dyDescent="0.25"/>
    <row r="31" spans="1:1" ht="15.75" customHeight="1" x14ac:dyDescent="0.25"/>
    <row r="32" spans="1: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conditionalFormatting sqref="G2">
    <cfRule type="cellIs" dxfId="115" priority="1" operator="lessThan">
      <formula>0</formula>
    </cfRule>
    <cfRule type="cellIs" dxfId="114" priority="2" operator="greaterThan">
      <formula>0</formula>
    </cfRule>
  </conditionalFormatting>
  <hyperlinks>
    <hyperlink ref="D1" location="CLIENTES!A1" display="volver" xr:uid="{00000000-0004-0000-0500-000000000000}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00"/>
  <sheetViews>
    <sheetView workbookViewId="0">
      <selection activeCell="D1" sqref="D1"/>
    </sheetView>
  </sheetViews>
  <sheetFormatPr baseColWidth="10" defaultColWidth="14.42578125" defaultRowHeight="15" customHeight="1" x14ac:dyDescent="0.25"/>
  <cols>
    <col min="1" max="6" width="10.7109375" customWidth="1"/>
    <col min="7" max="7" width="17.85546875" customWidth="1"/>
    <col min="8" max="26" width="10.7109375" customWidth="1"/>
  </cols>
  <sheetData>
    <row r="1" spans="1:7" ht="18.75" x14ac:dyDescent="0.3">
      <c r="A1" s="12" t="s">
        <v>4</v>
      </c>
      <c r="D1" s="2" t="s">
        <v>52</v>
      </c>
    </row>
    <row r="2" spans="1:7" x14ac:dyDescent="0.25">
      <c r="A2" s="1" t="s">
        <v>53</v>
      </c>
      <c r="B2" s="3" t="s">
        <v>54</v>
      </c>
      <c r="C2" s="3" t="s">
        <v>55</v>
      </c>
      <c r="D2" s="1" t="s">
        <v>56</v>
      </c>
      <c r="E2" s="1" t="s">
        <v>57</v>
      </c>
      <c r="F2" s="22" t="s">
        <v>58</v>
      </c>
      <c r="G2" s="23">
        <f>SUM(C3:C1048576) - SUM(B3:B1048576)</f>
        <v>-1254582</v>
      </c>
    </row>
    <row r="3" spans="1:7" x14ac:dyDescent="0.25">
      <c r="A3" s="21">
        <v>45443</v>
      </c>
      <c r="B3" s="1">
        <v>771057</v>
      </c>
    </row>
    <row r="4" spans="1:7" x14ac:dyDescent="0.25">
      <c r="A4" s="21">
        <v>45473</v>
      </c>
      <c r="B4" s="1">
        <v>483525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G2">
    <cfRule type="cellIs" dxfId="113" priority="1" operator="lessThan">
      <formula>0</formula>
    </cfRule>
    <cfRule type="cellIs" dxfId="112" priority="2" operator="greaterThan">
      <formula>0</formula>
    </cfRule>
  </conditionalFormatting>
  <hyperlinks>
    <hyperlink ref="D1" location="Hoja1!A1" display="volver" xr:uid="{00000000-0004-0000-0600-000000000000}"/>
  </hyperlink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00"/>
  <sheetViews>
    <sheetView workbookViewId="0">
      <selection activeCell="D1" sqref="D1"/>
    </sheetView>
  </sheetViews>
  <sheetFormatPr baseColWidth="10" defaultColWidth="14.42578125" defaultRowHeight="15" customHeight="1" x14ac:dyDescent="0.25"/>
  <cols>
    <col min="1" max="6" width="10.7109375" customWidth="1"/>
    <col min="7" max="7" width="16.42578125" customWidth="1"/>
    <col min="8" max="26" width="10.7109375" customWidth="1"/>
  </cols>
  <sheetData>
    <row r="1" spans="1:7" ht="18.75" x14ac:dyDescent="0.3">
      <c r="A1" s="12" t="s">
        <v>5</v>
      </c>
      <c r="D1" s="2" t="s">
        <v>52</v>
      </c>
    </row>
    <row r="2" spans="1:7" x14ac:dyDescent="0.25">
      <c r="A2" s="1" t="s">
        <v>53</v>
      </c>
      <c r="B2" s="3" t="s">
        <v>54</v>
      </c>
      <c r="C2" s="3" t="s">
        <v>55</v>
      </c>
      <c r="D2" s="1" t="s">
        <v>56</v>
      </c>
      <c r="E2" s="1" t="s">
        <v>57</v>
      </c>
      <c r="F2" s="22" t="s">
        <v>58</v>
      </c>
      <c r="G2" s="23">
        <f>SUM(C3:C1048576) - SUM(B3:B1048576)</f>
        <v>-418042</v>
      </c>
    </row>
    <row r="3" spans="1:7" x14ac:dyDescent="0.25">
      <c r="A3" s="21">
        <v>45443</v>
      </c>
      <c r="B3" s="1">
        <v>41034</v>
      </c>
      <c r="E3" s="34" t="s">
        <v>5</v>
      </c>
    </row>
    <row r="4" spans="1:7" x14ac:dyDescent="0.25">
      <c r="A4" s="21">
        <v>45473</v>
      </c>
      <c r="B4" s="1">
        <v>130458</v>
      </c>
      <c r="E4" s="34" t="s">
        <v>5</v>
      </c>
    </row>
    <row r="5" spans="1:7" ht="15" customHeight="1" x14ac:dyDescent="0.25">
      <c r="A5" s="31">
        <v>45504</v>
      </c>
      <c r="B5">
        <v>246550</v>
      </c>
      <c r="E5" s="34" t="s">
        <v>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G2">
    <cfRule type="cellIs" dxfId="111" priority="1" operator="lessThan">
      <formula>0</formula>
    </cfRule>
    <cfRule type="cellIs" dxfId="110" priority="2" operator="greaterThan">
      <formula>0</formula>
    </cfRule>
  </conditionalFormatting>
  <hyperlinks>
    <hyperlink ref="D1" location="Hoja1!A1" display="volver" xr:uid="{00000000-0004-0000-0700-000000000000}"/>
  </hyperlink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04"/>
  <sheetViews>
    <sheetView zoomScale="109" workbookViewId="0">
      <selection activeCell="D1" sqref="D1"/>
    </sheetView>
  </sheetViews>
  <sheetFormatPr baseColWidth="10" defaultColWidth="14.42578125" defaultRowHeight="15" customHeight="1" x14ac:dyDescent="0.25"/>
  <cols>
    <col min="1" max="1" width="16.85546875" customWidth="1"/>
    <col min="2" max="2" width="19.7109375" style="33" customWidth="1"/>
    <col min="3" max="3" width="16.85546875" style="33" customWidth="1"/>
    <col min="4" max="7" width="16.85546875" customWidth="1"/>
    <col min="8" max="26" width="10.7109375" customWidth="1"/>
  </cols>
  <sheetData>
    <row r="1" spans="1:7" ht="18.75" x14ac:dyDescent="0.3">
      <c r="A1" s="12" t="s">
        <v>6</v>
      </c>
      <c r="B1"/>
      <c r="C1"/>
      <c r="D1" s="101" t="s">
        <v>52</v>
      </c>
    </row>
    <row r="2" spans="1:7" s="37" customFormat="1" ht="20.25" customHeight="1" x14ac:dyDescent="0.25">
      <c r="A2" s="37" t="s">
        <v>53</v>
      </c>
      <c r="B2" s="38" t="s">
        <v>54</v>
      </c>
      <c r="C2" s="38" t="s">
        <v>55</v>
      </c>
      <c r="D2" s="37" t="s">
        <v>56</v>
      </c>
      <c r="E2" s="37" t="s">
        <v>57</v>
      </c>
      <c r="F2" s="39" t="s">
        <v>58</v>
      </c>
      <c r="G2" s="40">
        <f>SUM(C4:C1048576) - SUM(B4:B1048576)</f>
        <v>-1498512</v>
      </c>
    </row>
    <row r="3" spans="1:7" s="37" customFormat="1" ht="20.25" customHeight="1" x14ac:dyDescent="0.25">
      <c r="B3" s="38"/>
      <c r="C3" s="38"/>
      <c r="F3" s="67"/>
      <c r="G3" s="40"/>
    </row>
    <row r="4" spans="1:7" x14ac:dyDescent="0.25">
      <c r="A4" s="21">
        <v>45443</v>
      </c>
      <c r="B4" s="32">
        <v>353553</v>
      </c>
    </row>
    <row r="5" spans="1:7" x14ac:dyDescent="0.25">
      <c r="A5" s="21">
        <v>45459</v>
      </c>
      <c r="B5" s="32"/>
      <c r="C5" s="33">
        <v>353553</v>
      </c>
    </row>
    <row r="6" spans="1:7" x14ac:dyDescent="0.25">
      <c r="A6" s="21">
        <v>45473</v>
      </c>
      <c r="B6" s="32">
        <v>266851</v>
      </c>
    </row>
    <row r="7" spans="1:7" x14ac:dyDescent="0.25">
      <c r="A7" s="21">
        <v>45491</v>
      </c>
      <c r="B7" s="32"/>
      <c r="C7" s="33">
        <v>266851</v>
      </c>
    </row>
    <row r="8" spans="1:7" ht="15" customHeight="1" x14ac:dyDescent="0.25">
      <c r="A8" s="31">
        <v>45504</v>
      </c>
      <c r="B8" s="33">
        <v>489524</v>
      </c>
    </row>
    <row r="9" spans="1:7" ht="15" customHeight="1" x14ac:dyDescent="0.25">
      <c r="A9" s="31">
        <v>45519</v>
      </c>
      <c r="C9" s="33">
        <v>489524</v>
      </c>
    </row>
    <row r="10" spans="1:7" ht="15" customHeight="1" x14ac:dyDescent="0.25">
      <c r="A10" s="31">
        <v>45535</v>
      </c>
      <c r="B10" s="33">
        <v>161566</v>
      </c>
    </row>
    <row r="11" spans="1:7" ht="15" customHeight="1" x14ac:dyDescent="0.25">
      <c r="A11" s="31">
        <v>45565</v>
      </c>
      <c r="B11" s="33">
        <v>577102</v>
      </c>
    </row>
    <row r="12" spans="1:7" ht="15" customHeight="1" x14ac:dyDescent="0.25">
      <c r="A12" s="31">
        <v>45596</v>
      </c>
      <c r="B12" s="33">
        <v>563158</v>
      </c>
    </row>
    <row r="13" spans="1:7" ht="15" customHeight="1" x14ac:dyDescent="0.25">
      <c r="A13" s="31">
        <v>45603</v>
      </c>
      <c r="C13" s="33">
        <v>555193</v>
      </c>
    </row>
    <row r="14" spans="1:7" ht="15" customHeight="1" x14ac:dyDescent="0.25">
      <c r="A14" s="31">
        <v>45626</v>
      </c>
      <c r="B14" s="33">
        <v>486191</v>
      </c>
    </row>
    <row r="15" spans="1:7" ht="15" customHeight="1" x14ac:dyDescent="0.25">
      <c r="A15" s="31">
        <v>45657</v>
      </c>
      <c r="B15" s="33">
        <v>687649</v>
      </c>
    </row>
    <row r="16" spans="1:7" ht="15" customHeight="1" x14ac:dyDescent="0.25">
      <c r="A16" s="31">
        <v>45674</v>
      </c>
      <c r="C16" s="33">
        <v>486191</v>
      </c>
    </row>
    <row r="17" spans="1:3" ht="15" customHeight="1" x14ac:dyDescent="0.25">
      <c r="A17" s="31">
        <v>45688</v>
      </c>
      <c r="B17" s="33">
        <v>1234118</v>
      </c>
    </row>
    <row r="18" spans="1:3" ht="15" customHeight="1" x14ac:dyDescent="0.25">
      <c r="A18" s="31">
        <v>45701</v>
      </c>
      <c r="C18" s="33">
        <v>1921767</v>
      </c>
    </row>
    <row r="19" spans="1:3" ht="15" customHeight="1" x14ac:dyDescent="0.25">
      <c r="A19" s="31">
        <v>45716</v>
      </c>
      <c r="B19" s="33">
        <v>1152564</v>
      </c>
    </row>
    <row r="20" spans="1:3" ht="15" customHeight="1" x14ac:dyDescent="0.25">
      <c r="A20" s="31">
        <v>45729</v>
      </c>
      <c r="C20" s="33">
        <v>1152564</v>
      </c>
    </row>
    <row r="21" spans="1:3" ht="15" customHeight="1" x14ac:dyDescent="0.25">
      <c r="A21" s="31">
        <v>45747</v>
      </c>
      <c r="B21" s="33">
        <v>694757</v>
      </c>
    </row>
    <row r="22" spans="1:3" ht="15" customHeight="1" x14ac:dyDescent="0.25">
      <c r="A22" s="31">
        <v>45763</v>
      </c>
      <c r="C22" s="33">
        <v>1441390</v>
      </c>
    </row>
    <row r="23" spans="1:3" ht="15" customHeight="1" x14ac:dyDescent="0.25">
      <c r="A23" s="31">
        <v>45777</v>
      </c>
      <c r="B23" s="33">
        <v>632144</v>
      </c>
    </row>
    <row r="24" spans="1:3" ht="15" customHeight="1" x14ac:dyDescent="0.25">
      <c r="A24" s="31">
        <v>45792</v>
      </c>
      <c r="C24" s="33">
        <v>632144</v>
      </c>
    </row>
    <row r="25" spans="1:3" ht="15.75" customHeight="1" x14ac:dyDescent="0.25">
      <c r="A25" s="31">
        <v>45807</v>
      </c>
      <c r="B25" s="33">
        <v>585244</v>
      </c>
    </row>
    <row r="26" spans="1:3" ht="15.75" customHeight="1" x14ac:dyDescent="0.25">
      <c r="A26" s="31">
        <v>45813</v>
      </c>
      <c r="C26" s="33">
        <v>585244</v>
      </c>
    </row>
    <row r="27" spans="1:3" ht="15.75" customHeight="1" x14ac:dyDescent="0.25">
      <c r="A27" s="31">
        <v>45838</v>
      </c>
      <c r="B27" s="33">
        <v>540636</v>
      </c>
    </row>
    <row r="28" spans="1:3" ht="15.75" customHeight="1" x14ac:dyDescent="0.25">
      <c r="A28" s="31">
        <v>45841</v>
      </c>
      <c r="C28" s="33">
        <v>540636</v>
      </c>
    </row>
    <row r="29" spans="1:3" ht="15.75" customHeight="1" x14ac:dyDescent="0.25">
      <c r="A29" s="31">
        <v>45869</v>
      </c>
      <c r="B29" s="33">
        <v>574405</v>
      </c>
    </row>
    <row r="30" spans="1:3" ht="15.75" customHeight="1" x14ac:dyDescent="0.25">
      <c r="A30" s="31">
        <v>45876</v>
      </c>
      <c r="C30" s="33">
        <v>574405</v>
      </c>
    </row>
    <row r="31" spans="1:3" ht="15.75" customHeight="1" x14ac:dyDescent="0.25">
      <c r="A31" s="31">
        <v>45900</v>
      </c>
      <c r="B31" s="33">
        <v>626373</v>
      </c>
    </row>
    <row r="32" spans="1:3" ht="15.75" customHeight="1" x14ac:dyDescent="0.25">
      <c r="A32" s="31">
        <v>45904</v>
      </c>
      <c r="C32" s="33">
        <v>626373</v>
      </c>
    </row>
    <row r="33" spans="1:3" ht="15.75" customHeight="1" x14ac:dyDescent="0.25">
      <c r="A33" s="31">
        <v>45930</v>
      </c>
      <c r="B33" s="33">
        <v>698988</v>
      </c>
    </row>
    <row r="34" spans="1:3" ht="15.75" customHeight="1" x14ac:dyDescent="0.25">
      <c r="A34" s="31">
        <v>45961</v>
      </c>
      <c r="B34" s="33">
        <v>828063</v>
      </c>
    </row>
    <row r="35" spans="1:3" ht="15.75" customHeight="1" x14ac:dyDescent="0.25">
      <c r="A35" s="31">
        <v>45966</v>
      </c>
      <c r="C35" s="33">
        <v>1527051</v>
      </c>
    </row>
    <row r="36" spans="1:3" ht="15.75" customHeight="1" x14ac:dyDescent="0.25">
      <c r="A36" s="31">
        <v>45991</v>
      </c>
      <c r="B36" s="33">
        <v>848234</v>
      </c>
    </row>
    <row r="37" spans="1:3" ht="15.75" customHeight="1" x14ac:dyDescent="0.25">
      <c r="A37" s="31">
        <v>46022</v>
      </c>
      <c r="B37" s="33">
        <v>1375882</v>
      </c>
    </row>
    <row r="38" spans="1:3" ht="15.75" customHeight="1" x14ac:dyDescent="0.25">
      <c r="A38" s="31">
        <v>46034</v>
      </c>
      <c r="C38" s="33">
        <v>848234</v>
      </c>
    </row>
    <row r="39" spans="1:3" ht="15.75" customHeight="1" x14ac:dyDescent="0.25">
      <c r="A39" s="31">
        <v>46037</v>
      </c>
      <c r="C39" s="33">
        <v>1375882</v>
      </c>
    </row>
    <row r="40" spans="1:3" ht="15.75" customHeight="1" x14ac:dyDescent="0.25">
      <c r="A40" s="31">
        <v>46053</v>
      </c>
      <c r="B40" s="33">
        <v>1762514</v>
      </c>
    </row>
    <row r="41" spans="1:3" ht="15.75" customHeight="1" x14ac:dyDescent="0.25">
      <c r="A41" s="31">
        <v>46081</v>
      </c>
      <c r="B41" s="33">
        <v>1498512</v>
      </c>
    </row>
    <row r="42" spans="1:3" ht="15.75" customHeight="1" x14ac:dyDescent="0.25">
      <c r="A42" s="31">
        <v>46059</v>
      </c>
      <c r="C42" s="33">
        <v>1762514</v>
      </c>
    </row>
    <row r="43" spans="1:3" ht="15.75" customHeight="1" x14ac:dyDescent="0.25"/>
    <row r="44" spans="1:3" ht="15.75" customHeight="1" x14ac:dyDescent="0.25"/>
    <row r="45" spans="1:3" ht="15.75" customHeight="1" x14ac:dyDescent="0.25"/>
    <row r="46" spans="1:3" ht="15.75" customHeight="1" x14ac:dyDescent="0.25"/>
    <row r="47" spans="1:3" ht="15.75" customHeight="1" x14ac:dyDescent="0.25"/>
    <row r="48" spans="1: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</sheetData>
  <conditionalFormatting sqref="G2:G3">
    <cfRule type="cellIs" dxfId="109" priority="1" operator="lessThan">
      <formula>0</formula>
    </cfRule>
    <cfRule type="cellIs" dxfId="108" priority="2" operator="greaterThan">
      <formula>0</formula>
    </cfRule>
  </conditionalFormatting>
  <hyperlinks>
    <hyperlink ref="D1" location="CLIENTES!A1" display="volver" xr:uid="{00000000-0004-0000-0800-000000000000}"/>
  </hyperlinks>
  <pageMargins left="0.7" right="0.7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003"/>
  <sheetViews>
    <sheetView workbookViewId="0">
      <selection activeCell="D1" sqref="D1"/>
    </sheetView>
  </sheetViews>
  <sheetFormatPr baseColWidth="10" defaultColWidth="14.42578125" defaultRowHeight="15" customHeight="1" x14ac:dyDescent="0.25"/>
  <cols>
    <col min="1" max="1" width="14.5703125" customWidth="1"/>
    <col min="2" max="2" width="23.28515625" style="33" customWidth="1"/>
    <col min="3" max="3" width="14.5703125" style="33" customWidth="1"/>
    <col min="4" max="4" width="19.140625" customWidth="1"/>
    <col min="5" max="7" width="14.5703125" customWidth="1"/>
    <col min="8" max="26" width="10.7109375" customWidth="1"/>
  </cols>
  <sheetData>
    <row r="1" spans="1:7" ht="18.75" x14ac:dyDescent="0.3">
      <c r="A1" s="12" t="s">
        <v>7</v>
      </c>
      <c r="B1"/>
      <c r="C1"/>
      <c r="D1" s="101" t="s">
        <v>52</v>
      </c>
    </row>
    <row r="2" spans="1:7" s="37" customFormat="1" ht="23.25" customHeight="1" x14ac:dyDescent="0.25">
      <c r="A2" s="37" t="s">
        <v>53</v>
      </c>
      <c r="B2" s="38" t="s">
        <v>54</v>
      </c>
      <c r="C2" s="38" t="s">
        <v>55</v>
      </c>
      <c r="D2" s="37" t="s">
        <v>56</v>
      </c>
      <c r="E2" s="37" t="s">
        <v>57</v>
      </c>
      <c r="F2" s="39" t="s">
        <v>58</v>
      </c>
      <c r="G2" s="40">
        <f>SUM(C3:C1048576) - SUM(B3:B1048576)</f>
        <v>0</v>
      </c>
    </row>
    <row r="3" spans="1:7" ht="15" customHeight="1" x14ac:dyDescent="0.25">
      <c r="B3"/>
      <c r="C3"/>
    </row>
    <row r="4" spans="1:7" ht="15" customHeight="1" x14ac:dyDescent="0.25">
      <c r="A4" s="31">
        <v>45473</v>
      </c>
    </row>
    <row r="5" spans="1:7" ht="15" customHeight="1" x14ac:dyDescent="0.25">
      <c r="A5" s="31">
        <v>45504</v>
      </c>
      <c r="B5" s="33">
        <v>428112</v>
      </c>
    </row>
    <row r="6" spans="1:7" ht="15" customHeight="1" x14ac:dyDescent="0.25">
      <c r="A6" s="31">
        <v>45512</v>
      </c>
      <c r="C6" s="33">
        <v>428112</v>
      </c>
    </row>
    <row r="7" spans="1:7" ht="15" customHeight="1" x14ac:dyDescent="0.25">
      <c r="A7" s="31">
        <v>45535</v>
      </c>
      <c r="B7" s="33">
        <v>0</v>
      </c>
    </row>
    <row r="8" spans="1:7" ht="15" customHeight="1" x14ac:dyDescent="0.25">
      <c r="A8" s="31">
        <v>45565</v>
      </c>
      <c r="B8" s="33">
        <v>601024</v>
      </c>
    </row>
    <row r="9" spans="1:7" ht="15" customHeight="1" x14ac:dyDescent="0.25">
      <c r="A9" s="31">
        <v>45581</v>
      </c>
      <c r="C9" s="33">
        <v>601024</v>
      </c>
    </row>
    <row r="10" spans="1:7" ht="15" customHeight="1" x14ac:dyDescent="0.25">
      <c r="A10" s="31">
        <v>45596</v>
      </c>
      <c r="B10" s="33">
        <v>444015</v>
      </c>
    </row>
    <row r="11" spans="1:7" ht="15" customHeight="1" x14ac:dyDescent="0.25">
      <c r="A11" s="31">
        <v>45602</v>
      </c>
      <c r="C11" s="33">
        <v>444015</v>
      </c>
    </row>
    <row r="12" spans="1:7" ht="15" customHeight="1" x14ac:dyDescent="0.25">
      <c r="A12" s="31">
        <v>45626</v>
      </c>
      <c r="B12" s="33">
        <v>259270</v>
      </c>
    </row>
    <row r="13" spans="1:7" ht="15" customHeight="1" x14ac:dyDescent="0.25">
      <c r="A13" s="31">
        <v>45639</v>
      </c>
      <c r="C13" s="33">
        <v>168310</v>
      </c>
    </row>
    <row r="14" spans="1:7" ht="15" customHeight="1" x14ac:dyDescent="0.25">
      <c r="A14" s="31">
        <v>45649</v>
      </c>
      <c r="C14" s="33">
        <v>90960</v>
      </c>
    </row>
    <row r="15" spans="1:7" ht="15" customHeight="1" x14ac:dyDescent="0.25">
      <c r="A15" s="31">
        <v>45657</v>
      </c>
      <c r="B15" s="33">
        <v>653788</v>
      </c>
    </row>
    <row r="16" spans="1:7" ht="15" customHeight="1" x14ac:dyDescent="0.25">
      <c r="A16" s="31">
        <v>45663</v>
      </c>
      <c r="C16" s="33">
        <v>653788</v>
      </c>
    </row>
    <row r="17" spans="1:3" ht="15" customHeight="1" x14ac:dyDescent="0.25">
      <c r="A17" s="31">
        <v>45679</v>
      </c>
      <c r="B17" s="33">
        <v>1373986</v>
      </c>
    </row>
    <row r="18" spans="1:3" ht="15" customHeight="1" x14ac:dyDescent="0.25">
      <c r="A18" s="31">
        <v>45688</v>
      </c>
      <c r="C18" s="33">
        <v>1373986</v>
      </c>
    </row>
    <row r="19" spans="1:3" ht="15" customHeight="1" x14ac:dyDescent="0.25">
      <c r="A19" s="31">
        <v>45688</v>
      </c>
      <c r="B19" s="33">
        <v>1847588</v>
      </c>
    </row>
    <row r="20" spans="1:3" ht="15" customHeight="1" x14ac:dyDescent="0.25">
      <c r="A20" s="31">
        <v>45700</v>
      </c>
      <c r="C20" s="33">
        <v>1847588</v>
      </c>
    </row>
    <row r="21" spans="1:3" ht="15" customHeight="1" x14ac:dyDescent="0.25">
      <c r="A21" s="31">
        <v>45716</v>
      </c>
      <c r="B21" s="33">
        <v>1541380</v>
      </c>
    </row>
    <row r="22" spans="1:3" ht="15" customHeight="1" x14ac:dyDescent="0.25">
      <c r="A22" s="31">
        <v>45741</v>
      </c>
      <c r="C22" s="33">
        <v>1541380</v>
      </c>
    </row>
    <row r="23" spans="1:3" ht="15" customHeight="1" x14ac:dyDescent="0.25">
      <c r="A23" s="31">
        <v>45742</v>
      </c>
      <c r="B23" s="33">
        <v>608186</v>
      </c>
    </row>
    <row r="24" spans="1:3" ht="15.75" customHeight="1" x14ac:dyDescent="0.25">
      <c r="A24" s="31">
        <v>45745</v>
      </c>
      <c r="C24" s="33">
        <v>608186</v>
      </c>
    </row>
    <row r="25" spans="1:3" ht="15.75" customHeight="1" x14ac:dyDescent="0.25">
      <c r="A25" s="31">
        <v>45747</v>
      </c>
      <c r="B25" s="33">
        <v>852590</v>
      </c>
    </row>
    <row r="26" spans="1:3" ht="15.75" customHeight="1" x14ac:dyDescent="0.25">
      <c r="A26" s="31">
        <v>45750</v>
      </c>
      <c r="C26" s="33">
        <v>852590</v>
      </c>
    </row>
    <row r="27" spans="1:3" ht="15.75" customHeight="1" x14ac:dyDescent="0.25">
      <c r="A27" s="31">
        <v>45777</v>
      </c>
      <c r="B27" s="33">
        <v>954301</v>
      </c>
    </row>
    <row r="28" spans="1:3" ht="15.75" customHeight="1" x14ac:dyDescent="0.25">
      <c r="A28" s="31">
        <v>45786</v>
      </c>
      <c r="C28" s="33">
        <v>954301</v>
      </c>
    </row>
    <row r="29" spans="1:3" ht="15.75" customHeight="1" x14ac:dyDescent="0.25">
      <c r="A29" s="31">
        <v>45807</v>
      </c>
      <c r="B29" s="33">
        <v>106646</v>
      </c>
    </row>
    <row r="30" spans="1:3" ht="15.75" customHeight="1" x14ac:dyDescent="0.25">
      <c r="A30" s="31">
        <v>45838</v>
      </c>
      <c r="B30" s="33">
        <v>63782</v>
      </c>
    </row>
    <row r="31" spans="1:3" ht="15.75" customHeight="1" x14ac:dyDescent="0.25">
      <c r="A31" s="31">
        <v>45873</v>
      </c>
      <c r="C31" s="33">
        <v>170428</v>
      </c>
    </row>
    <row r="32" spans="1:3" ht="15.75" customHeight="1" x14ac:dyDescent="0.25">
      <c r="A32" s="31">
        <v>46038</v>
      </c>
      <c r="B32" s="33">
        <v>1472264</v>
      </c>
    </row>
    <row r="33" spans="1:3" ht="15.75" customHeight="1" x14ac:dyDescent="0.25">
      <c r="A33" s="31">
        <v>46052</v>
      </c>
      <c r="C33" s="33">
        <v>1472264</v>
      </c>
    </row>
    <row r="34" spans="1:3" ht="15.75" customHeight="1" x14ac:dyDescent="0.25">
      <c r="A34" s="31">
        <v>46053</v>
      </c>
      <c r="B34" s="33">
        <v>1413701</v>
      </c>
    </row>
    <row r="35" spans="1:3" ht="15.75" customHeight="1" x14ac:dyDescent="0.25">
      <c r="A35" s="31">
        <v>46059</v>
      </c>
      <c r="C35" s="33">
        <v>1413701</v>
      </c>
    </row>
    <row r="36" spans="1:3" ht="15.75" customHeight="1" x14ac:dyDescent="0.25">
      <c r="A36" s="31">
        <v>46068</v>
      </c>
      <c r="B36" s="33">
        <v>1736918</v>
      </c>
    </row>
    <row r="37" spans="1:3" ht="15.75" customHeight="1" x14ac:dyDescent="0.25">
      <c r="A37" s="31">
        <v>46073</v>
      </c>
      <c r="C37" s="33">
        <v>1736918</v>
      </c>
    </row>
    <row r="38" spans="1:3" ht="15.75" customHeight="1" x14ac:dyDescent="0.25">
      <c r="A38" s="31">
        <v>46069</v>
      </c>
      <c r="B38" s="33">
        <v>1339359</v>
      </c>
    </row>
    <row r="39" spans="1:3" ht="15.75" customHeight="1" x14ac:dyDescent="0.25">
      <c r="A39" s="31">
        <v>46085</v>
      </c>
      <c r="C39" s="33">
        <v>1339359</v>
      </c>
    </row>
    <row r="40" spans="1:3" ht="15.75" customHeight="1" x14ac:dyDescent="0.25"/>
    <row r="41" spans="1:3" ht="15.75" customHeight="1" x14ac:dyDescent="0.25"/>
    <row r="42" spans="1:3" ht="15.75" customHeight="1" x14ac:dyDescent="0.25"/>
    <row r="43" spans="1:3" ht="15.75" customHeight="1" x14ac:dyDescent="0.25"/>
    <row r="44" spans="1:3" ht="15.75" customHeight="1" x14ac:dyDescent="0.25"/>
    <row r="45" spans="1:3" ht="15.75" customHeight="1" x14ac:dyDescent="0.25"/>
    <row r="46" spans="1:3" ht="15.75" customHeight="1" x14ac:dyDescent="0.25"/>
    <row r="47" spans="1:3" ht="15.75" customHeight="1" x14ac:dyDescent="0.25"/>
    <row r="48" spans="1: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conditionalFormatting sqref="G2">
    <cfRule type="cellIs" dxfId="107" priority="1" operator="lessThan">
      <formula>0</formula>
    </cfRule>
    <cfRule type="cellIs" dxfId="106" priority="2" operator="greaterThan">
      <formula>0</formula>
    </cfRule>
  </conditionalFormatting>
  <hyperlinks>
    <hyperlink ref="D1" location="CLIENTES!A1" display="volver" xr:uid="{00000000-0004-0000-0900-000000000000}"/>
  </hyperlinks>
  <pageMargins left="0.7" right="0.7" top="0.75" bottom="0.75" header="0" footer="0"/>
  <pageSetup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002"/>
  <sheetViews>
    <sheetView workbookViewId="0">
      <selection activeCell="D1" sqref="D1"/>
    </sheetView>
  </sheetViews>
  <sheetFormatPr baseColWidth="10" defaultColWidth="14.42578125" defaultRowHeight="15" customHeight="1" x14ac:dyDescent="0.25"/>
  <cols>
    <col min="1" max="1" width="15.28515625" customWidth="1"/>
    <col min="2" max="2" width="19.7109375" style="33" customWidth="1"/>
    <col min="3" max="3" width="15.28515625" style="33" customWidth="1"/>
    <col min="4" max="7" width="15.28515625" customWidth="1"/>
    <col min="8" max="26" width="10.7109375" customWidth="1"/>
  </cols>
  <sheetData>
    <row r="1" spans="1:7" ht="18.75" x14ac:dyDescent="0.3">
      <c r="A1" s="12" t="s">
        <v>9</v>
      </c>
      <c r="B1"/>
      <c r="C1"/>
      <c r="D1" s="101" t="s">
        <v>52</v>
      </c>
    </row>
    <row r="2" spans="1:7" s="37" customFormat="1" ht="19.5" customHeight="1" x14ac:dyDescent="0.25">
      <c r="A2" s="37" t="s">
        <v>53</v>
      </c>
      <c r="B2" s="38" t="s">
        <v>54</v>
      </c>
      <c r="C2" s="38" t="s">
        <v>55</v>
      </c>
      <c r="D2" s="37" t="s">
        <v>56</v>
      </c>
      <c r="E2" s="37" t="s">
        <v>57</v>
      </c>
      <c r="F2" s="39" t="s">
        <v>58</v>
      </c>
      <c r="G2" s="40">
        <f>SUM(C4:C1048576) - SUM(B4:B1048576)</f>
        <v>0</v>
      </c>
    </row>
    <row r="3" spans="1:7" x14ac:dyDescent="0.25">
      <c r="A3" s="1"/>
      <c r="B3" s="3"/>
      <c r="C3" s="3"/>
      <c r="D3" s="1"/>
      <c r="E3" s="1"/>
      <c r="F3" s="36"/>
      <c r="G3" s="23"/>
    </row>
    <row r="4" spans="1:7" x14ac:dyDescent="0.25">
      <c r="A4" s="21">
        <v>45443</v>
      </c>
      <c r="B4" s="32">
        <v>81097</v>
      </c>
    </row>
    <row r="5" spans="1:7" x14ac:dyDescent="0.25">
      <c r="A5" s="21">
        <v>45473</v>
      </c>
      <c r="B5" s="32">
        <v>164923</v>
      </c>
    </row>
    <row r="6" spans="1:7" ht="15" customHeight="1" x14ac:dyDescent="0.25">
      <c r="A6" s="31">
        <v>45504</v>
      </c>
      <c r="B6" s="33">
        <v>277432</v>
      </c>
    </row>
    <row r="7" spans="1:7" ht="15" customHeight="1" x14ac:dyDescent="0.25">
      <c r="A7" s="31">
        <v>45533</v>
      </c>
      <c r="C7" s="33">
        <v>523452</v>
      </c>
    </row>
    <row r="8" spans="1:7" ht="15" customHeight="1" x14ac:dyDescent="0.25">
      <c r="A8" s="31">
        <v>45535</v>
      </c>
      <c r="B8" s="33">
        <v>108703</v>
      </c>
    </row>
    <row r="9" spans="1:7" ht="15" customHeight="1" x14ac:dyDescent="0.25">
      <c r="A9" s="31">
        <v>45565</v>
      </c>
      <c r="B9" s="33">
        <v>196345</v>
      </c>
    </row>
    <row r="10" spans="1:7" ht="15" customHeight="1" x14ac:dyDescent="0.25">
      <c r="A10" s="31">
        <v>45596</v>
      </c>
      <c r="B10" s="33">
        <v>218409</v>
      </c>
    </row>
    <row r="11" spans="1:7" ht="15" customHeight="1" x14ac:dyDescent="0.25">
      <c r="A11" s="31">
        <v>45626</v>
      </c>
      <c r="B11" s="33">
        <v>399432</v>
      </c>
    </row>
    <row r="12" spans="1:7" ht="15" customHeight="1" x14ac:dyDescent="0.25">
      <c r="A12" s="31">
        <v>45639</v>
      </c>
      <c r="C12" s="33">
        <v>922889</v>
      </c>
    </row>
    <row r="13" spans="1:7" ht="15" customHeight="1" x14ac:dyDescent="0.25">
      <c r="A13" s="31">
        <v>45657</v>
      </c>
      <c r="B13" s="33">
        <v>370549</v>
      </c>
    </row>
    <row r="14" spans="1:7" ht="15" customHeight="1" x14ac:dyDescent="0.25">
      <c r="A14" s="31">
        <v>45688</v>
      </c>
      <c r="B14" s="33">
        <v>1133051</v>
      </c>
    </row>
    <row r="15" spans="1:7" ht="15" customHeight="1" x14ac:dyDescent="0.25">
      <c r="A15" s="31">
        <v>45716</v>
      </c>
      <c r="B15" s="33">
        <v>707458</v>
      </c>
    </row>
    <row r="16" spans="1:7" ht="15" customHeight="1" x14ac:dyDescent="0.25">
      <c r="A16" s="31">
        <v>45726</v>
      </c>
      <c r="C16" s="33">
        <v>2211058</v>
      </c>
    </row>
    <row r="17" spans="1:3" ht="15" customHeight="1" x14ac:dyDescent="0.25">
      <c r="A17" s="31">
        <v>45747</v>
      </c>
      <c r="B17" s="33">
        <v>296211</v>
      </c>
    </row>
    <row r="18" spans="1:3" ht="15" customHeight="1" x14ac:dyDescent="0.25">
      <c r="A18" s="31">
        <v>45807</v>
      </c>
      <c r="B18" s="33">
        <v>158946</v>
      </c>
    </row>
    <row r="19" spans="1:3" ht="15" customHeight="1" x14ac:dyDescent="0.25">
      <c r="A19" s="31">
        <v>45838</v>
      </c>
      <c r="B19" s="33">
        <v>197108</v>
      </c>
    </row>
    <row r="20" spans="1:3" ht="15" customHeight="1" x14ac:dyDescent="0.25">
      <c r="A20" s="31">
        <v>45869</v>
      </c>
      <c r="B20" s="33">
        <v>222948</v>
      </c>
    </row>
    <row r="21" spans="1:3" ht="15" customHeight="1" x14ac:dyDescent="0.25">
      <c r="A21" s="31">
        <v>45900</v>
      </c>
      <c r="B21" s="33">
        <v>176628</v>
      </c>
    </row>
    <row r="22" spans="1:3" ht="15" customHeight="1" x14ac:dyDescent="0.25">
      <c r="A22" s="31">
        <v>45930</v>
      </c>
      <c r="B22" s="33">
        <v>191454</v>
      </c>
    </row>
    <row r="23" spans="1:3" ht="15.75" customHeight="1" x14ac:dyDescent="0.25">
      <c r="A23" s="31">
        <v>45961</v>
      </c>
      <c r="B23" s="33">
        <v>286518</v>
      </c>
    </row>
    <row r="24" spans="1:3" ht="15.75" customHeight="1" x14ac:dyDescent="0.25">
      <c r="A24" s="31">
        <v>45991</v>
      </c>
      <c r="C24" s="33">
        <v>1500000</v>
      </c>
    </row>
    <row r="25" spans="1:3" ht="15.75" customHeight="1" x14ac:dyDescent="0.25">
      <c r="A25" s="31">
        <v>45991</v>
      </c>
      <c r="B25" s="33">
        <v>422246</v>
      </c>
    </row>
    <row r="26" spans="1:3" ht="15.75" customHeight="1" x14ac:dyDescent="0.25">
      <c r="A26" s="31">
        <v>46022</v>
      </c>
      <c r="B26" s="33">
        <v>399616</v>
      </c>
    </row>
    <row r="27" spans="1:3" ht="15.75" customHeight="1" x14ac:dyDescent="0.25">
      <c r="A27" s="31">
        <v>46053</v>
      </c>
      <c r="B27" s="33">
        <v>1289185</v>
      </c>
    </row>
    <row r="28" spans="1:3" ht="15.75" customHeight="1" x14ac:dyDescent="0.25">
      <c r="A28" s="31">
        <v>46081</v>
      </c>
      <c r="B28" s="33">
        <v>966786</v>
      </c>
    </row>
    <row r="29" spans="1:3" ht="15.75" customHeight="1" x14ac:dyDescent="0.25">
      <c r="A29" s="31">
        <v>46084</v>
      </c>
      <c r="C29" s="33">
        <v>3107646</v>
      </c>
    </row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conditionalFormatting sqref="G2:G3">
    <cfRule type="cellIs" dxfId="105" priority="1" operator="lessThan">
      <formula>0</formula>
    </cfRule>
    <cfRule type="cellIs" dxfId="104" priority="2" operator="greaterThan">
      <formula>0</formula>
    </cfRule>
  </conditionalFormatting>
  <hyperlinks>
    <hyperlink ref="D1" location="CLIENTES!A1" display="volver" xr:uid="{00000000-0004-0000-0B00-000000000000}"/>
  </hyperlink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000"/>
  <sheetViews>
    <sheetView workbookViewId="0">
      <selection activeCell="B1" sqref="B1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7" ht="18.75" x14ac:dyDescent="0.3">
      <c r="A1" s="12" t="s">
        <v>10</v>
      </c>
      <c r="D1" s="2" t="s">
        <v>52</v>
      </c>
    </row>
    <row r="2" spans="1:7" x14ac:dyDescent="0.25">
      <c r="A2" s="1" t="s">
        <v>53</v>
      </c>
      <c r="B2" s="3" t="s">
        <v>54</v>
      </c>
      <c r="C2" s="3" t="s">
        <v>55</v>
      </c>
      <c r="D2" s="1" t="s">
        <v>56</v>
      </c>
      <c r="E2" s="1" t="s">
        <v>57</v>
      </c>
      <c r="F2" s="22" t="s">
        <v>58</v>
      </c>
      <c r="G2" s="23">
        <f>SUM(C3:C1048576) - SUM(B3:B1048576)</f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G2">
    <cfRule type="cellIs" dxfId="103" priority="1" operator="lessThan">
      <formula>0</formula>
    </cfRule>
    <cfRule type="cellIs" dxfId="102" priority="2" operator="greaterThan">
      <formula>0</formula>
    </cfRule>
  </conditionalFormatting>
  <hyperlinks>
    <hyperlink ref="D1" location="Hoja1!A1" display="volver" xr:uid="{00000000-0004-0000-0C00-000000000000}"/>
  </hyperlink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006"/>
  <sheetViews>
    <sheetView workbookViewId="0">
      <selection activeCell="D1" sqref="D1"/>
    </sheetView>
  </sheetViews>
  <sheetFormatPr baseColWidth="10" defaultColWidth="14.42578125" defaultRowHeight="15" customHeight="1" x14ac:dyDescent="0.25"/>
  <cols>
    <col min="1" max="1" width="16.28515625" customWidth="1"/>
    <col min="2" max="2" width="20.7109375" style="33" customWidth="1"/>
    <col min="3" max="3" width="16.28515625" style="33" customWidth="1"/>
    <col min="4" max="7" width="16.28515625" customWidth="1"/>
    <col min="8" max="26" width="10.7109375" customWidth="1"/>
  </cols>
  <sheetData>
    <row r="1" spans="1:7" ht="18.75" x14ac:dyDescent="0.3">
      <c r="A1" s="12" t="s">
        <v>8</v>
      </c>
      <c r="B1"/>
      <c r="C1"/>
      <c r="D1" s="101" t="s">
        <v>52</v>
      </c>
    </row>
    <row r="2" spans="1:7" s="37" customFormat="1" ht="19.5" customHeight="1" x14ac:dyDescent="0.25">
      <c r="A2" s="37" t="s">
        <v>53</v>
      </c>
      <c r="B2" s="38" t="s">
        <v>54</v>
      </c>
      <c r="C2" s="38" t="s">
        <v>55</v>
      </c>
      <c r="D2" s="37" t="s">
        <v>56</v>
      </c>
      <c r="E2" s="37" t="s">
        <v>57</v>
      </c>
      <c r="F2" s="39" t="s">
        <v>58</v>
      </c>
      <c r="G2" s="40">
        <f>SUM(C4:C1048576) - SUM(B4:B1048576)</f>
        <v>-246804</v>
      </c>
    </row>
    <row r="3" spans="1:7" x14ac:dyDescent="0.25">
      <c r="A3" s="1"/>
      <c r="B3" s="3"/>
      <c r="C3" s="3"/>
      <c r="D3" s="1"/>
      <c r="E3" s="1"/>
      <c r="F3" s="36"/>
      <c r="G3" s="23"/>
    </row>
    <row r="4" spans="1:7" x14ac:dyDescent="0.25">
      <c r="A4" s="21">
        <v>45443</v>
      </c>
      <c r="B4" s="32">
        <v>169284</v>
      </c>
    </row>
    <row r="5" spans="1:7" x14ac:dyDescent="0.25">
      <c r="A5" s="21"/>
      <c r="B5" s="32"/>
    </row>
    <row r="6" spans="1:7" x14ac:dyDescent="0.25">
      <c r="A6" s="21">
        <v>45473</v>
      </c>
      <c r="B6" s="32">
        <v>233261</v>
      </c>
    </row>
    <row r="7" spans="1:7" x14ac:dyDescent="0.25">
      <c r="A7" s="21"/>
      <c r="B7" s="32"/>
    </row>
    <row r="8" spans="1:7" ht="15" customHeight="1" x14ac:dyDescent="0.25">
      <c r="A8" s="31">
        <v>45504</v>
      </c>
      <c r="B8" s="33">
        <v>440987</v>
      </c>
    </row>
    <row r="9" spans="1:7" ht="15" customHeight="1" x14ac:dyDescent="0.25">
      <c r="A9" s="31">
        <v>45535</v>
      </c>
      <c r="B9" s="33">
        <v>299109</v>
      </c>
    </row>
    <row r="10" spans="1:7" ht="15" customHeight="1" x14ac:dyDescent="0.25">
      <c r="A10" s="31">
        <v>45550</v>
      </c>
      <c r="C10" s="33">
        <v>1142641</v>
      </c>
    </row>
    <row r="11" spans="1:7" ht="15" customHeight="1" x14ac:dyDescent="0.25">
      <c r="A11" s="31">
        <v>45565</v>
      </c>
      <c r="B11" s="33">
        <v>263105</v>
      </c>
    </row>
    <row r="12" spans="1:7" ht="15" customHeight="1" x14ac:dyDescent="0.25">
      <c r="A12" s="31">
        <v>45572</v>
      </c>
      <c r="C12" s="33">
        <v>263105</v>
      </c>
    </row>
    <row r="13" spans="1:7" ht="15" customHeight="1" x14ac:dyDescent="0.25">
      <c r="A13" s="31">
        <v>45596</v>
      </c>
      <c r="B13" s="33">
        <v>313562</v>
      </c>
    </row>
    <row r="14" spans="1:7" ht="15" customHeight="1" x14ac:dyDescent="0.25">
      <c r="A14" s="31">
        <v>45601</v>
      </c>
      <c r="C14" s="33">
        <v>313562</v>
      </c>
    </row>
    <row r="15" spans="1:7" ht="15" customHeight="1" x14ac:dyDescent="0.25">
      <c r="A15" s="31">
        <v>45626</v>
      </c>
      <c r="B15" s="33">
        <v>559165</v>
      </c>
    </row>
    <row r="16" spans="1:7" ht="15" customHeight="1" x14ac:dyDescent="0.25">
      <c r="A16" s="31">
        <v>45639</v>
      </c>
      <c r="C16" s="33">
        <v>559165</v>
      </c>
    </row>
    <row r="17" spans="1:3" ht="15" customHeight="1" x14ac:dyDescent="0.25">
      <c r="A17" s="31">
        <v>45657</v>
      </c>
      <c r="B17" s="33">
        <v>198205</v>
      </c>
    </row>
    <row r="18" spans="1:3" ht="15" customHeight="1" x14ac:dyDescent="0.25">
      <c r="A18" s="31">
        <v>45682</v>
      </c>
      <c r="C18" s="33">
        <v>198205</v>
      </c>
    </row>
    <row r="19" spans="1:3" ht="15" customHeight="1" x14ac:dyDescent="0.25">
      <c r="A19" s="31">
        <v>45688</v>
      </c>
      <c r="B19" s="33">
        <v>616002</v>
      </c>
    </row>
    <row r="20" spans="1:3" ht="15" customHeight="1" x14ac:dyDescent="0.25">
      <c r="A20" s="31">
        <v>45694</v>
      </c>
      <c r="C20" s="33">
        <v>616002</v>
      </c>
    </row>
    <row r="21" spans="1:3" ht="15" customHeight="1" x14ac:dyDescent="0.25">
      <c r="A21" s="31">
        <v>45716</v>
      </c>
      <c r="B21" s="33">
        <v>799985</v>
      </c>
    </row>
    <row r="22" spans="1:3" ht="15" customHeight="1" x14ac:dyDescent="0.25">
      <c r="A22" s="31">
        <v>37330</v>
      </c>
      <c r="C22" s="33">
        <v>799985</v>
      </c>
    </row>
    <row r="23" spans="1:3" ht="15" customHeight="1" x14ac:dyDescent="0.25">
      <c r="A23" s="31">
        <v>45747</v>
      </c>
      <c r="B23" s="33">
        <v>416161</v>
      </c>
    </row>
    <row r="24" spans="1:3" ht="15" customHeight="1" x14ac:dyDescent="0.25">
      <c r="A24" s="31">
        <v>45756</v>
      </c>
      <c r="C24" s="33">
        <v>416161</v>
      </c>
    </row>
    <row r="25" spans="1:3" ht="15" customHeight="1" x14ac:dyDescent="0.25">
      <c r="A25" s="31">
        <v>45777</v>
      </c>
      <c r="B25" s="33">
        <v>282535</v>
      </c>
    </row>
    <row r="26" spans="1:3" ht="15" customHeight="1" x14ac:dyDescent="0.25">
      <c r="A26" s="31">
        <v>45786</v>
      </c>
      <c r="C26" s="33">
        <v>282535</v>
      </c>
    </row>
    <row r="27" spans="1:3" ht="15.75" customHeight="1" x14ac:dyDescent="0.25">
      <c r="A27" s="31">
        <v>45807</v>
      </c>
      <c r="B27" s="33">
        <v>242992</v>
      </c>
    </row>
    <row r="28" spans="1:3" ht="15.75" customHeight="1" x14ac:dyDescent="0.25">
      <c r="A28" s="31">
        <v>45838</v>
      </c>
      <c r="B28" s="33">
        <v>172312</v>
      </c>
    </row>
    <row r="29" spans="1:3" ht="15.75" customHeight="1" x14ac:dyDescent="0.25">
      <c r="A29" s="31">
        <v>45869</v>
      </c>
      <c r="B29" s="33">
        <v>392287</v>
      </c>
    </row>
    <row r="30" spans="1:3" ht="15.75" customHeight="1" x14ac:dyDescent="0.25">
      <c r="A30" s="31">
        <v>45900</v>
      </c>
      <c r="B30" s="33">
        <v>376975</v>
      </c>
    </row>
    <row r="31" spans="1:3" ht="15.75" customHeight="1" x14ac:dyDescent="0.25">
      <c r="A31" s="31">
        <v>45902</v>
      </c>
      <c r="C31" s="33">
        <v>1184566</v>
      </c>
    </row>
    <row r="32" spans="1:3" ht="15.75" customHeight="1" x14ac:dyDescent="0.25">
      <c r="A32" s="31">
        <v>45930</v>
      </c>
      <c r="B32" s="33">
        <v>710826</v>
      </c>
    </row>
    <row r="33" spans="1:3" ht="15.75" customHeight="1" x14ac:dyDescent="0.25">
      <c r="A33" s="31">
        <v>45961</v>
      </c>
      <c r="B33" s="33">
        <v>833218</v>
      </c>
    </row>
    <row r="34" spans="1:3" ht="15.75" customHeight="1" x14ac:dyDescent="0.25">
      <c r="A34" s="31">
        <v>45991</v>
      </c>
      <c r="B34" s="33">
        <v>488143</v>
      </c>
    </row>
    <row r="35" spans="1:3" ht="15.75" customHeight="1" x14ac:dyDescent="0.25">
      <c r="A35" s="31">
        <v>46002</v>
      </c>
      <c r="C35" s="33">
        <v>833218</v>
      </c>
    </row>
    <row r="36" spans="1:3" ht="15.75" customHeight="1" x14ac:dyDescent="0.25">
      <c r="A36" s="31">
        <v>46013</v>
      </c>
      <c r="C36" s="33">
        <v>1198969</v>
      </c>
    </row>
    <row r="37" spans="1:3" ht="15.75" customHeight="1" x14ac:dyDescent="0.25">
      <c r="A37" s="31">
        <v>46022</v>
      </c>
      <c r="B37" s="33">
        <v>222886</v>
      </c>
    </row>
    <row r="38" spans="1:3" ht="15.75" customHeight="1" x14ac:dyDescent="0.25">
      <c r="A38" s="31">
        <v>46053</v>
      </c>
      <c r="B38" s="33">
        <v>950898</v>
      </c>
    </row>
    <row r="39" spans="1:3" ht="15.75" customHeight="1" x14ac:dyDescent="0.25">
      <c r="A39" s="31">
        <v>46081</v>
      </c>
      <c r="B39" s="33">
        <v>767152</v>
      </c>
    </row>
    <row r="40" spans="1:3" ht="15.75" customHeight="1" x14ac:dyDescent="0.25">
      <c r="A40" s="31">
        <v>46092</v>
      </c>
      <c r="C40" s="33">
        <v>1694132</v>
      </c>
    </row>
    <row r="41" spans="1:3" ht="15.75" customHeight="1" x14ac:dyDescent="0.25"/>
    <row r="42" spans="1:3" ht="15.75" customHeight="1" x14ac:dyDescent="0.25"/>
    <row r="43" spans="1:3" ht="15.75" customHeight="1" x14ac:dyDescent="0.25"/>
    <row r="44" spans="1:3" ht="15.75" customHeight="1" x14ac:dyDescent="0.25"/>
    <row r="45" spans="1:3" ht="15.75" customHeight="1" x14ac:dyDescent="0.25"/>
    <row r="46" spans="1:3" ht="15.75" customHeight="1" x14ac:dyDescent="0.25"/>
    <row r="47" spans="1:3" ht="15.75" customHeight="1" x14ac:dyDescent="0.25"/>
    <row r="48" spans="1: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</sheetData>
  <sheetProtection selectLockedCells="1"/>
  <conditionalFormatting sqref="G2:G3">
    <cfRule type="cellIs" dxfId="101" priority="1" operator="lessThan">
      <formula>0</formula>
    </cfRule>
    <cfRule type="cellIs" dxfId="100" priority="2" operator="greaterThan">
      <formula>0</formula>
    </cfRule>
  </conditionalFormatting>
  <hyperlinks>
    <hyperlink ref="D1" location="CLIENTES!A1" display="volver" xr:uid="{00000000-0004-0000-0A00-000000000000}"/>
  </hyperlinks>
  <pageMargins left="0.7" right="0.7" top="0.75" bottom="0.75" header="0" footer="0"/>
  <pageSetup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001"/>
  <sheetViews>
    <sheetView zoomScaleNormal="100" workbookViewId="0">
      <pane ySplit="1" topLeftCell="A50" activePane="bottomLeft" state="frozen"/>
      <selection pane="bottomLeft" activeCell="D1" sqref="D1"/>
    </sheetView>
  </sheetViews>
  <sheetFormatPr baseColWidth="10" defaultColWidth="14.42578125" defaultRowHeight="15" customHeight="1" x14ac:dyDescent="0.25"/>
  <cols>
    <col min="1" max="1" width="10.7109375" customWidth="1"/>
    <col min="2" max="2" width="22.85546875" customWidth="1"/>
    <col min="3" max="3" width="18.7109375" customWidth="1"/>
    <col min="4" max="4" width="24.42578125" customWidth="1"/>
    <col min="5" max="5" width="15.5703125" customWidth="1"/>
    <col min="6" max="6" width="10.7109375" customWidth="1"/>
    <col min="7" max="7" width="18.42578125" customWidth="1"/>
    <col min="8" max="8" width="20.140625" customWidth="1"/>
    <col min="9" max="9" width="10.7109375" customWidth="1"/>
    <col min="10" max="10" width="21.7109375" customWidth="1"/>
    <col min="11" max="11" width="16.28515625" customWidth="1"/>
    <col min="12" max="26" width="10.7109375" customWidth="1"/>
  </cols>
  <sheetData>
    <row r="1" spans="1:12" ht="18.75" x14ac:dyDescent="0.3">
      <c r="A1" s="48" t="s">
        <v>78</v>
      </c>
      <c r="D1" s="101" t="s">
        <v>52</v>
      </c>
      <c r="K1" s="3"/>
    </row>
    <row r="2" spans="1:12" ht="15.75" x14ac:dyDescent="0.25">
      <c r="A2" s="41" t="s">
        <v>53</v>
      </c>
      <c r="B2" s="42" t="s">
        <v>54</v>
      </c>
      <c r="C2" s="42" t="s">
        <v>55</v>
      </c>
      <c r="D2" s="41" t="s">
        <v>56</v>
      </c>
      <c r="E2" s="41" t="s">
        <v>57</v>
      </c>
      <c r="F2" s="22" t="s">
        <v>58</v>
      </c>
      <c r="G2" s="23">
        <f>SUM(C3:C1048576) - SUM(B3:B1048576)</f>
        <v>2695136</v>
      </c>
      <c r="H2" s="3">
        <f>G2</f>
        <v>2695136</v>
      </c>
      <c r="J2" s="24" t="s">
        <v>70</v>
      </c>
      <c r="K2" s="25">
        <v>10000000</v>
      </c>
      <c r="L2" s="1" t="s">
        <v>71</v>
      </c>
    </row>
    <row r="3" spans="1:12" ht="15.75" x14ac:dyDescent="0.25">
      <c r="A3" s="41"/>
      <c r="B3" s="42"/>
      <c r="C3" s="42">
        <v>8300000</v>
      </c>
      <c r="D3" s="41"/>
      <c r="E3" s="41"/>
      <c r="F3" s="108"/>
      <c r="G3" s="23"/>
      <c r="H3" s="3"/>
      <c r="J3" s="26"/>
      <c r="K3" s="27"/>
      <c r="L3" s="1"/>
    </row>
    <row r="4" spans="1:12" x14ac:dyDescent="0.25">
      <c r="A4" s="21">
        <v>45230</v>
      </c>
      <c r="B4" s="3">
        <v>793651</v>
      </c>
      <c r="C4" s="3"/>
      <c r="E4" s="34" t="s">
        <v>11</v>
      </c>
      <c r="J4" s="26" t="s">
        <v>0</v>
      </c>
      <c r="K4" s="27">
        <v>1700000</v>
      </c>
    </row>
    <row r="5" spans="1:12" x14ac:dyDescent="0.25">
      <c r="A5" s="21">
        <v>45230</v>
      </c>
      <c r="B5" s="32">
        <v>536722</v>
      </c>
      <c r="E5" s="34" t="s">
        <v>42</v>
      </c>
      <c r="J5" s="26" t="s">
        <v>72</v>
      </c>
      <c r="K5" s="28">
        <v>8300000</v>
      </c>
    </row>
    <row r="6" spans="1:12" x14ac:dyDescent="0.25">
      <c r="A6" s="21">
        <v>45260</v>
      </c>
      <c r="B6" s="3">
        <v>793913</v>
      </c>
      <c r="C6" s="3"/>
      <c r="E6" s="34" t="s">
        <v>11</v>
      </c>
      <c r="J6" s="29" t="s">
        <v>73</v>
      </c>
      <c r="K6" s="30"/>
    </row>
    <row r="7" spans="1:12" x14ac:dyDescent="0.25">
      <c r="A7" s="21">
        <v>45260</v>
      </c>
      <c r="B7" s="32">
        <v>746625</v>
      </c>
      <c r="E7" s="34" t="s">
        <v>42</v>
      </c>
      <c r="K7" s="3"/>
    </row>
    <row r="8" spans="1:12" x14ac:dyDescent="0.25">
      <c r="A8" s="21">
        <v>45291</v>
      </c>
      <c r="B8" s="3">
        <v>593763</v>
      </c>
      <c r="C8" s="3"/>
      <c r="E8" s="34" t="s">
        <v>11</v>
      </c>
      <c r="K8" s="3"/>
    </row>
    <row r="9" spans="1:12" x14ac:dyDescent="0.25">
      <c r="A9" s="21">
        <v>45291</v>
      </c>
      <c r="B9" s="32">
        <v>628630</v>
      </c>
      <c r="E9" s="34" t="s">
        <v>42</v>
      </c>
      <c r="K9" s="3"/>
    </row>
    <row r="10" spans="1:12" x14ac:dyDescent="0.25">
      <c r="A10" s="21">
        <v>45322</v>
      </c>
      <c r="B10" s="3">
        <v>603109</v>
      </c>
      <c r="C10" s="3"/>
      <c r="E10" s="34" t="s">
        <v>11</v>
      </c>
      <c r="K10" s="3"/>
    </row>
    <row r="11" spans="1:12" x14ac:dyDescent="0.25">
      <c r="A11" s="21">
        <v>45322</v>
      </c>
      <c r="B11" s="32">
        <v>758154</v>
      </c>
      <c r="E11" s="34" t="s">
        <v>42</v>
      </c>
      <c r="K11" s="3"/>
    </row>
    <row r="12" spans="1:12" x14ac:dyDescent="0.25">
      <c r="A12" s="21">
        <v>45351</v>
      </c>
      <c r="B12" s="3">
        <v>236551</v>
      </c>
      <c r="C12" s="3"/>
      <c r="E12" s="34" t="s">
        <v>11</v>
      </c>
      <c r="K12" s="3"/>
    </row>
    <row r="13" spans="1:12" x14ac:dyDescent="0.25">
      <c r="A13" s="21">
        <v>45351</v>
      </c>
      <c r="B13" s="32">
        <v>603806</v>
      </c>
      <c r="E13" s="34" t="s">
        <v>42</v>
      </c>
      <c r="K13" s="3"/>
    </row>
    <row r="14" spans="1:12" x14ac:dyDescent="0.25">
      <c r="A14" s="21">
        <v>45382</v>
      </c>
      <c r="B14" s="3">
        <v>108383</v>
      </c>
      <c r="C14" s="3"/>
      <c r="E14" s="34" t="s">
        <v>11</v>
      </c>
      <c r="K14" s="3"/>
    </row>
    <row r="15" spans="1:12" x14ac:dyDescent="0.25">
      <c r="A15" s="21">
        <v>45382</v>
      </c>
      <c r="B15" s="32">
        <v>336528</v>
      </c>
      <c r="E15" s="34" t="s">
        <v>42</v>
      </c>
      <c r="K15" s="3"/>
    </row>
    <row r="16" spans="1:12" x14ac:dyDescent="0.25">
      <c r="A16" s="21">
        <v>45412</v>
      </c>
      <c r="B16" s="3">
        <v>186112</v>
      </c>
      <c r="C16" s="3"/>
      <c r="E16" s="34" t="s">
        <v>11</v>
      </c>
      <c r="K16" s="3"/>
    </row>
    <row r="17" spans="1:11" x14ac:dyDescent="0.25">
      <c r="A17" s="21">
        <v>45412</v>
      </c>
      <c r="B17" s="32">
        <v>467947</v>
      </c>
      <c r="E17" s="34" t="s">
        <v>42</v>
      </c>
      <c r="K17" s="3"/>
    </row>
    <row r="18" spans="1:11" x14ac:dyDescent="0.25">
      <c r="A18" s="21">
        <v>45443</v>
      </c>
      <c r="B18" s="3">
        <v>38383</v>
      </c>
      <c r="C18" s="3"/>
      <c r="E18" s="34" t="s">
        <v>11</v>
      </c>
      <c r="K18" s="3"/>
    </row>
    <row r="19" spans="1:11" x14ac:dyDescent="0.25">
      <c r="A19" s="21">
        <v>45443</v>
      </c>
      <c r="B19" s="32">
        <v>310532</v>
      </c>
      <c r="E19" s="34" t="s">
        <v>42</v>
      </c>
      <c r="K19" s="3"/>
    </row>
    <row r="20" spans="1:11" x14ac:dyDescent="0.25">
      <c r="A20" s="21">
        <v>45473</v>
      </c>
      <c r="B20" s="3">
        <v>129383</v>
      </c>
      <c r="C20" s="3"/>
      <c r="E20" s="34" t="s">
        <v>11</v>
      </c>
      <c r="K20" s="3"/>
    </row>
    <row r="21" spans="1:11" x14ac:dyDescent="0.25">
      <c r="A21" s="21">
        <v>45473</v>
      </c>
      <c r="B21" s="32">
        <v>378777</v>
      </c>
      <c r="E21" s="34" t="s">
        <v>42</v>
      </c>
      <c r="K21" s="3"/>
    </row>
    <row r="22" spans="1:11" ht="15.75" customHeight="1" x14ac:dyDescent="0.25">
      <c r="A22" s="31">
        <v>45504</v>
      </c>
      <c r="B22" s="3">
        <v>344833</v>
      </c>
      <c r="C22" s="3"/>
      <c r="E22" s="34" t="s">
        <v>11</v>
      </c>
      <c r="K22" s="3"/>
    </row>
    <row r="23" spans="1:11" ht="15.75" customHeight="1" x14ac:dyDescent="0.25">
      <c r="A23" s="31">
        <v>45504</v>
      </c>
      <c r="B23" s="33">
        <v>724996</v>
      </c>
      <c r="E23" s="34" t="s">
        <v>42</v>
      </c>
      <c r="K23" s="3"/>
    </row>
    <row r="24" spans="1:11" ht="15.75" customHeight="1" x14ac:dyDescent="0.25">
      <c r="A24" s="31">
        <v>45535</v>
      </c>
      <c r="B24" s="33">
        <v>120468</v>
      </c>
      <c r="E24" s="70" t="s">
        <v>11</v>
      </c>
      <c r="K24" s="3"/>
    </row>
    <row r="25" spans="1:11" ht="15.75" customHeight="1" x14ac:dyDescent="0.25">
      <c r="A25" s="31">
        <v>45535</v>
      </c>
      <c r="B25" s="3">
        <v>1080362</v>
      </c>
      <c r="C25" s="3"/>
      <c r="E25" s="70" t="s">
        <v>42</v>
      </c>
      <c r="K25" s="3"/>
    </row>
    <row r="26" spans="1:11" ht="15.75" customHeight="1" x14ac:dyDescent="0.25">
      <c r="A26" s="31">
        <v>45565</v>
      </c>
      <c r="B26" s="3">
        <v>1175089</v>
      </c>
      <c r="C26" s="3"/>
      <c r="E26" s="70" t="s">
        <v>11</v>
      </c>
      <c r="K26" s="3"/>
    </row>
    <row r="27" spans="1:11" ht="15.75" customHeight="1" x14ac:dyDescent="0.25">
      <c r="A27" s="31">
        <v>45565</v>
      </c>
      <c r="B27" s="3">
        <v>1883731</v>
      </c>
      <c r="C27" s="3"/>
      <c r="E27" s="70" t="s">
        <v>42</v>
      </c>
      <c r="K27" s="3"/>
    </row>
    <row r="28" spans="1:11" ht="15.75" customHeight="1" x14ac:dyDescent="0.25">
      <c r="A28" s="31">
        <v>45576</v>
      </c>
      <c r="B28" s="3"/>
      <c r="C28" s="3">
        <v>500000</v>
      </c>
      <c r="D28" t="s">
        <v>139</v>
      </c>
      <c r="K28" s="3"/>
    </row>
    <row r="29" spans="1:11" ht="15.75" customHeight="1" x14ac:dyDescent="0.25">
      <c r="A29" s="31">
        <v>45576</v>
      </c>
      <c r="B29" s="3"/>
      <c r="C29" s="3">
        <v>10000000</v>
      </c>
      <c r="D29" t="s">
        <v>134</v>
      </c>
      <c r="K29" s="3"/>
    </row>
    <row r="30" spans="1:11" ht="15.75" customHeight="1" x14ac:dyDescent="0.25">
      <c r="A30" s="31">
        <v>45588</v>
      </c>
      <c r="B30" s="3"/>
      <c r="C30" s="3">
        <v>20000000</v>
      </c>
      <c r="D30" t="s">
        <v>140</v>
      </c>
      <c r="I30" s="31">
        <v>45566</v>
      </c>
      <c r="J30" t="s">
        <v>185</v>
      </c>
      <c r="K30" s="3">
        <v>25219552</v>
      </c>
    </row>
    <row r="31" spans="1:11" ht="15.75" customHeight="1" x14ac:dyDescent="0.25">
      <c r="A31" s="31">
        <v>45596</v>
      </c>
      <c r="B31" s="3">
        <v>2092984</v>
      </c>
      <c r="C31" s="3"/>
      <c r="E31" t="s">
        <v>42</v>
      </c>
      <c r="K31" s="3"/>
    </row>
    <row r="32" spans="1:11" ht="15.75" customHeight="1" x14ac:dyDescent="0.25">
      <c r="A32" s="31">
        <v>45596</v>
      </c>
      <c r="B32" s="3">
        <v>1757862</v>
      </c>
      <c r="C32" s="3"/>
      <c r="E32" t="s">
        <v>11</v>
      </c>
      <c r="K32" s="3"/>
    </row>
    <row r="33" spans="1:11" ht="15.75" customHeight="1" x14ac:dyDescent="0.25">
      <c r="A33" s="31">
        <v>45626</v>
      </c>
      <c r="B33" s="3">
        <v>2839086</v>
      </c>
      <c r="C33" s="3"/>
      <c r="E33" t="s">
        <v>42</v>
      </c>
      <c r="K33" s="3"/>
    </row>
    <row r="34" spans="1:11" ht="15.75" customHeight="1" x14ac:dyDescent="0.25">
      <c r="A34" s="31">
        <v>45626</v>
      </c>
      <c r="B34" s="3">
        <v>3196114</v>
      </c>
      <c r="C34" s="3"/>
      <c r="E34" t="s">
        <v>11</v>
      </c>
      <c r="K34" s="3"/>
    </row>
    <row r="35" spans="1:11" ht="15.75" customHeight="1" x14ac:dyDescent="0.25">
      <c r="A35" s="31">
        <v>45657</v>
      </c>
      <c r="B35" s="3">
        <v>3041547</v>
      </c>
      <c r="C35" s="3"/>
      <c r="E35" t="s">
        <v>42</v>
      </c>
      <c r="K35" s="3"/>
    </row>
    <row r="36" spans="1:11" ht="15.75" customHeight="1" x14ac:dyDescent="0.25">
      <c r="A36" s="31">
        <v>45657</v>
      </c>
      <c r="B36" s="3">
        <v>2162131</v>
      </c>
      <c r="C36" s="3"/>
      <c r="E36" t="s">
        <v>11</v>
      </c>
      <c r="K36" s="3"/>
    </row>
    <row r="37" spans="1:11" ht="15.75" customHeight="1" x14ac:dyDescent="0.25">
      <c r="A37" s="31">
        <v>45688</v>
      </c>
      <c r="B37" s="3">
        <v>2732526</v>
      </c>
      <c r="C37" s="3"/>
      <c r="E37" t="s">
        <v>160</v>
      </c>
      <c r="F37" s="109">
        <v>0.03</v>
      </c>
      <c r="K37" s="3"/>
    </row>
    <row r="38" spans="1:11" ht="15.75" customHeight="1" x14ac:dyDescent="0.25">
      <c r="A38" s="31">
        <v>45688</v>
      </c>
      <c r="B38" s="3">
        <v>1982967</v>
      </c>
      <c r="C38" s="3"/>
      <c r="E38" t="s">
        <v>161</v>
      </c>
      <c r="F38" s="109">
        <v>0.03</v>
      </c>
      <c r="K38" s="3"/>
    </row>
    <row r="39" spans="1:11" ht="15.75" customHeight="1" x14ac:dyDescent="0.25">
      <c r="A39" s="31">
        <v>45716</v>
      </c>
      <c r="B39" s="3">
        <v>1511407</v>
      </c>
      <c r="C39" s="3"/>
      <c r="E39" t="s">
        <v>160</v>
      </c>
      <c r="F39" s="109">
        <v>0.13</v>
      </c>
      <c r="K39" s="3"/>
    </row>
    <row r="40" spans="1:11" ht="15.75" customHeight="1" x14ac:dyDescent="0.25">
      <c r="A40" s="31">
        <v>45716</v>
      </c>
      <c r="B40" s="3">
        <v>1228229</v>
      </c>
      <c r="C40" s="3"/>
      <c r="E40" t="s">
        <v>161</v>
      </c>
      <c r="F40" s="109">
        <v>0.13</v>
      </c>
      <c r="K40" s="3"/>
    </row>
    <row r="41" spans="1:11" ht="15.75" customHeight="1" x14ac:dyDescent="0.25">
      <c r="A41" s="31">
        <v>45747</v>
      </c>
      <c r="B41" s="3">
        <v>1015501</v>
      </c>
      <c r="C41" s="3"/>
      <c r="E41" t="s">
        <v>42</v>
      </c>
      <c r="F41" s="109">
        <v>0.13</v>
      </c>
      <c r="K41" s="3"/>
    </row>
    <row r="42" spans="1:11" ht="15.75" customHeight="1" x14ac:dyDescent="0.25">
      <c r="A42" s="31">
        <v>45747</v>
      </c>
      <c r="B42" s="3">
        <v>562180</v>
      </c>
      <c r="C42" s="3"/>
      <c r="E42" t="s">
        <v>11</v>
      </c>
      <c r="F42" s="109">
        <v>0.13</v>
      </c>
      <c r="K42" s="3"/>
    </row>
    <row r="43" spans="1:11" ht="15.75" customHeight="1" x14ac:dyDescent="0.25">
      <c r="A43" s="31">
        <v>45777</v>
      </c>
      <c r="B43" s="3">
        <v>573818</v>
      </c>
      <c r="C43" s="3"/>
      <c r="E43" t="s">
        <v>160</v>
      </c>
      <c r="F43" s="109">
        <v>0.26</v>
      </c>
      <c r="K43" s="3"/>
    </row>
    <row r="44" spans="1:11" ht="15.75" customHeight="1" x14ac:dyDescent="0.25">
      <c r="A44" s="31">
        <v>45777</v>
      </c>
      <c r="B44" s="3">
        <v>674871</v>
      </c>
      <c r="C44" s="3"/>
      <c r="E44" t="s">
        <v>161</v>
      </c>
      <c r="F44" s="109">
        <v>0.26</v>
      </c>
      <c r="K44" s="3"/>
    </row>
    <row r="45" spans="1:11" ht="15.75" customHeight="1" x14ac:dyDescent="0.25">
      <c r="A45" s="31">
        <v>45807</v>
      </c>
      <c r="B45" s="3">
        <v>84577</v>
      </c>
      <c r="C45" s="3"/>
      <c r="E45" t="s">
        <v>160</v>
      </c>
      <c r="F45" s="109"/>
      <c r="K45" s="3"/>
    </row>
    <row r="46" spans="1:11" ht="15.75" customHeight="1" x14ac:dyDescent="0.25">
      <c r="A46" s="31">
        <v>45807</v>
      </c>
      <c r="B46" s="3">
        <v>724889</v>
      </c>
      <c r="C46" s="3"/>
      <c r="E46" t="s">
        <v>11</v>
      </c>
      <c r="F46" s="109"/>
      <c r="K46" s="3"/>
    </row>
    <row r="47" spans="1:11" ht="15.75" customHeight="1" x14ac:dyDescent="0.25">
      <c r="A47" s="31">
        <v>45838</v>
      </c>
      <c r="B47" s="3">
        <v>597174</v>
      </c>
      <c r="C47" s="3"/>
      <c r="E47" t="s">
        <v>42</v>
      </c>
      <c r="K47" s="3"/>
    </row>
    <row r="48" spans="1:11" ht="15.75" customHeight="1" x14ac:dyDescent="0.25">
      <c r="A48" s="31">
        <v>45838</v>
      </c>
      <c r="B48" s="3">
        <v>44728</v>
      </c>
      <c r="C48" s="3"/>
      <c r="E48" t="s">
        <v>11</v>
      </c>
      <c r="K48" s="3"/>
    </row>
    <row r="49" spans="1:12" ht="15.75" customHeight="1" x14ac:dyDescent="0.25">
      <c r="A49" s="31">
        <v>45869</v>
      </c>
      <c r="B49" s="3">
        <v>1545810</v>
      </c>
      <c r="C49" s="3"/>
      <c r="E49" s="106" t="s">
        <v>42</v>
      </c>
      <c r="K49" s="3"/>
    </row>
    <row r="50" spans="1:12" ht="15.75" customHeight="1" thickBot="1" x14ac:dyDescent="0.3">
      <c r="A50" s="31">
        <v>45869</v>
      </c>
      <c r="B50" s="3">
        <v>515425</v>
      </c>
      <c r="C50" s="3"/>
      <c r="E50" s="106" t="s">
        <v>11</v>
      </c>
      <c r="K50" s="3"/>
    </row>
    <row r="51" spans="1:12" ht="15.75" customHeight="1" x14ac:dyDescent="0.25">
      <c r="A51" s="31">
        <v>45892</v>
      </c>
      <c r="B51" s="3"/>
      <c r="C51" s="3">
        <v>37000000</v>
      </c>
      <c r="D51" t="s">
        <v>198</v>
      </c>
      <c r="I51" s="110">
        <v>45892</v>
      </c>
      <c r="J51" s="111" t="s">
        <v>186</v>
      </c>
      <c r="K51" s="112">
        <v>37000000</v>
      </c>
      <c r="L51" t="s">
        <v>199</v>
      </c>
    </row>
    <row r="52" spans="1:12" ht="15.75" customHeight="1" x14ac:dyDescent="0.25">
      <c r="A52" s="31">
        <v>45900</v>
      </c>
      <c r="B52" s="3">
        <v>656874</v>
      </c>
      <c r="C52" s="3"/>
      <c r="E52" t="s">
        <v>42</v>
      </c>
      <c r="I52" s="113"/>
      <c r="J52" s="114" t="s">
        <v>187</v>
      </c>
      <c r="K52" s="115">
        <v>-3664274</v>
      </c>
    </row>
    <row r="53" spans="1:12" ht="15.75" customHeight="1" thickBot="1" x14ac:dyDescent="0.3">
      <c r="A53" s="31">
        <v>45900</v>
      </c>
      <c r="B53" s="3">
        <v>717149</v>
      </c>
      <c r="C53" s="3"/>
      <c r="E53" t="s">
        <v>11</v>
      </c>
      <c r="I53" s="116"/>
      <c r="J53" s="117" t="s">
        <v>188</v>
      </c>
      <c r="K53" s="118">
        <v>33335726</v>
      </c>
    </row>
    <row r="54" spans="1:12" ht="15.75" customHeight="1" thickBot="1" x14ac:dyDescent="0.3">
      <c r="A54" s="31">
        <v>45930</v>
      </c>
      <c r="B54" s="3">
        <v>1812971</v>
      </c>
      <c r="C54" s="3"/>
      <c r="E54" t="s">
        <v>42</v>
      </c>
      <c r="I54" s="119" t="s">
        <v>189</v>
      </c>
      <c r="J54" s="120" t="s">
        <v>197</v>
      </c>
      <c r="K54" s="112"/>
    </row>
    <row r="55" spans="1:12" ht="15.75" customHeight="1" x14ac:dyDescent="0.25">
      <c r="A55" s="31">
        <v>45930</v>
      </c>
      <c r="B55" s="3">
        <v>1678388</v>
      </c>
      <c r="C55" s="3"/>
      <c r="E55" t="s">
        <v>11</v>
      </c>
      <c r="I55" s="119"/>
      <c r="J55" s="111" t="s">
        <v>190</v>
      </c>
      <c r="K55" s="112">
        <v>594</v>
      </c>
    </row>
    <row r="56" spans="1:12" ht="15.75" customHeight="1" x14ac:dyDescent="0.25">
      <c r="A56" s="31">
        <v>45961</v>
      </c>
      <c r="B56" s="3">
        <v>1612038</v>
      </c>
      <c r="C56" s="3"/>
      <c r="E56" t="s">
        <v>160</v>
      </c>
      <c r="I56" s="113"/>
      <c r="J56" s="114" t="s">
        <v>191</v>
      </c>
      <c r="K56" s="115">
        <v>414</v>
      </c>
    </row>
    <row r="57" spans="1:12" ht="15.75" customHeight="1" x14ac:dyDescent="0.25">
      <c r="A57" s="31">
        <v>45961</v>
      </c>
      <c r="B57" s="3">
        <v>2296275</v>
      </c>
      <c r="C57" s="3"/>
      <c r="E57" t="s">
        <v>11</v>
      </c>
      <c r="I57" s="113"/>
      <c r="J57" s="114" t="s">
        <v>192</v>
      </c>
      <c r="K57" s="115">
        <v>414</v>
      </c>
    </row>
    <row r="58" spans="1:12" ht="15.75" customHeight="1" x14ac:dyDescent="0.25">
      <c r="A58" s="31">
        <v>45991</v>
      </c>
      <c r="B58" s="3">
        <v>3645479</v>
      </c>
      <c r="C58" s="3"/>
      <c r="E58" t="s">
        <v>42</v>
      </c>
      <c r="I58" s="113"/>
      <c r="J58" s="114" t="s">
        <v>193</v>
      </c>
      <c r="K58" s="115">
        <v>594</v>
      </c>
    </row>
    <row r="59" spans="1:12" ht="15.75" customHeight="1" x14ac:dyDescent="0.25">
      <c r="A59" s="31">
        <v>45991</v>
      </c>
      <c r="B59" s="3">
        <v>4093447</v>
      </c>
      <c r="C59" s="3"/>
      <c r="E59" t="s">
        <v>11</v>
      </c>
      <c r="I59" s="113"/>
      <c r="J59" s="114" t="s">
        <v>194</v>
      </c>
      <c r="K59" s="115">
        <v>5382</v>
      </c>
    </row>
    <row r="60" spans="1:12" ht="15.75" customHeight="1" x14ac:dyDescent="0.25">
      <c r="A60" s="31">
        <v>46022</v>
      </c>
      <c r="B60" s="3">
        <v>2864497</v>
      </c>
      <c r="C60" s="3"/>
      <c r="E60" t="s">
        <v>42</v>
      </c>
      <c r="I60" s="113"/>
      <c r="J60" s="114" t="s">
        <v>195</v>
      </c>
      <c r="K60" s="115">
        <v>3998</v>
      </c>
    </row>
    <row r="61" spans="1:12" ht="15.75" customHeight="1" thickBot="1" x14ac:dyDescent="0.3">
      <c r="A61" s="31">
        <v>46022</v>
      </c>
      <c r="B61" s="3">
        <v>2582851</v>
      </c>
      <c r="C61" s="3"/>
      <c r="E61" t="s">
        <v>11</v>
      </c>
      <c r="I61" s="116"/>
      <c r="J61" s="117" t="s">
        <v>196</v>
      </c>
      <c r="K61" s="118">
        <v>467</v>
      </c>
    </row>
    <row r="62" spans="1:12" ht="15.75" customHeight="1" x14ac:dyDescent="0.25">
      <c r="A62" s="31">
        <v>46053</v>
      </c>
      <c r="B62" s="3">
        <v>2314987</v>
      </c>
      <c r="C62" s="3"/>
      <c r="E62" t="s">
        <v>11</v>
      </c>
      <c r="K62" s="3"/>
    </row>
    <row r="63" spans="1:12" ht="15.75" customHeight="1" x14ac:dyDescent="0.25">
      <c r="A63" s="31">
        <v>46053</v>
      </c>
      <c r="B63" s="3">
        <v>2360192</v>
      </c>
      <c r="C63" s="3"/>
      <c r="E63" t="s">
        <v>42</v>
      </c>
      <c r="K63" s="3"/>
    </row>
    <row r="64" spans="1:12" ht="15.75" customHeight="1" x14ac:dyDescent="0.25">
      <c r="A64" s="31">
        <v>46081</v>
      </c>
      <c r="B64" s="3">
        <v>1808416</v>
      </c>
      <c r="C64" s="3"/>
      <c r="E64" t="s">
        <v>11</v>
      </c>
      <c r="K64" s="3"/>
    </row>
    <row r="65" spans="1:11" ht="15.75" customHeight="1" x14ac:dyDescent="0.25">
      <c r="A65" s="31">
        <v>46081</v>
      </c>
      <c r="B65" s="3">
        <v>2197026</v>
      </c>
      <c r="C65" s="3"/>
      <c r="E65" t="s">
        <v>42</v>
      </c>
      <c r="K65" s="3"/>
    </row>
    <row r="66" spans="1:11" ht="15.75" customHeight="1" x14ac:dyDescent="0.25">
      <c r="B66" s="3"/>
      <c r="C66" s="3"/>
      <c r="K66" s="3"/>
    </row>
    <row r="67" spans="1:11" ht="15.75" customHeight="1" x14ac:dyDescent="0.25">
      <c r="B67" s="3"/>
      <c r="C67" s="3"/>
      <c r="K67" s="3"/>
    </row>
    <row r="68" spans="1:11" ht="15.75" customHeight="1" x14ac:dyDescent="0.25">
      <c r="B68" s="3"/>
      <c r="C68" s="3"/>
      <c r="K68" s="3"/>
    </row>
    <row r="69" spans="1:11" ht="15.75" customHeight="1" x14ac:dyDescent="0.25">
      <c r="B69" s="3"/>
      <c r="C69" s="3"/>
      <c r="K69" s="3"/>
    </row>
    <row r="70" spans="1:11" ht="15.75" customHeight="1" x14ac:dyDescent="0.25">
      <c r="B70" s="3"/>
      <c r="C70" s="3"/>
      <c r="K70" s="3"/>
    </row>
    <row r="71" spans="1:11" ht="15.75" customHeight="1" x14ac:dyDescent="0.25">
      <c r="B71" s="3"/>
      <c r="C71" s="3"/>
      <c r="K71" s="3"/>
    </row>
    <row r="72" spans="1:11" ht="15.75" customHeight="1" x14ac:dyDescent="0.25">
      <c r="B72" s="3"/>
      <c r="C72" s="3"/>
      <c r="K72" s="3"/>
    </row>
    <row r="73" spans="1:11" ht="15.75" customHeight="1" x14ac:dyDescent="0.25">
      <c r="B73" s="3"/>
      <c r="C73" s="3"/>
      <c r="K73" s="3"/>
    </row>
    <row r="74" spans="1:11" ht="15.75" customHeight="1" x14ac:dyDescent="0.25">
      <c r="B74" s="3"/>
      <c r="C74" s="3"/>
      <c r="K74" s="3"/>
    </row>
    <row r="75" spans="1:11" ht="15.75" customHeight="1" x14ac:dyDescent="0.25">
      <c r="B75" s="3"/>
      <c r="C75" s="3"/>
      <c r="K75" s="3"/>
    </row>
    <row r="76" spans="1:11" ht="15.75" customHeight="1" x14ac:dyDescent="0.25">
      <c r="B76" s="3"/>
      <c r="C76" s="3"/>
      <c r="K76" s="3"/>
    </row>
    <row r="77" spans="1:11" ht="15.75" customHeight="1" x14ac:dyDescent="0.25">
      <c r="B77" s="3"/>
      <c r="C77" s="3"/>
      <c r="K77" s="3"/>
    </row>
    <row r="78" spans="1:11" ht="15.75" customHeight="1" x14ac:dyDescent="0.25">
      <c r="B78" s="3"/>
      <c r="C78" s="3"/>
      <c r="K78" s="3"/>
    </row>
    <row r="79" spans="1:11" ht="15.75" customHeight="1" x14ac:dyDescent="0.25">
      <c r="B79" s="3"/>
      <c r="C79" s="3"/>
      <c r="K79" s="3"/>
    </row>
    <row r="80" spans="1:11" ht="15.75" customHeight="1" x14ac:dyDescent="0.25">
      <c r="B80" s="3"/>
      <c r="C80" s="3"/>
      <c r="K80" s="3"/>
    </row>
    <row r="81" spans="2:11" ht="15.75" customHeight="1" x14ac:dyDescent="0.25">
      <c r="B81" s="3"/>
      <c r="C81" s="3"/>
      <c r="K81" s="3"/>
    </row>
    <row r="82" spans="2:11" ht="15.75" customHeight="1" x14ac:dyDescent="0.25">
      <c r="B82" s="3"/>
      <c r="C82" s="3"/>
      <c r="K82" s="3"/>
    </row>
    <row r="83" spans="2:11" ht="15.75" customHeight="1" x14ac:dyDescent="0.25">
      <c r="B83" s="3"/>
      <c r="C83" s="3"/>
      <c r="K83" s="3"/>
    </row>
    <row r="84" spans="2:11" ht="15.75" customHeight="1" x14ac:dyDescent="0.25">
      <c r="B84" s="3"/>
      <c r="C84" s="3"/>
      <c r="K84" s="3"/>
    </row>
    <row r="85" spans="2:11" ht="15.75" customHeight="1" x14ac:dyDescent="0.25">
      <c r="B85" s="3"/>
      <c r="C85" s="3"/>
      <c r="K85" s="3"/>
    </row>
    <row r="86" spans="2:11" ht="15.75" customHeight="1" x14ac:dyDescent="0.25">
      <c r="B86" s="3"/>
      <c r="C86" s="3"/>
      <c r="K86" s="3"/>
    </row>
    <row r="87" spans="2:11" ht="15.75" customHeight="1" x14ac:dyDescent="0.25">
      <c r="B87" s="3"/>
      <c r="C87" s="3"/>
      <c r="K87" s="3"/>
    </row>
    <row r="88" spans="2:11" ht="15.75" customHeight="1" x14ac:dyDescent="0.25">
      <c r="B88" s="3"/>
      <c r="C88" s="3"/>
      <c r="K88" s="3"/>
    </row>
    <row r="89" spans="2:11" ht="15.75" customHeight="1" x14ac:dyDescent="0.25">
      <c r="B89" s="3"/>
      <c r="C89" s="3"/>
      <c r="K89" s="3"/>
    </row>
    <row r="90" spans="2:11" ht="15.75" customHeight="1" x14ac:dyDescent="0.25">
      <c r="B90" s="3"/>
      <c r="C90" s="3"/>
      <c r="K90" s="3"/>
    </row>
    <row r="91" spans="2:11" ht="15.75" customHeight="1" x14ac:dyDescent="0.25">
      <c r="B91" s="3"/>
      <c r="C91" s="3"/>
      <c r="K91" s="3"/>
    </row>
    <row r="92" spans="2:11" ht="15.75" customHeight="1" x14ac:dyDescent="0.25">
      <c r="B92" s="3"/>
      <c r="C92" s="3"/>
      <c r="K92" s="3"/>
    </row>
    <row r="93" spans="2:11" ht="15.75" customHeight="1" x14ac:dyDescent="0.25">
      <c r="B93" s="3"/>
      <c r="C93" s="3"/>
      <c r="K93" s="3"/>
    </row>
    <row r="94" spans="2:11" ht="15.75" customHeight="1" x14ac:dyDescent="0.25">
      <c r="B94" s="3"/>
      <c r="C94" s="3"/>
      <c r="K94" s="3"/>
    </row>
    <row r="95" spans="2:11" ht="15.75" customHeight="1" x14ac:dyDescent="0.25">
      <c r="B95" s="3"/>
      <c r="C95" s="3"/>
      <c r="K95" s="3"/>
    </row>
    <row r="96" spans="2:11" ht="15.75" customHeight="1" x14ac:dyDescent="0.25">
      <c r="B96" s="3"/>
      <c r="C96" s="3"/>
      <c r="K96" s="3"/>
    </row>
    <row r="97" spans="2:11" ht="15.75" customHeight="1" x14ac:dyDescent="0.25">
      <c r="B97" s="3"/>
      <c r="C97" s="3"/>
      <c r="K97" s="3"/>
    </row>
    <row r="98" spans="2:11" ht="15.75" customHeight="1" x14ac:dyDescent="0.25">
      <c r="B98" s="3"/>
      <c r="C98" s="3"/>
      <c r="K98" s="3"/>
    </row>
    <row r="99" spans="2:11" ht="15.75" customHeight="1" x14ac:dyDescent="0.25">
      <c r="B99" s="3"/>
      <c r="C99" s="3"/>
      <c r="K99" s="3"/>
    </row>
    <row r="100" spans="2:11" ht="15.75" customHeight="1" x14ac:dyDescent="0.25">
      <c r="B100" s="3"/>
      <c r="C100" s="3"/>
      <c r="K100" s="3"/>
    </row>
    <row r="101" spans="2:11" ht="15.75" customHeight="1" x14ac:dyDescent="0.25">
      <c r="B101" s="3"/>
      <c r="C101" s="3"/>
      <c r="K101" s="3"/>
    </row>
    <row r="102" spans="2:11" ht="15.75" customHeight="1" x14ac:dyDescent="0.25">
      <c r="B102" s="3"/>
      <c r="C102" s="3"/>
      <c r="K102" s="3"/>
    </row>
    <row r="103" spans="2:11" ht="15.75" customHeight="1" x14ac:dyDescent="0.25">
      <c r="B103" s="3"/>
      <c r="C103" s="3"/>
      <c r="K103" s="3"/>
    </row>
    <row r="104" spans="2:11" ht="15.75" customHeight="1" x14ac:dyDescent="0.25">
      <c r="B104" s="3"/>
      <c r="C104" s="3"/>
      <c r="K104" s="3"/>
    </row>
    <row r="105" spans="2:11" ht="15.75" customHeight="1" x14ac:dyDescent="0.25">
      <c r="B105" s="3"/>
      <c r="C105" s="3"/>
      <c r="K105" s="3"/>
    </row>
    <row r="106" spans="2:11" ht="15.75" customHeight="1" x14ac:dyDescent="0.25">
      <c r="B106" s="3"/>
      <c r="C106" s="3"/>
      <c r="K106" s="3"/>
    </row>
    <row r="107" spans="2:11" ht="15.75" customHeight="1" x14ac:dyDescent="0.25">
      <c r="B107" s="3"/>
      <c r="C107" s="3"/>
      <c r="K107" s="3"/>
    </row>
    <row r="108" spans="2:11" ht="15.75" customHeight="1" x14ac:dyDescent="0.25">
      <c r="B108" s="3"/>
      <c r="C108" s="3"/>
      <c r="K108" s="3"/>
    </row>
    <row r="109" spans="2:11" ht="15.75" customHeight="1" x14ac:dyDescent="0.25">
      <c r="B109" s="3"/>
      <c r="C109" s="3"/>
      <c r="K109" s="3"/>
    </row>
    <row r="110" spans="2:11" ht="15.75" customHeight="1" x14ac:dyDescent="0.25">
      <c r="B110" s="3"/>
      <c r="C110" s="3"/>
      <c r="K110" s="3"/>
    </row>
    <row r="111" spans="2:11" ht="15.75" customHeight="1" x14ac:dyDescent="0.25">
      <c r="B111" s="3"/>
      <c r="C111" s="3"/>
      <c r="K111" s="3"/>
    </row>
    <row r="112" spans="2:11" ht="15.75" customHeight="1" x14ac:dyDescent="0.25">
      <c r="B112" s="3"/>
      <c r="C112" s="3"/>
      <c r="K112" s="3"/>
    </row>
    <row r="113" spans="2:11" ht="15.75" customHeight="1" x14ac:dyDescent="0.25">
      <c r="B113" s="3"/>
      <c r="C113" s="3"/>
      <c r="K113" s="3"/>
    </row>
    <row r="114" spans="2:11" ht="15.75" customHeight="1" x14ac:dyDescent="0.25">
      <c r="B114" s="3"/>
      <c r="C114" s="3"/>
      <c r="K114" s="3"/>
    </row>
    <row r="115" spans="2:11" ht="15.75" customHeight="1" x14ac:dyDescent="0.25">
      <c r="B115" s="3"/>
      <c r="C115" s="3"/>
      <c r="K115" s="3"/>
    </row>
    <row r="116" spans="2:11" ht="15.75" customHeight="1" x14ac:dyDescent="0.25">
      <c r="B116" s="3"/>
      <c r="C116" s="3"/>
      <c r="K116" s="3"/>
    </row>
    <row r="117" spans="2:11" ht="15.75" customHeight="1" x14ac:dyDescent="0.25">
      <c r="B117" s="3"/>
      <c r="C117" s="3"/>
      <c r="K117" s="3"/>
    </row>
    <row r="118" spans="2:11" ht="15.75" customHeight="1" x14ac:dyDescent="0.25">
      <c r="B118" s="3"/>
      <c r="C118" s="3"/>
      <c r="K118" s="3"/>
    </row>
    <row r="119" spans="2:11" ht="15.75" customHeight="1" x14ac:dyDescent="0.25">
      <c r="B119" s="3"/>
      <c r="C119" s="3"/>
      <c r="K119" s="3"/>
    </row>
    <row r="120" spans="2:11" ht="15.75" customHeight="1" x14ac:dyDescent="0.25">
      <c r="B120" s="3"/>
      <c r="C120" s="3"/>
      <c r="K120" s="3"/>
    </row>
    <row r="121" spans="2:11" ht="15.75" customHeight="1" x14ac:dyDescent="0.25">
      <c r="B121" s="3"/>
      <c r="C121" s="3"/>
      <c r="K121" s="3"/>
    </row>
    <row r="122" spans="2:11" ht="15.75" customHeight="1" x14ac:dyDescent="0.25">
      <c r="B122" s="3"/>
      <c r="C122" s="3"/>
      <c r="K122" s="3"/>
    </row>
    <row r="123" spans="2:11" ht="15.75" customHeight="1" x14ac:dyDescent="0.25">
      <c r="B123" s="3"/>
      <c r="C123" s="3"/>
      <c r="K123" s="3"/>
    </row>
    <row r="124" spans="2:11" ht="15.75" customHeight="1" x14ac:dyDescent="0.25">
      <c r="B124" s="3"/>
      <c r="C124" s="3"/>
      <c r="K124" s="3"/>
    </row>
    <row r="125" spans="2:11" ht="15.75" customHeight="1" x14ac:dyDescent="0.25">
      <c r="B125" s="3"/>
      <c r="C125" s="3"/>
      <c r="K125" s="3"/>
    </row>
    <row r="126" spans="2:11" ht="15.75" customHeight="1" x14ac:dyDescent="0.25">
      <c r="B126" s="3"/>
      <c r="C126" s="3"/>
      <c r="K126" s="3"/>
    </row>
    <row r="127" spans="2:11" ht="15.75" customHeight="1" x14ac:dyDescent="0.25">
      <c r="B127" s="3"/>
      <c r="C127" s="3"/>
      <c r="K127" s="3"/>
    </row>
    <row r="128" spans="2:11" ht="15.75" customHeight="1" x14ac:dyDescent="0.25">
      <c r="B128" s="3"/>
      <c r="C128" s="3"/>
      <c r="K128" s="3"/>
    </row>
    <row r="129" spans="2:11" ht="15.75" customHeight="1" x14ac:dyDescent="0.25">
      <c r="B129" s="3"/>
      <c r="C129" s="3"/>
      <c r="K129" s="3"/>
    </row>
    <row r="130" spans="2:11" ht="15.75" customHeight="1" x14ac:dyDescent="0.25">
      <c r="B130" s="3"/>
      <c r="C130" s="3"/>
      <c r="K130" s="3"/>
    </row>
    <row r="131" spans="2:11" ht="15.75" customHeight="1" x14ac:dyDescent="0.25">
      <c r="B131" s="3"/>
      <c r="C131" s="3"/>
      <c r="K131" s="3"/>
    </row>
    <row r="132" spans="2:11" ht="15.75" customHeight="1" x14ac:dyDescent="0.25">
      <c r="B132" s="3"/>
      <c r="C132" s="3"/>
      <c r="K132" s="3"/>
    </row>
    <row r="133" spans="2:11" ht="15.75" customHeight="1" x14ac:dyDescent="0.25">
      <c r="B133" s="3"/>
      <c r="C133" s="3"/>
      <c r="K133" s="3"/>
    </row>
    <row r="134" spans="2:11" ht="15.75" customHeight="1" x14ac:dyDescent="0.25">
      <c r="B134" s="3"/>
      <c r="C134" s="3"/>
      <c r="K134" s="3"/>
    </row>
    <row r="135" spans="2:11" ht="15.75" customHeight="1" x14ac:dyDescent="0.25">
      <c r="B135" s="3"/>
      <c r="C135" s="3"/>
      <c r="K135" s="3"/>
    </row>
    <row r="136" spans="2:11" ht="15.75" customHeight="1" x14ac:dyDescent="0.25">
      <c r="B136" s="3"/>
      <c r="C136" s="3"/>
      <c r="K136" s="3"/>
    </row>
    <row r="137" spans="2:11" ht="15.75" customHeight="1" x14ac:dyDescent="0.25">
      <c r="B137" s="3"/>
      <c r="C137" s="3"/>
      <c r="K137" s="3"/>
    </row>
    <row r="138" spans="2:11" ht="15.75" customHeight="1" x14ac:dyDescent="0.25">
      <c r="B138" s="3"/>
      <c r="C138" s="3"/>
      <c r="K138" s="3"/>
    </row>
    <row r="139" spans="2:11" ht="15.75" customHeight="1" x14ac:dyDescent="0.25">
      <c r="B139" s="3"/>
      <c r="C139" s="3"/>
      <c r="K139" s="3"/>
    </row>
    <row r="140" spans="2:11" ht="15.75" customHeight="1" x14ac:dyDescent="0.25">
      <c r="B140" s="3"/>
      <c r="C140" s="3"/>
      <c r="K140" s="3"/>
    </row>
    <row r="141" spans="2:11" ht="15.75" customHeight="1" x14ac:dyDescent="0.25">
      <c r="B141" s="3"/>
      <c r="C141" s="3"/>
      <c r="K141" s="3"/>
    </row>
    <row r="142" spans="2:11" ht="15.75" customHeight="1" x14ac:dyDescent="0.25">
      <c r="B142" s="3"/>
      <c r="C142" s="3"/>
      <c r="K142" s="3"/>
    </row>
    <row r="143" spans="2:11" ht="15.75" customHeight="1" x14ac:dyDescent="0.25">
      <c r="B143" s="3"/>
      <c r="C143" s="3"/>
      <c r="K143" s="3"/>
    </row>
    <row r="144" spans="2:11" ht="15.75" customHeight="1" x14ac:dyDescent="0.25">
      <c r="B144" s="3"/>
      <c r="C144" s="3"/>
      <c r="K144" s="3"/>
    </row>
    <row r="145" spans="2:11" ht="15.75" customHeight="1" x14ac:dyDescent="0.25">
      <c r="B145" s="3"/>
      <c r="C145" s="3"/>
      <c r="K145" s="3"/>
    </row>
    <row r="146" spans="2:11" ht="15.75" customHeight="1" x14ac:dyDescent="0.25">
      <c r="B146" s="3"/>
      <c r="C146" s="3"/>
      <c r="K146" s="3"/>
    </row>
    <row r="147" spans="2:11" ht="15.75" customHeight="1" x14ac:dyDescent="0.25">
      <c r="B147" s="3"/>
      <c r="C147" s="3"/>
      <c r="K147" s="3"/>
    </row>
    <row r="148" spans="2:11" ht="15.75" customHeight="1" x14ac:dyDescent="0.25">
      <c r="B148" s="3"/>
      <c r="C148" s="3"/>
      <c r="K148" s="3"/>
    </row>
    <row r="149" spans="2:11" ht="15.75" customHeight="1" x14ac:dyDescent="0.25">
      <c r="B149" s="3"/>
      <c r="C149" s="3"/>
      <c r="K149" s="3"/>
    </row>
    <row r="150" spans="2:11" ht="15.75" customHeight="1" x14ac:dyDescent="0.25">
      <c r="B150" s="3"/>
      <c r="C150" s="3"/>
      <c r="K150" s="3"/>
    </row>
    <row r="151" spans="2:11" ht="15.75" customHeight="1" x14ac:dyDescent="0.25">
      <c r="B151" s="3"/>
      <c r="C151" s="3"/>
      <c r="K151" s="3"/>
    </row>
    <row r="152" spans="2:11" ht="15.75" customHeight="1" x14ac:dyDescent="0.25">
      <c r="B152" s="3"/>
      <c r="C152" s="3"/>
      <c r="K152" s="3"/>
    </row>
    <row r="153" spans="2:11" ht="15.75" customHeight="1" x14ac:dyDescent="0.25">
      <c r="B153" s="3"/>
      <c r="C153" s="3"/>
      <c r="K153" s="3"/>
    </row>
    <row r="154" spans="2:11" ht="15.75" customHeight="1" x14ac:dyDescent="0.25">
      <c r="B154" s="3"/>
      <c r="C154" s="3"/>
      <c r="K154" s="3"/>
    </row>
    <row r="155" spans="2:11" ht="15.75" customHeight="1" x14ac:dyDescent="0.25">
      <c r="B155" s="3"/>
      <c r="C155" s="3"/>
      <c r="K155" s="3"/>
    </row>
    <row r="156" spans="2:11" ht="15.75" customHeight="1" x14ac:dyDescent="0.25">
      <c r="B156" s="3"/>
      <c r="C156" s="3"/>
      <c r="K156" s="3"/>
    </row>
    <row r="157" spans="2:11" ht="15.75" customHeight="1" x14ac:dyDescent="0.25">
      <c r="B157" s="3"/>
      <c r="C157" s="3"/>
      <c r="K157" s="3"/>
    </row>
    <row r="158" spans="2:11" ht="15.75" customHeight="1" x14ac:dyDescent="0.25">
      <c r="B158" s="3"/>
      <c r="C158" s="3"/>
      <c r="K158" s="3"/>
    </row>
    <row r="159" spans="2:11" ht="15.75" customHeight="1" x14ac:dyDescent="0.25">
      <c r="B159" s="3"/>
      <c r="C159" s="3"/>
      <c r="K159" s="3"/>
    </row>
    <row r="160" spans="2:11" ht="15.75" customHeight="1" x14ac:dyDescent="0.25">
      <c r="B160" s="3"/>
      <c r="C160" s="3"/>
      <c r="K160" s="3"/>
    </row>
    <row r="161" spans="2:11" ht="15.75" customHeight="1" x14ac:dyDescent="0.25">
      <c r="B161" s="3"/>
      <c r="C161" s="3"/>
      <c r="K161" s="3"/>
    </row>
    <row r="162" spans="2:11" ht="15.75" customHeight="1" x14ac:dyDescent="0.25">
      <c r="B162" s="3"/>
      <c r="C162" s="3"/>
      <c r="K162" s="3"/>
    </row>
    <row r="163" spans="2:11" ht="15.75" customHeight="1" x14ac:dyDescent="0.25">
      <c r="B163" s="3"/>
      <c r="C163" s="3"/>
      <c r="K163" s="3"/>
    </row>
    <row r="164" spans="2:11" ht="15.75" customHeight="1" x14ac:dyDescent="0.25">
      <c r="B164" s="3"/>
      <c r="C164" s="3"/>
      <c r="K164" s="3"/>
    </row>
    <row r="165" spans="2:11" ht="15.75" customHeight="1" x14ac:dyDescent="0.25">
      <c r="B165" s="3"/>
      <c r="C165" s="3"/>
      <c r="K165" s="3"/>
    </row>
    <row r="166" spans="2:11" ht="15.75" customHeight="1" x14ac:dyDescent="0.25">
      <c r="B166" s="3"/>
      <c r="C166" s="3"/>
      <c r="K166" s="3"/>
    </row>
    <row r="167" spans="2:11" ht="15.75" customHeight="1" x14ac:dyDescent="0.25">
      <c r="B167" s="3"/>
      <c r="C167" s="3"/>
      <c r="K167" s="3"/>
    </row>
    <row r="168" spans="2:11" ht="15.75" customHeight="1" x14ac:dyDescent="0.25">
      <c r="B168" s="3"/>
      <c r="C168" s="3"/>
      <c r="K168" s="3"/>
    </row>
    <row r="169" spans="2:11" ht="15.75" customHeight="1" x14ac:dyDescent="0.25">
      <c r="B169" s="3"/>
      <c r="C169" s="3"/>
      <c r="K169" s="3"/>
    </row>
    <row r="170" spans="2:11" ht="15.75" customHeight="1" x14ac:dyDescent="0.25">
      <c r="B170" s="3"/>
      <c r="C170" s="3"/>
      <c r="K170" s="3"/>
    </row>
    <row r="171" spans="2:11" ht="15.75" customHeight="1" x14ac:dyDescent="0.25">
      <c r="B171" s="3"/>
      <c r="C171" s="3"/>
      <c r="K171" s="3"/>
    </row>
    <row r="172" spans="2:11" ht="15.75" customHeight="1" x14ac:dyDescent="0.25">
      <c r="B172" s="3"/>
      <c r="C172" s="3"/>
      <c r="K172" s="3"/>
    </row>
    <row r="173" spans="2:11" ht="15.75" customHeight="1" x14ac:dyDescent="0.25">
      <c r="B173" s="3"/>
      <c r="C173" s="3"/>
      <c r="K173" s="3"/>
    </row>
    <row r="174" spans="2:11" ht="15.75" customHeight="1" x14ac:dyDescent="0.25">
      <c r="B174" s="3"/>
      <c r="C174" s="3"/>
      <c r="K174" s="3"/>
    </row>
    <row r="175" spans="2:11" ht="15.75" customHeight="1" x14ac:dyDescent="0.25">
      <c r="B175" s="3"/>
      <c r="C175" s="3"/>
      <c r="K175" s="3"/>
    </row>
    <row r="176" spans="2:11" ht="15.75" customHeight="1" x14ac:dyDescent="0.25">
      <c r="B176" s="3"/>
      <c r="C176" s="3"/>
      <c r="K176" s="3"/>
    </row>
    <row r="177" spans="2:11" ht="15.75" customHeight="1" x14ac:dyDescent="0.25">
      <c r="B177" s="3"/>
      <c r="C177" s="3"/>
      <c r="K177" s="3"/>
    </row>
    <row r="178" spans="2:11" ht="15.75" customHeight="1" x14ac:dyDescent="0.25">
      <c r="B178" s="3"/>
      <c r="C178" s="3"/>
      <c r="K178" s="3"/>
    </row>
    <row r="179" spans="2:11" ht="15.75" customHeight="1" x14ac:dyDescent="0.25">
      <c r="B179" s="3"/>
      <c r="C179" s="3"/>
      <c r="K179" s="3"/>
    </row>
    <row r="180" spans="2:11" ht="15.75" customHeight="1" x14ac:dyDescent="0.25">
      <c r="B180" s="3"/>
      <c r="C180" s="3"/>
      <c r="K180" s="3"/>
    </row>
    <row r="181" spans="2:11" ht="15.75" customHeight="1" x14ac:dyDescent="0.25">
      <c r="B181" s="3"/>
      <c r="C181" s="3"/>
      <c r="K181" s="3"/>
    </row>
    <row r="182" spans="2:11" ht="15.75" customHeight="1" x14ac:dyDescent="0.25">
      <c r="B182" s="3"/>
      <c r="C182" s="3"/>
      <c r="K182" s="3"/>
    </row>
    <row r="183" spans="2:11" ht="15.75" customHeight="1" x14ac:dyDescent="0.25">
      <c r="B183" s="3"/>
      <c r="C183" s="3"/>
      <c r="K183" s="3"/>
    </row>
    <row r="184" spans="2:11" ht="15.75" customHeight="1" x14ac:dyDescent="0.25">
      <c r="B184" s="3"/>
      <c r="C184" s="3"/>
      <c r="K184" s="3"/>
    </row>
    <row r="185" spans="2:11" ht="15.75" customHeight="1" x14ac:dyDescent="0.25">
      <c r="B185" s="3"/>
      <c r="C185" s="3"/>
      <c r="K185" s="3"/>
    </row>
    <row r="186" spans="2:11" ht="15.75" customHeight="1" x14ac:dyDescent="0.25">
      <c r="B186" s="3"/>
      <c r="C186" s="3"/>
      <c r="K186" s="3"/>
    </row>
    <row r="187" spans="2:11" ht="15.75" customHeight="1" x14ac:dyDescent="0.25">
      <c r="B187" s="3"/>
      <c r="C187" s="3"/>
      <c r="K187" s="3"/>
    </row>
    <row r="188" spans="2:11" ht="15.75" customHeight="1" x14ac:dyDescent="0.25">
      <c r="B188" s="3"/>
      <c r="C188" s="3"/>
      <c r="K188" s="3"/>
    </row>
    <row r="189" spans="2:11" ht="15.75" customHeight="1" x14ac:dyDescent="0.25">
      <c r="B189" s="3"/>
      <c r="C189" s="3"/>
      <c r="K189" s="3"/>
    </row>
    <row r="190" spans="2:11" ht="15.75" customHeight="1" x14ac:dyDescent="0.25">
      <c r="B190" s="3"/>
      <c r="C190" s="3"/>
      <c r="K190" s="3"/>
    </row>
    <row r="191" spans="2:11" ht="15.75" customHeight="1" x14ac:dyDescent="0.25">
      <c r="B191" s="3"/>
      <c r="C191" s="3"/>
      <c r="K191" s="3"/>
    </row>
    <row r="192" spans="2:11" ht="15.75" customHeight="1" x14ac:dyDescent="0.25">
      <c r="B192" s="3"/>
      <c r="C192" s="3"/>
      <c r="K192" s="3"/>
    </row>
    <row r="193" spans="2:11" ht="15.75" customHeight="1" x14ac:dyDescent="0.25">
      <c r="B193" s="3"/>
      <c r="C193" s="3"/>
      <c r="K193" s="3"/>
    </row>
    <row r="194" spans="2:11" ht="15.75" customHeight="1" x14ac:dyDescent="0.25">
      <c r="B194" s="3"/>
      <c r="C194" s="3"/>
      <c r="K194" s="3"/>
    </row>
    <row r="195" spans="2:11" ht="15.75" customHeight="1" x14ac:dyDescent="0.25">
      <c r="B195" s="3"/>
      <c r="C195" s="3"/>
      <c r="K195" s="3"/>
    </row>
    <row r="196" spans="2:11" ht="15.75" customHeight="1" x14ac:dyDescent="0.25">
      <c r="B196" s="3"/>
      <c r="C196" s="3"/>
      <c r="K196" s="3"/>
    </row>
    <row r="197" spans="2:11" ht="15.75" customHeight="1" x14ac:dyDescent="0.25">
      <c r="B197" s="3"/>
      <c r="C197" s="3"/>
      <c r="K197" s="3"/>
    </row>
    <row r="198" spans="2:11" ht="15.75" customHeight="1" x14ac:dyDescent="0.25">
      <c r="B198" s="3"/>
      <c r="C198" s="3"/>
      <c r="K198" s="3"/>
    </row>
    <row r="199" spans="2:11" ht="15.75" customHeight="1" x14ac:dyDescent="0.25">
      <c r="B199" s="3"/>
      <c r="C199" s="3"/>
      <c r="K199" s="3"/>
    </row>
    <row r="200" spans="2:11" ht="15.75" customHeight="1" x14ac:dyDescent="0.25">
      <c r="B200" s="3"/>
      <c r="C200" s="3"/>
      <c r="K200" s="3"/>
    </row>
    <row r="201" spans="2:11" ht="15.75" customHeight="1" x14ac:dyDescent="0.25">
      <c r="B201" s="3"/>
      <c r="C201" s="3"/>
      <c r="K201" s="3"/>
    </row>
    <row r="202" spans="2:11" ht="15.75" customHeight="1" x14ac:dyDescent="0.25">
      <c r="B202" s="3"/>
      <c r="C202" s="3"/>
      <c r="K202" s="3"/>
    </row>
    <row r="203" spans="2:11" ht="15.75" customHeight="1" x14ac:dyDescent="0.25">
      <c r="B203" s="3"/>
      <c r="C203" s="3"/>
      <c r="K203" s="3"/>
    </row>
    <row r="204" spans="2:11" ht="15.75" customHeight="1" x14ac:dyDescent="0.25">
      <c r="B204" s="3"/>
      <c r="C204" s="3"/>
      <c r="K204" s="3"/>
    </row>
    <row r="205" spans="2:11" ht="15.75" customHeight="1" x14ac:dyDescent="0.25">
      <c r="B205" s="3"/>
      <c r="C205" s="3"/>
      <c r="K205" s="3"/>
    </row>
    <row r="206" spans="2:11" ht="15.75" customHeight="1" x14ac:dyDescent="0.25">
      <c r="B206" s="3"/>
      <c r="C206" s="3"/>
      <c r="K206" s="3"/>
    </row>
    <row r="207" spans="2:11" ht="15.75" customHeight="1" x14ac:dyDescent="0.25">
      <c r="B207" s="3"/>
      <c r="C207" s="3"/>
      <c r="K207" s="3"/>
    </row>
    <row r="208" spans="2:11" ht="15.75" customHeight="1" x14ac:dyDescent="0.25">
      <c r="B208" s="3"/>
      <c r="C208" s="3"/>
      <c r="K208" s="3"/>
    </row>
    <row r="209" spans="2:11" ht="15.75" customHeight="1" x14ac:dyDescent="0.25">
      <c r="B209" s="3"/>
      <c r="C209" s="3"/>
      <c r="K209" s="3"/>
    </row>
    <row r="210" spans="2:11" ht="15.75" customHeight="1" x14ac:dyDescent="0.25">
      <c r="B210" s="3"/>
      <c r="C210" s="3"/>
      <c r="K210" s="3"/>
    </row>
    <row r="211" spans="2:11" ht="15.75" customHeight="1" x14ac:dyDescent="0.25">
      <c r="B211" s="3"/>
      <c r="C211" s="3"/>
      <c r="K211" s="3"/>
    </row>
    <row r="212" spans="2:11" ht="15.75" customHeight="1" x14ac:dyDescent="0.25">
      <c r="B212" s="3"/>
      <c r="C212" s="3"/>
      <c r="K212" s="3"/>
    </row>
    <row r="213" spans="2:11" ht="15.75" customHeight="1" x14ac:dyDescent="0.25">
      <c r="B213" s="3"/>
      <c r="C213" s="3"/>
      <c r="K213" s="3"/>
    </row>
    <row r="214" spans="2:11" ht="15.75" customHeight="1" x14ac:dyDescent="0.25">
      <c r="B214" s="3"/>
      <c r="C214" s="3"/>
      <c r="K214" s="3"/>
    </row>
    <row r="215" spans="2:11" ht="15.75" customHeight="1" x14ac:dyDescent="0.25">
      <c r="B215" s="3"/>
      <c r="C215" s="3"/>
      <c r="K215" s="3"/>
    </row>
    <row r="216" spans="2:11" ht="15.75" customHeight="1" x14ac:dyDescent="0.25">
      <c r="B216" s="3"/>
      <c r="C216" s="3"/>
      <c r="K216" s="3"/>
    </row>
    <row r="217" spans="2:11" ht="15.75" customHeight="1" x14ac:dyDescent="0.25">
      <c r="B217" s="3"/>
      <c r="C217" s="3"/>
      <c r="K217" s="3"/>
    </row>
    <row r="218" spans="2:11" ht="15.75" customHeight="1" x14ac:dyDescent="0.25">
      <c r="B218" s="3"/>
      <c r="C218" s="3"/>
      <c r="K218" s="3"/>
    </row>
    <row r="219" spans="2:11" ht="15.75" customHeight="1" x14ac:dyDescent="0.25">
      <c r="B219" s="3"/>
      <c r="C219" s="3"/>
      <c r="K219" s="3"/>
    </row>
    <row r="220" spans="2:11" ht="15.75" customHeight="1" x14ac:dyDescent="0.25">
      <c r="B220" s="3"/>
      <c r="C220" s="3"/>
      <c r="K220" s="3"/>
    </row>
    <row r="221" spans="2:11" ht="15.75" customHeight="1" x14ac:dyDescent="0.25">
      <c r="B221" s="3"/>
      <c r="C221" s="3"/>
      <c r="K221" s="3"/>
    </row>
    <row r="222" spans="2:11" ht="15.75" customHeight="1" x14ac:dyDescent="0.25">
      <c r="B222" s="3"/>
      <c r="C222" s="3"/>
      <c r="K222" s="3"/>
    </row>
    <row r="223" spans="2:11" ht="15.75" customHeight="1" x14ac:dyDescent="0.25">
      <c r="B223" s="3"/>
      <c r="C223" s="3"/>
      <c r="K223" s="3"/>
    </row>
    <row r="224" spans="2:11" ht="15.75" customHeight="1" x14ac:dyDescent="0.25">
      <c r="B224" s="3"/>
      <c r="C224" s="3"/>
      <c r="K224" s="3"/>
    </row>
    <row r="225" spans="2:11" ht="15.75" customHeight="1" x14ac:dyDescent="0.25">
      <c r="B225" s="3"/>
      <c r="C225" s="3"/>
      <c r="K225" s="3"/>
    </row>
    <row r="226" spans="2:11" ht="15.75" customHeight="1" x14ac:dyDescent="0.25">
      <c r="B226" s="3"/>
      <c r="C226" s="3"/>
      <c r="K226" s="3"/>
    </row>
    <row r="227" spans="2:11" ht="15.75" customHeight="1" x14ac:dyDescent="0.25">
      <c r="B227" s="3"/>
      <c r="C227" s="3"/>
      <c r="K227" s="3"/>
    </row>
    <row r="228" spans="2:11" ht="15.75" customHeight="1" x14ac:dyDescent="0.25">
      <c r="B228" s="3"/>
      <c r="C228" s="3"/>
      <c r="K228" s="3"/>
    </row>
    <row r="229" spans="2:11" ht="15.75" customHeight="1" x14ac:dyDescent="0.25">
      <c r="B229" s="3"/>
      <c r="C229" s="3"/>
      <c r="K229" s="3"/>
    </row>
    <row r="230" spans="2:11" ht="15.75" customHeight="1" x14ac:dyDescent="0.25">
      <c r="B230" s="3"/>
      <c r="C230" s="3"/>
      <c r="K230" s="3"/>
    </row>
    <row r="231" spans="2:11" ht="15.75" customHeight="1" x14ac:dyDescent="0.25">
      <c r="B231" s="3"/>
      <c r="C231" s="3"/>
      <c r="K231" s="3"/>
    </row>
    <row r="232" spans="2:11" ht="15.75" customHeight="1" x14ac:dyDescent="0.25">
      <c r="B232" s="3"/>
      <c r="C232" s="3"/>
      <c r="K232" s="3"/>
    </row>
    <row r="233" spans="2:11" ht="15.75" customHeight="1" x14ac:dyDescent="0.25">
      <c r="B233" s="3"/>
      <c r="C233" s="3"/>
      <c r="K233" s="3"/>
    </row>
    <row r="234" spans="2:11" ht="15.75" customHeight="1" x14ac:dyDescent="0.25">
      <c r="B234" s="3"/>
      <c r="C234" s="3"/>
      <c r="K234" s="3"/>
    </row>
    <row r="235" spans="2:11" ht="15.75" customHeight="1" x14ac:dyDescent="0.25">
      <c r="B235" s="3"/>
      <c r="C235" s="3"/>
      <c r="K235" s="3"/>
    </row>
    <row r="236" spans="2:11" ht="15.75" customHeight="1" x14ac:dyDescent="0.25">
      <c r="B236" s="3"/>
      <c r="C236" s="3"/>
      <c r="K236" s="3"/>
    </row>
    <row r="237" spans="2:11" ht="15.75" customHeight="1" x14ac:dyDescent="0.25">
      <c r="B237" s="3"/>
      <c r="C237" s="3"/>
      <c r="K237" s="3"/>
    </row>
    <row r="238" spans="2:11" ht="15.75" customHeight="1" x14ac:dyDescent="0.25">
      <c r="B238" s="3"/>
      <c r="C238" s="3"/>
      <c r="K238" s="3"/>
    </row>
    <row r="239" spans="2:11" ht="15.75" customHeight="1" x14ac:dyDescent="0.25">
      <c r="B239" s="3"/>
      <c r="C239" s="3"/>
      <c r="K239" s="3"/>
    </row>
    <row r="240" spans="2:11" ht="15.75" customHeight="1" x14ac:dyDescent="0.25">
      <c r="B240" s="3"/>
      <c r="C240" s="3"/>
      <c r="K240" s="3"/>
    </row>
    <row r="241" spans="2:11" ht="15.75" customHeight="1" x14ac:dyDescent="0.25">
      <c r="B241" s="3"/>
      <c r="C241" s="3"/>
      <c r="K241" s="3"/>
    </row>
    <row r="242" spans="2:11" ht="15.75" customHeight="1" x14ac:dyDescent="0.25">
      <c r="B242" s="3"/>
      <c r="C242" s="3"/>
      <c r="K242" s="3"/>
    </row>
    <row r="243" spans="2:11" ht="15.75" customHeight="1" x14ac:dyDescent="0.25">
      <c r="B243" s="3"/>
      <c r="C243" s="3"/>
      <c r="K243" s="3"/>
    </row>
    <row r="244" spans="2:11" ht="15.75" customHeight="1" x14ac:dyDescent="0.25">
      <c r="B244" s="3"/>
      <c r="C244" s="3"/>
      <c r="K244" s="3"/>
    </row>
    <row r="245" spans="2:11" ht="15.75" customHeight="1" x14ac:dyDescent="0.25">
      <c r="B245" s="3"/>
      <c r="C245" s="3"/>
      <c r="K245" s="3"/>
    </row>
    <row r="246" spans="2:11" ht="15.75" customHeight="1" x14ac:dyDescent="0.25">
      <c r="B246" s="3"/>
      <c r="C246" s="3"/>
      <c r="K246" s="3"/>
    </row>
    <row r="247" spans="2:11" ht="15.75" customHeight="1" x14ac:dyDescent="0.25">
      <c r="B247" s="3"/>
      <c r="C247" s="3"/>
      <c r="K247" s="3"/>
    </row>
    <row r="248" spans="2:11" ht="15.75" customHeight="1" x14ac:dyDescent="0.25">
      <c r="B248" s="3"/>
      <c r="C248" s="3"/>
      <c r="K248" s="3"/>
    </row>
    <row r="249" spans="2:11" ht="15.75" customHeight="1" x14ac:dyDescent="0.25">
      <c r="B249" s="3"/>
      <c r="C249" s="3"/>
      <c r="K249" s="3"/>
    </row>
    <row r="250" spans="2:11" ht="15.75" customHeight="1" x14ac:dyDescent="0.25">
      <c r="B250" s="3"/>
      <c r="C250" s="3"/>
      <c r="K250" s="3"/>
    </row>
    <row r="251" spans="2:11" ht="15.75" customHeight="1" x14ac:dyDescent="0.25">
      <c r="B251" s="3"/>
      <c r="C251" s="3"/>
      <c r="K251" s="3"/>
    </row>
    <row r="252" spans="2:11" ht="15.75" customHeight="1" x14ac:dyDescent="0.25">
      <c r="B252" s="3"/>
      <c r="C252" s="3"/>
      <c r="K252" s="3"/>
    </row>
    <row r="253" spans="2:11" ht="15.75" customHeight="1" x14ac:dyDescent="0.25">
      <c r="B253" s="3"/>
      <c r="C253" s="3"/>
      <c r="K253" s="3"/>
    </row>
    <row r="254" spans="2:11" ht="15.75" customHeight="1" x14ac:dyDescent="0.25">
      <c r="B254" s="3"/>
      <c r="C254" s="3"/>
      <c r="K254" s="3"/>
    </row>
    <row r="255" spans="2:11" ht="15.75" customHeight="1" x14ac:dyDescent="0.25">
      <c r="B255" s="3"/>
      <c r="C255" s="3"/>
      <c r="K255" s="3"/>
    </row>
    <row r="256" spans="2:11" ht="15.75" customHeight="1" x14ac:dyDescent="0.25">
      <c r="B256" s="3"/>
      <c r="C256" s="3"/>
      <c r="K256" s="3"/>
    </row>
    <row r="257" spans="2:11" ht="15.75" customHeight="1" x14ac:dyDescent="0.25">
      <c r="B257" s="3"/>
      <c r="C257" s="3"/>
      <c r="K257" s="3"/>
    </row>
    <row r="258" spans="2:11" ht="15.75" customHeight="1" x14ac:dyDescent="0.25">
      <c r="B258" s="3"/>
      <c r="C258" s="3"/>
      <c r="K258" s="3"/>
    </row>
    <row r="259" spans="2:11" ht="15.75" customHeight="1" x14ac:dyDescent="0.25">
      <c r="B259" s="3"/>
      <c r="C259" s="3"/>
      <c r="K259" s="3"/>
    </row>
    <row r="260" spans="2:11" ht="15.75" customHeight="1" x14ac:dyDescent="0.25">
      <c r="B260" s="3"/>
      <c r="C260" s="3"/>
      <c r="K260" s="3"/>
    </row>
    <row r="261" spans="2:11" ht="15.75" customHeight="1" x14ac:dyDescent="0.25">
      <c r="B261" s="3"/>
      <c r="C261" s="3"/>
      <c r="K261" s="3"/>
    </row>
    <row r="262" spans="2:11" ht="15.75" customHeight="1" x14ac:dyDescent="0.25">
      <c r="B262" s="3"/>
      <c r="C262" s="3"/>
      <c r="K262" s="3"/>
    </row>
    <row r="263" spans="2:11" ht="15.75" customHeight="1" x14ac:dyDescent="0.25">
      <c r="B263" s="3"/>
      <c r="C263" s="3"/>
      <c r="K263" s="3"/>
    </row>
    <row r="264" spans="2:11" ht="15.75" customHeight="1" x14ac:dyDescent="0.25">
      <c r="B264" s="3"/>
      <c r="C264" s="3"/>
      <c r="K264" s="3"/>
    </row>
    <row r="265" spans="2:11" ht="15.75" customHeight="1" x14ac:dyDescent="0.25">
      <c r="B265" s="3"/>
      <c r="C265" s="3"/>
      <c r="K265" s="3"/>
    </row>
    <row r="266" spans="2:11" ht="15.75" customHeight="1" x14ac:dyDescent="0.25">
      <c r="B266" s="3"/>
      <c r="C266" s="3"/>
      <c r="K266" s="3"/>
    </row>
    <row r="267" spans="2:11" ht="15.75" customHeight="1" x14ac:dyDescent="0.25">
      <c r="B267" s="3"/>
      <c r="C267" s="3"/>
      <c r="K267" s="3"/>
    </row>
    <row r="268" spans="2:11" ht="15.75" customHeight="1" x14ac:dyDescent="0.25">
      <c r="B268" s="3"/>
      <c r="C268" s="3"/>
      <c r="K268" s="3"/>
    </row>
    <row r="269" spans="2:11" ht="15.75" customHeight="1" x14ac:dyDescent="0.25">
      <c r="B269" s="3"/>
      <c r="C269" s="3"/>
      <c r="K269" s="3"/>
    </row>
    <row r="270" spans="2:11" ht="15.75" customHeight="1" x14ac:dyDescent="0.25">
      <c r="B270" s="3"/>
      <c r="C270" s="3"/>
      <c r="K270" s="3"/>
    </row>
    <row r="271" spans="2:11" ht="15.75" customHeight="1" x14ac:dyDescent="0.25">
      <c r="B271" s="3"/>
      <c r="C271" s="3"/>
      <c r="K271" s="3"/>
    </row>
    <row r="272" spans="2:11" ht="15.75" customHeight="1" x14ac:dyDescent="0.25">
      <c r="B272" s="3"/>
      <c r="C272" s="3"/>
      <c r="K272" s="3"/>
    </row>
    <row r="273" spans="2:11" ht="15.75" customHeight="1" x14ac:dyDescent="0.25">
      <c r="B273" s="3"/>
      <c r="C273" s="3"/>
      <c r="K273" s="3"/>
    </row>
    <row r="274" spans="2:11" ht="15.75" customHeight="1" x14ac:dyDescent="0.25">
      <c r="B274" s="3"/>
      <c r="C274" s="3"/>
      <c r="K274" s="3"/>
    </row>
    <row r="275" spans="2:11" ht="15.75" customHeight="1" x14ac:dyDescent="0.25">
      <c r="B275" s="3"/>
      <c r="C275" s="3"/>
      <c r="K275" s="3"/>
    </row>
    <row r="276" spans="2:11" ht="15.75" customHeight="1" x14ac:dyDescent="0.25">
      <c r="B276" s="3"/>
      <c r="C276" s="3"/>
      <c r="K276" s="3"/>
    </row>
    <row r="277" spans="2:11" ht="15.75" customHeight="1" x14ac:dyDescent="0.25">
      <c r="B277" s="3"/>
      <c r="C277" s="3"/>
      <c r="K277" s="3"/>
    </row>
    <row r="278" spans="2:11" ht="15.75" customHeight="1" x14ac:dyDescent="0.25">
      <c r="B278" s="3"/>
      <c r="C278" s="3"/>
      <c r="K278" s="3"/>
    </row>
    <row r="279" spans="2:11" ht="15.75" customHeight="1" x14ac:dyDescent="0.25">
      <c r="B279" s="3"/>
      <c r="C279" s="3"/>
      <c r="K279" s="3"/>
    </row>
    <row r="280" spans="2:11" ht="15.75" customHeight="1" x14ac:dyDescent="0.25">
      <c r="B280" s="3"/>
      <c r="C280" s="3"/>
      <c r="K280" s="3"/>
    </row>
    <row r="281" spans="2:11" ht="15.75" customHeight="1" x14ac:dyDescent="0.25">
      <c r="B281" s="3"/>
      <c r="C281" s="3"/>
      <c r="K281" s="3"/>
    </row>
    <row r="282" spans="2:11" ht="15.75" customHeight="1" x14ac:dyDescent="0.25">
      <c r="B282" s="3"/>
      <c r="C282" s="3"/>
      <c r="K282" s="3"/>
    </row>
    <row r="283" spans="2:11" ht="15.75" customHeight="1" x14ac:dyDescent="0.25">
      <c r="B283" s="3"/>
      <c r="C283" s="3"/>
      <c r="K283" s="3"/>
    </row>
    <row r="284" spans="2:11" ht="15.75" customHeight="1" x14ac:dyDescent="0.25">
      <c r="B284" s="3"/>
      <c r="C284" s="3"/>
      <c r="K284" s="3"/>
    </row>
    <row r="285" spans="2:11" ht="15.75" customHeight="1" x14ac:dyDescent="0.25">
      <c r="B285" s="3"/>
      <c r="C285" s="3"/>
      <c r="K285" s="3"/>
    </row>
    <row r="286" spans="2:11" ht="15.75" customHeight="1" x14ac:dyDescent="0.25">
      <c r="B286" s="3"/>
      <c r="C286" s="3"/>
      <c r="K286" s="3"/>
    </row>
    <row r="287" spans="2:11" ht="15.75" customHeight="1" x14ac:dyDescent="0.25">
      <c r="B287" s="3"/>
      <c r="C287" s="3"/>
      <c r="K287" s="3"/>
    </row>
    <row r="288" spans="2:11" ht="15.75" customHeight="1" x14ac:dyDescent="0.25">
      <c r="B288" s="3"/>
      <c r="C288" s="3"/>
      <c r="K288" s="3"/>
    </row>
    <row r="289" spans="2:11" ht="15.75" customHeight="1" x14ac:dyDescent="0.25">
      <c r="B289" s="3"/>
      <c r="C289" s="3"/>
      <c r="K289" s="3"/>
    </row>
    <row r="290" spans="2:11" ht="15.75" customHeight="1" x14ac:dyDescent="0.25">
      <c r="B290" s="3"/>
      <c r="C290" s="3"/>
      <c r="K290" s="3"/>
    </row>
    <row r="291" spans="2:11" ht="15.75" customHeight="1" x14ac:dyDescent="0.25">
      <c r="B291" s="3"/>
      <c r="C291" s="3"/>
      <c r="K291" s="3"/>
    </row>
    <row r="292" spans="2:11" ht="15.75" customHeight="1" x14ac:dyDescent="0.25">
      <c r="B292" s="3"/>
      <c r="C292" s="3"/>
      <c r="K292" s="3"/>
    </row>
    <row r="293" spans="2:11" ht="15.75" customHeight="1" x14ac:dyDescent="0.25">
      <c r="B293" s="3"/>
      <c r="C293" s="3"/>
      <c r="K293" s="3"/>
    </row>
    <row r="294" spans="2:11" ht="15.75" customHeight="1" x14ac:dyDescent="0.25">
      <c r="B294" s="3"/>
      <c r="C294" s="3"/>
      <c r="K294" s="3"/>
    </row>
    <row r="295" spans="2:11" ht="15.75" customHeight="1" x14ac:dyDescent="0.25">
      <c r="B295" s="3"/>
      <c r="C295" s="3"/>
      <c r="K295" s="3"/>
    </row>
    <row r="296" spans="2:11" ht="15.75" customHeight="1" x14ac:dyDescent="0.25">
      <c r="B296" s="3"/>
      <c r="C296" s="3"/>
      <c r="K296" s="3"/>
    </row>
    <row r="297" spans="2:11" ht="15.75" customHeight="1" x14ac:dyDescent="0.25">
      <c r="B297" s="3"/>
      <c r="C297" s="3"/>
      <c r="K297" s="3"/>
    </row>
    <row r="298" spans="2:11" ht="15.75" customHeight="1" x14ac:dyDescent="0.25">
      <c r="B298" s="3"/>
      <c r="C298" s="3"/>
      <c r="K298" s="3"/>
    </row>
    <row r="299" spans="2:11" ht="15.75" customHeight="1" x14ac:dyDescent="0.25">
      <c r="B299" s="3"/>
      <c r="C299" s="3"/>
      <c r="K299" s="3"/>
    </row>
    <row r="300" spans="2:11" ht="15.75" customHeight="1" x14ac:dyDescent="0.25">
      <c r="B300" s="3"/>
      <c r="C300" s="3"/>
      <c r="K300" s="3"/>
    </row>
    <row r="301" spans="2:11" ht="15.75" customHeight="1" x14ac:dyDescent="0.25">
      <c r="B301" s="3"/>
      <c r="C301" s="3"/>
      <c r="K301" s="3"/>
    </row>
    <row r="302" spans="2:11" ht="15.75" customHeight="1" x14ac:dyDescent="0.25">
      <c r="B302" s="3"/>
      <c r="C302" s="3"/>
      <c r="K302" s="3"/>
    </row>
    <row r="303" spans="2:11" ht="15.75" customHeight="1" x14ac:dyDescent="0.25">
      <c r="B303" s="3"/>
      <c r="C303" s="3"/>
      <c r="K303" s="3"/>
    </row>
    <row r="304" spans="2:11" ht="15.75" customHeight="1" x14ac:dyDescent="0.25">
      <c r="B304" s="3"/>
      <c r="C304" s="3"/>
      <c r="K304" s="3"/>
    </row>
    <row r="305" spans="2:11" ht="15.75" customHeight="1" x14ac:dyDescent="0.25">
      <c r="B305" s="3"/>
      <c r="C305" s="3"/>
      <c r="K305" s="3"/>
    </row>
    <row r="306" spans="2:11" ht="15.75" customHeight="1" x14ac:dyDescent="0.25">
      <c r="B306" s="3"/>
      <c r="C306" s="3"/>
      <c r="K306" s="3"/>
    </row>
    <row r="307" spans="2:11" ht="15.75" customHeight="1" x14ac:dyDescent="0.25">
      <c r="B307" s="3"/>
      <c r="C307" s="3"/>
      <c r="K307" s="3"/>
    </row>
    <row r="308" spans="2:11" ht="15.75" customHeight="1" x14ac:dyDescent="0.25">
      <c r="B308" s="3"/>
      <c r="C308" s="3"/>
      <c r="K308" s="3"/>
    </row>
    <row r="309" spans="2:11" ht="15.75" customHeight="1" x14ac:dyDescent="0.25">
      <c r="B309" s="3"/>
      <c r="C309" s="3"/>
      <c r="K309" s="3"/>
    </row>
    <row r="310" spans="2:11" ht="15.75" customHeight="1" x14ac:dyDescent="0.25">
      <c r="B310" s="3"/>
      <c r="C310" s="3"/>
      <c r="K310" s="3"/>
    </row>
    <row r="311" spans="2:11" ht="15.75" customHeight="1" x14ac:dyDescent="0.25">
      <c r="B311" s="3"/>
      <c r="C311" s="3"/>
      <c r="K311" s="3"/>
    </row>
    <row r="312" spans="2:11" ht="15.75" customHeight="1" x14ac:dyDescent="0.25">
      <c r="B312" s="3"/>
      <c r="C312" s="3"/>
      <c r="K312" s="3"/>
    </row>
    <row r="313" spans="2:11" ht="15.75" customHeight="1" x14ac:dyDescent="0.25">
      <c r="B313" s="3"/>
      <c r="C313" s="3"/>
      <c r="K313" s="3"/>
    </row>
    <row r="314" spans="2:11" ht="15.75" customHeight="1" x14ac:dyDescent="0.25">
      <c r="B314" s="3"/>
      <c r="C314" s="3"/>
      <c r="K314" s="3"/>
    </row>
    <row r="315" spans="2:11" ht="15.75" customHeight="1" x14ac:dyDescent="0.25">
      <c r="B315" s="3"/>
      <c r="C315" s="3"/>
      <c r="K315" s="3"/>
    </row>
    <row r="316" spans="2:11" ht="15.75" customHeight="1" x14ac:dyDescent="0.25">
      <c r="B316" s="3"/>
      <c r="C316" s="3"/>
      <c r="K316" s="3"/>
    </row>
    <row r="317" spans="2:11" ht="15.75" customHeight="1" x14ac:dyDescent="0.25">
      <c r="B317" s="3"/>
      <c r="C317" s="3"/>
      <c r="K317" s="3"/>
    </row>
    <row r="318" spans="2:11" ht="15.75" customHeight="1" x14ac:dyDescent="0.25">
      <c r="B318" s="3"/>
      <c r="C318" s="3"/>
      <c r="K318" s="3"/>
    </row>
    <row r="319" spans="2:11" ht="15.75" customHeight="1" x14ac:dyDescent="0.25">
      <c r="B319" s="3"/>
      <c r="C319" s="3"/>
      <c r="K319" s="3"/>
    </row>
    <row r="320" spans="2:11" ht="15.75" customHeight="1" x14ac:dyDescent="0.25">
      <c r="B320" s="3"/>
      <c r="C320" s="3"/>
      <c r="K320" s="3"/>
    </row>
    <row r="321" spans="2:11" ht="15.75" customHeight="1" x14ac:dyDescent="0.25">
      <c r="B321" s="3"/>
      <c r="C321" s="3"/>
      <c r="K321" s="3"/>
    </row>
    <row r="322" spans="2:11" ht="15.75" customHeight="1" x14ac:dyDescent="0.25">
      <c r="B322" s="3"/>
      <c r="C322" s="3"/>
      <c r="K322" s="3"/>
    </row>
    <row r="323" spans="2:11" ht="15.75" customHeight="1" x14ac:dyDescent="0.25">
      <c r="B323" s="3"/>
      <c r="C323" s="3"/>
      <c r="K323" s="3"/>
    </row>
    <row r="324" spans="2:11" ht="15.75" customHeight="1" x14ac:dyDescent="0.25">
      <c r="B324" s="3"/>
      <c r="C324" s="3"/>
      <c r="K324" s="3"/>
    </row>
    <row r="325" spans="2:11" ht="15.75" customHeight="1" x14ac:dyDescent="0.25">
      <c r="B325" s="3"/>
      <c r="C325" s="3"/>
      <c r="K325" s="3"/>
    </row>
    <row r="326" spans="2:11" ht="15.75" customHeight="1" x14ac:dyDescent="0.25">
      <c r="B326" s="3"/>
      <c r="C326" s="3"/>
      <c r="K326" s="3"/>
    </row>
    <row r="327" spans="2:11" ht="15.75" customHeight="1" x14ac:dyDescent="0.25">
      <c r="B327" s="3"/>
      <c r="C327" s="3"/>
      <c r="K327" s="3"/>
    </row>
    <row r="328" spans="2:11" ht="15.75" customHeight="1" x14ac:dyDescent="0.25">
      <c r="B328" s="3"/>
      <c r="C328" s="3"/>
      <c r="K328" s="3"/>
    </row>
    <row r="329" spans="2:11" ht="15.75" customHeight="1" x14ac:dyDescent="0.25">
      <c r="B329" s="3"/>
      <c r="C329" s="3"/>
      <c r="K329" s="3"/>
    </row>
    <row r="330" spans="2:11" ht="15.75" customHeight="1" x14ac:dyDescent="0.25">
      <c r="B330" s="3"/>
      <c r="C330" s="3"/>
      <c r="K330" s="3"/>
    </row>
    <row r="331" spans="2:11" ht="15.75" customHeight="1" x14ac:dyDescent="0.25">
      <c r="B331" s="3"/>
      <c r="C331" s="3"/>
      <c r="K331" s="3"/>
    </row>
    <row r="332" spans="2:11" ht="15.75" customHeight="1" x14ac:dyDescent="0.25">
      <c r="B332" s="3"/>
      <c r="C332" s="3"/>
      <c r="K332" s="3"/>
    </row>
    <row r="333" spans="2:11" ht="15.75" customHeight="1" x14ac:dyDescent="0.25">
      <c r="B333" s="3"/>
      <c r="C333" s="3"/>
      <c r="K333" s="3"/>
    </row>
    <row r="334" spans="2:11" ht="15.75" customHeight="1" x14ac:dyDescent="0.25">
      <c r="B334" s="3"/>
      <c r="C334" s="3"/>
      <c r="K334" s="3"/>
    </row>
    <row r="335" spans="2:11" ht="15.75" customHeight="1" x14ac:dyDescent="0.25">
      <c r="B335" s="3"/>
      <c r="C335" s="3"/>
      <c r="K335" s="3"/>
    </row>
    <row r="336" spans="2:11" ht="15.75" customHeight="1" x14ac:dyDescent="0.25">
      <c r="B336" s="3"/>
      <c r="C336" s="3"/>
      <c r="K336" s="3"/>
    </row>
    <row r="337" spans="2:11" ht="15.75" customHeight="1" x14ac:dyDescent="0.25">
      <c r="B337" s="3"/>
      <c r="C337" s="3"/>
      <c r="K337" s="3"/>
    </row>
    <row r="338" spans="2:11" ht="15.75" customHeight="1" x14ac:dyDescent="0.25">
      <c r="B338" s="3"/>
      <c r="C338" s="3"/>
      <c r="K338" s="3"/>
    </row>
    <row r="339" spans="2:11" ht="15.75" customHeight="1" x14ac:dyDescent="0.25">
      <c r="B339" s="3"/>
      <c r="C339" s="3"/>
      <c r="K339" s="3"/>
    </row>
    <row r="340" spans="2:11" ht="15.75" customHeight="1" x14ac:dyDescent="0.25">
      <c r="B340" s="3"/>
      <c r="C340" s="3"/>
      <c r="K340" s="3"/>
    </row>
    <row r="341" spans="2:11" ht="15.75" customHeight="1" x14ac:dyDescent="0.25">
      <c r="B341" s="3"/>
      <c r="C341" s="3"/>
      <c r="K341" s="3"/>
    </row>
    <row r="342" spans="2:11" ht="15.75" customHeight="1" x14ac:dyDescent="0.25">
      <c r="B342" s="3"/>
      <c r="C342" s="3"/>
      <c r="K342" s="3"/>
    </row>
    <row r="343" spans="2:11" ht="15.75" customHeight="1" x14ac:dyDescent="0.25">
      <c r="B343" s="3"/>
      <c r="C343" s="3"/>
      <c r="K343" s="3"/>
    </row>
    <row r="344" spans="2:11" ht="15.75" customHeight="1" x14ac:dyDescent="0.25">
      <c r="B344" s="3"/>
      <c r="C344" s="3"/>
      <c r="K344" s="3"/>
    </row>
    <row r="345" spans="2:11" ht="15.75" customHeight="1" x14ac:dyDescent="0.25">
      <c r="B345" s="3"/>
      <c r="C345" s="3"/>
      <c r="K345" s="3"/>
    </row>
    <row r="346" spans="2:11" ht="15.75" customHeight="1" x14ac:dyDescent="0.25">
      <c r="B346" s="3"/>
      <c r="C346" s="3"/>
      <c r="K346" s="3"/>
    </row>
    <row r="347" spans="2:11" ht="15.75" customHeight="1" x14ac:dyDescent="0.25">
      <c r="B347" s="3"/>
      <c r="C347" s="3"/>
      <c r="K347" s="3"/>
    </row>
    <row r="348" spans="2:11" ht="15.75" customHeight="1" x14ac:dyDescent="0.25">
      <c r="B348" s="3"/>
      <c r="C348" s="3"/>
      <c r="K348" s="3"/>
    </row>
    <row r="349" spans="2:11" ht="15.75" customHeight="1" x14ac:dyDescent="0.25">
      <c r="B349" s="3"/>
      <c r="C349" s="3"/>
      <c r="K349" s="3"/>
    </row>
    <row r="350" spans="2:11" ht="15.75" customHeight="1" x14ac:dyDescent="0.25">
      <c r="B350" s="3"/>
      <c r="C350" s="3"/>
      <c r="K350" s="3"/>
    </row>
    <row r="351" spans="2:11" ht="15.75" customHeight="1" x14ac:dyDescent="0.25">
      <c r="B351" s="3"/>
      <c r="C351" s="3"/>
      <c r="K351" s="3"/>
    </row>
    <row r="352" spans="2:11" ht="15.75" customHeight="1" x14ac:dyDescent="0.25">
      <c r="B352" s="3"/>
      <c r="C352" s="3"/>
      <c r="K352" s="3"/>
    </row>
    <row r="353" spans="2:11" ht="15.75" customHeight="1" x14ac:dyDescent="0.25">
      <c r="B353" s="3"/>
      <c r="C353" s="3"/>
      <c r="K353" s="3"/>
    </row>
    <row r="354" spans="2:11" ht="15.75" customHeight="1" x14ac:dyDescent="0.25">
      <c r="B354" s="3"/>
      <c r="C354" s="3"/>
      <c r="K354" s="3"/>
    </row>
    <row r="355" spans="2:11" ht="15.75" customHeight="1" x14ac:dyDescent="0.25">
      <c r="B355" s="3"/>
      <c r="C355" s="3"/>
      <c r="K355" s="3"/>
    </row>
    <row r="356" spans="2:11" ht="15.75" customHeight="1" x14ac:dyDescent="0.25">
      <c r="B356" s="3"/>
      <c r="C356" s="3"/>
      <c r="K356" s="3"/>
    </row>
    <row r="357" spans="2:11" ht="15.75" customHeight="1" x14ac:dyDescent="0.25">
      <c r="B357" s="3"/>
      <c r="C357" s="3"/>
      <c r="K357" s="3"/>
    </row>
    <row r="358" spans="2:11" ht="15.75" customHeight="1" x14ac:dyDescent="0.25">
      <c r="B358" s="3"/>
      <c r="C358" s="3"/>
      <c r="K358" s="3"/>
    </row>
    <row r="359" spans="2:11" ht="15.75" customHeight="1" x14ac:dyDescent="0.25">
      <c r="B359" s="3"/>
      <c r="C359" s="3"/>
      <c r="K359" s="3"/>
    </row>
    <row r="360" spans="2:11" ht="15.75" customHeight="1" x14ac:dyDescent="0.25">
      <c r="B360" s="3"/>
      <c r="C360" s="3"/>
      <c r="K360" s="3"/>
    </row>
    <row r="361" spans="2:11" ht="15.75" customHeight="1" x14ac:dyDescent="0.25">
      <c r="B361" s="3"/>
      <c r="C361" s="3"/>
      <c r="K361" s="3"/>
    </row>
    <row r="362" spans="2:11" ht="15.75" customHeight="1" x14ac:dyDescent="0.25">
      <c r="B362" s="3"/>
      <c r="C362" s="3"/>
      <c r="K362" s="3"/>
    </row>
    <row r="363" spans="2:11" ht="15.75" customHeight="1" x14ac:dyDescent="0.25">
      <c r="B363" s="3"/>
      <c r="C363" s="3"/>
      <c r="K363" s="3"/>
    </row>
    <row r="364" spans="2:11" ht="15.75" customHeight="1" x14ac:dyDescent="0.25">
      <c r="B364" s="3"/>
      <c r="C364" s="3"/>
      <c r="K364" s="3"/>
    </row>
    <row r="365" spans="2:11" ht="15.75" customHeight="1" x14ac:dyDescent="0.25">
      <c r="B365" s="3"/>
      <c r="C365" s="3"/>
      <c r="K365" s="3"/>
    </row>
    <row r="366" spans="2:11" ht="15.75" customHeight="1" x14ac:dyDescent="0.25">
      <c r="B366" s="3"/>
      <c r="C366" s="3"/>
      <c r="K366" s="3"/>
    </row>
    <row r="367" spans="2:11" ht="15.75" customHeight="1" x14ac:dyDescent="0.25">
      <c r="B367" s="3"/>
      <c r="C367" s="3"/>
      <c r="K367" s="3"/>
    </row>
    <row r="368" spans="2:11" ht="15.75" customHeight="1" x14ac:dyDescent="0.25">
      <c r="B368" s="3"/>
      <c r="C368" s="3"/>
      <c r="K368" s="3"/>
    </row>
    <row r="369" spans="2:11" ht="15.75" customHeight="1" x14ac:dyDescent="0.25">
      <c r="B369" s="3"/>
      <c r="C369" s="3"/>
      <c r="K369" s="3"/>
    </row>
    <row r="370" spans="2:11" ht="15.75" customHeight="1" x14ac:dyDescent="0.25">
      <c r="B370" s="3"/>
      <c r="C370" s="3"/>
      <c r="K370" s="3"/>
    </row>
    <row r="371" spans="2:11" ht="15.75" customHeight="1" x14ac:dyDescent="0.25">
      <c r="B371" s="3"/>
      <c r="C371" s="3"/>
      <c r="K371" s="3"/>
    </row>
    <row r="372" spans="2:11" ht="15.75" customHeight="1" x14ac:dyDescent="0.25">
      <c r="B372" s="3"/>
      <c r="C372" s="3"/>
      <c r="K372" s="3"/>
    </row>
    <row r="373" spans="2:11" ht="15.75" customHeight="1" x14ac:dyDescent="0.25">
      <c r="B373" s="3"/>
      <c r="C373" s="3"/>
      <c r="K373" s="3"/>
    </row>
    <row r="374" spans="2:11" ht="15.75" customHeight="1" x14ac:dyDescent="0.25">
      <c r="B374" s="3"/>
      <c r="C374" s="3"/>
      <c r="K374" s="3"/>
    </row>
    <row r="375" spans="2:11" ht="15.75" customHeight="1" x14ac:dyDescent="0.25">
      <c r="B375" s="3"/>
      <c r="C375" s="3"/>
      <c r="K375" s="3"/>
    </row>
    <row r="376" spans="2:11" ht="15.75" customHeight="1" x14ac:dyDescent="0.25">
      <c r="B376" s="3"/>
      <c r="C376" s="3"/>
      <c r="K376" s="3"/>
    </row>
    <row r="377" spans="2:11" ht="15.75" customHeight="1" x14ac:dyDescent="0.25">
      <c r="B377" s="3"/>
      <c r="C377" s="3"/>
      <c r="K377" s="3"/>
    </row>
    <row r="378" spans="2:11" ht="15.75" customHeight="1" x14ac:dyDescent="0.25">
      <c r="B378" s="3"/>
      <c r="C378" s="3"/>
      <c r="K378" s="3"/>
    </row>
    <row r="379" spans="2:11" ht="15.75" customHeight="1" x14ac:dyDescent="0.25">
      <c r="B379" s="3"/>
      <c r="C379" s="3"/>
      <c r="K379" s="3"/>
    </row>
    <row r="380" spans="2:11" ht="15.75" customHeight="1" x14ac:dyDescent="0.25">
      <c r="B380" s="3"/>
      <c r="C380" s="3"/>
      <c r="K380" s="3"/>
    </row>
    <row r="381" spans="2:11" ht="15.75" customHeight="1" x14ac:dyDescent="0.25">
      <c r="B381" s="3"/>
      <c r="C381" s="3"/>
      <c r="K381" s="3"/>
    </row>
    <row r="382" spans="2:11" ht="15.75" customHeight="1" x14ac:dyDescent="0.25">
      <c r="B382" s="3"/>
      <c r="C382" s="3"/>
      <c r="K382" s="3"/>
    </row>
    <row r="383" spans="2:11" ht="15.75" customHeight="1" x14ac:dyDescent="0.25">
      <c r="B383" s="3"/>
      <c r="C383" s="3"/>
      <c r="K383" s="3"/>
    </row>
    <row r="384" spans="2:11" ht="15.75" customHeight="1" x14ac:dyDescent="0.25">
      <c r="B384" s="3"/>
      <c r="C384" s="3"/>
      <c r="K384" s="3"/>
    </row>
    <row r="385" spans="2:11" ht="15.75" customHeight="1" x14ac:dyDescent="0.25">
      <c r="B385" s="3"/>
      <c r="C385" s="3"/>
      <c r="K385" s="3"/>
    </row>
    <row r="386" spans="2:11" ht="15.75" customHeight="1" x14ac:dyDescent="0.25">
      <c r="B386" s="3"/>
      <c r="C386" s="3"/>
      <c r="K386" s="3"/>
    </row>
    <row r="387" spans="2:11" ht="15.75" customHeight="1" x14ac:dyDescent="0.25">
      <c r="B387" s="3"/>
      <c r="C387" s="3"/>
      <c r="K387" s="3"/>
    </row>
    <row r="388" spans="2:11" ht="15.75" customHeight="1" x14ac:dyDescent="0.25">
      <c r="B388" s="3"/>
      <c r="C388" s="3"/>
      <c r="K388" s="3"/>
    </row>
    <row r="389" spans="2:11" ht="15.75" customHeight="1" x14ac:dyDescent="0.25">
      <c r="B389" s="3"/>
      <c r="C389" s="3"/>
      <c r="K389" s="3"/>
    </row>
    <row r="390" spans="2:11" ht="15.75" customHeight="1" x14ac:dyDescent="0.25">
      <c r="B390" s="3"/>
      <c r="C390" s="3"/>
      <c r="K390" s="3"/>
    </row>
    <row r="391" spans="2:11" ht="15.75" customHeight="1" x14ac:dyDescent="0.25">
      <c r="B391" s="3"/>
      <c r="C391" s="3"/>
      <c r="K391" s="3"/>
    </row>
    <row r="392" spans="2:11" ht="15.75" customHeight="1" x14ac:dyDescent="0.25">
      <c r="B392" s="3"/>
      <c r="C392" s="3"/>
      <c r="K392" s="3"/>
    </row>
    <row r="393" spans="2:11" ht="15.75" customHeight="1" x14ac:dyDescent="0.25">
      <c r="B393" s="3"/>
      <c r="C393" s="3"/>
      <c r="K393" s="3"/>
    </row>
    <row r="394" spans="2:11" ht="15.75" customHeight="1" x14ac:dyDescent="0.25">
      <c r="B394" s="3"/>
      <c r="C394" s="3"/>
      <c r="K394" s="3"/>
    </row>
    <row r="395" spans="2:11" ht="15.75" customHeight="1" x14ac:dyDescent="0.25">
      <c r="B395" s="3"/>
      <c r="C395" s="3"/>
      <c r="K395" s="3"/>
    </row>
    <row r="396" spans="2:11" ht="15.75" customHeight="1" x14ac:dyDescent="0.25">
      <c r="B396" s="3"/>
      <c r="C396" s="3"/>
      <c r="K396" s="3"/>
    </row>
    <row r="397" spans="2:11" ht="15.75" customHeight="1" x14ac:dyDescent="0.25">
      <c r="B397" s="3"/>
      <c r="C397" s="3"/>
      <c r="K397" s="3"/>
    </row>
    <row r="398" spans="2:11" ht="15.75" customHeight="1" x14ac:dyDescent="0.25">
      <c r="B398" s="3"/>
      <c r="C398" s="3"/>
      <c r="K398" s="3"/>
    </row>
    <row r="399" spans="2:11" ht="15.75" customHeight="1" x14ac:dyDescent="0.25">
      <c r="B399" s="3"/>
      <c r="C399" s="3"/>
      <c r="K399" s="3"/>
    </row>
    <row r="400" spans="2:11" ht="15.75" customHeight="1" x14ac:dyDescent="0.25">
      <c r="B400" s="3"/>
      <c r="C400" s="3"/>
      <c r="K400" s="3"/>
    </row>
    <row r="401" spans="2:11" ht="15.75" customHeight="1" x14ac:dyDescent="0.25">
      <c r="B401" s="3"/>
      <c r="C401" s="3"/>
      <c r="K401" s="3"/>
    </row>
    <row r="402" spans="2:11" ht="15.75" customHeight="1" x14ac:dyDescent="0.25">
      <c r="B402" s="3"/>
      <c r="C402" s="3"/>
      <c r="K402" s="3"/>
    </row>
    <row r="403" spans="2:11" ht="15.75" customHeight="1" x14ac:dyDescent="0.25">
      <c r="B403" s="3"/>
      <c r="C403" s="3"/>
      <c r="K403" s="3"/>
    </row>
    <row r="404" spans="2:11" ht="15.75" customHeight="1" x14ac:dyDescent="0.25">
      <c r="B404" s="3"/>
      <c r="C404" s="3"/>
      <c r="K404" s="3"/>
    </row>
    <row r="405" spans="2:11" ht="15.75" customHeight="1" x14ac:dyDescent="0.25">
      <c r="B405" s="3"/>
      <c r="C405" s="3"/>
      <c r="K405" s="3"/>
    </row>
    <row r="406" spans="2:11" ht="15.75" customHeight="1" x14ac:dyDescent="0.25">
      <c r="B406" s="3"/>
      <c r="C406" s="3"/>
      <c r="K406" s="3"/>
    </row>
    <row r="407" spans="2:11" ht="15.75" customHeight="1" x14ac:dyDescent="0.25">
      <c r="B407" s="3"/>
      <c r="C407" s="3"/>
      <c r="K407" s="3"/>
    </row>
    <row r="408" spans="2:11" ht="15.75" customHeight="1" x14ac:dyDescent="0.25">
      <c r="B408" s="3"/>
      <c r="C408" s="3"/>
      <c r="K408" s="3"/>
    </row>
    <row r="409" spans="2:11" ht="15.75" customHeight="1" x14ac:dyDescent="0.25">
      <c r="B409" s="3"/>
      <c r="C409" s="3"/>
      <c r="K409" s="3"/>
    </row>
    <row r="410" spans="2:11" ht="15.75" customHeight="1" x14ac:dyDescent="0.25">
      <c r="B410" s="3"/>
      <c r="C410" s="3"/>
      <c r="K410" s="3"/>
    </row>
    <row r="411" spans="2:11" ht="15.75" customHeight="1" x14ac:dyDescent="0.25">
      <c r="B411" s="3"/>
      <c r="C411" s="3"/>
      <c r="K411" s="3"/>
    </row>
    <row r="412" spans="2:11" ht="15.75" customHeight="1" x14ac:dyDescent="0.25">
      <c r="B412" s="3"/>
      <c r="C412" s="3"/>
      <c r="K412" s="3"/>
    </row>
    <row r="413" spans="2:11" ht="15.75" customHeight="1" x14ac:dyDescent="0.25">
      <c r="B413" s="3"/>
      <c r="C413" s="3"/>
      <c r="K413" s="3"/>
    </row>
    <row r="414" spans="2:11" ht="15.75" customHeight="1" x14ac:dyDescent="0.25">
      <c r="B414" s="3"/>
      <c r="C414" s="3"/>
      <c r="K414" s="3"/>
    </row>
    <row r="415" spans="2:11" ht="15.75" customHeight="1" x14ac:dyDescent="0.25">
      <c r="B415" s="3"/>
      <c r="C415" s="3"/>
      <c r="K415" s="3"/>
    </row>
    <row r="416" spans="2:11" ht="15.75" customHeight="1" x14ac:dyDescent="0.25">
      <c r="B416" s="3"/>
      <c r="C416" s="3"/>
      <c r="K416" s="3"/>
    </row>
    <row r="417" spans="2:11" ht="15.75" customHeight="1" x14ac:dyDescent="0.25">
      <c r="B417" s="3"/>
      <c r="C417" s="3"/>
      <c r="K417" s="3"/>
    </row>
    <row r="418" spans="2:11" ht="15.75" customHeight="1" x14ac:dyDescent="0.25">
      <c r="B418" s="3"/>
      <c r="C418" s="3"/>
      <c r="K418" s="3"/>
    </row>
    <row r="419" spans="2:11" ht="15.75" customHeight="1" x14ac:dyDescent="0.25">
      <c r="B419" s="3"/>
      <c r="C419" s="3"/>
      <c r="K419" s="3"/>
    </row>
    <row r="420" spans="2:11" ht="15.75" customHeight="1" x14ac:dyDescent="0.25">
      <c r="B420" s="3"/>
      <c r="C420" s="3"/>
      <c r="K420" s="3"/>
    </row>
    <row r="421" spans="2:11" ht="15.75" customHeight="1" x14ac:dyDescent="0.25">
      <c r="B421" s="3"/>
      <c r="C421" s="3"/>
      <c r="K421" s="3"/>
    </row>
    <row r="422" spans="2:11" ht="15.75" customHeight="1" x14ac:dyDescent="0.25">
      <c r="B422" s="3"/>
      <c r="C422" s="3"/>
      <c r="K422" s="3"/>
    </row>
    <row r="423" spans="2:11" ht="15.75" customHeight="1" x14ac:dyDescent="0.25">
      <c r="B423" s="3"/>
      <c r="C423" s="3"/>
      <c r="K423" s="3"/>
    </row>
    <row r="424" spans="2:11" ht="15.75" customHeight="1" x14ac:dyDescent="0.25">
      <c r="B424" s="3"/>
      <c r="C424" s="3"/>
      <c r="K424" s="3"/>
    </row>
    <row r="425" spans="2:11" ht="15.75" customHeight="1" x14ac:dyDescent="0.25">
      <c r="B425" s="3"/>
      <c r="C425" s="3"/>
      <c r="K425" s="3"/>
    </row>
    <row r="426" spans="2:11" ht="15.75" customHeight="1" x14ac:dyDescent="0.25">
      <c r="B426" s="3"/>
      <c r="C426" s="3"/>
      <c r="K426" s="3"/>
    </row>
    <row r="427" spans="2:11" ht="15.75" customHeight="1" x14ac:dyDescent="0.25">
      <c r="B427" s="3"/>
      <c r="C427" s="3"/>
      <c r="K427" s="3"/>
    </row>
    <row r="428" spans="2:11" ht="15.75" customHeight="1" x14ac:dyDescent="0.25">
      <c r="B428" s="3"/>
      <c r="C428" s="3"/>
      <c r="K428" s="3"/>
    </row>
    <row r="429" spans="2:11" ht="15.75" customHeight="1" x14ac:dyDescent="0.25">
      <c r="B429" s="3"/>
      <c r="C429" s="3"/>
      <c r="K429" s="3"/>
    </row>
    <row r="430" spans="2:11" ht="15.75" customHeight="1" x14ac:dyDescent="0.25">
      <c r="B430" s="3"/>
      <c r="C430" s="3"/>
      <c r="K430" s="3"/>
    </row>
    <row r="431" spans="2:11" ht="15.75" customHeight="1" x14ac:dyDescent="0.25">
      <c r="B431" s="3"/>
      <c r="C431" s="3"/>
      <c r="K431" s="3"/>
    </row>
    <row r="432" spans="2:11" ht="15.75" customHeight="1" x14ac:dyDescent="0.25">
      <c r="B432" s="3"/>
      <c r="C432" s="3"/>
      <c r="K432" s="3"/>
    </row>
    <row r="433" spans="2:11" ht="15.75" customHeight="1" x14ac:dyDescent="0.25">
      <c r="B433" s="3"/>
      <c r="C433" s="3"/>
      <c r="K433" s="3"/>
    </row>
    <row r="434" spans="2:11" ht="15.75" customHeight="1" x14ac:dyDescent="0.25">
      <c r="B434" s="3"/>
      <c r="C434" s="3"/>
      <c r="K434" s="3"/>
    </row>
    <row r="435" spans="2:11" ht="15.75" customHeight="1" x14ac:dyDescent="0.25">
      <c r="B435" s="3"/>
      <c r="C435" s="3"/>
      <c r="K435" s="3"/>
    </row>
    <row r="436" spans="2:11" ht="15.75" customHeight="1" x14ac:dyDescent="0.25">
      <c r="B436" s="3"/>
      <c r="C436" s="3"/>
      <c r="K436" s="3"/>
    </row>
    <row r="437" spans="2:11" ht="15.75" customHeight="1" x14ac:dyDescent="0.25">
      <c r="B437" s="3"/>
      <c r="C437" s="3"/>
      <c r="K437" s="3"/>
    </row>
    <row r="438" spans="2:11" ht="15.75" customHeight="1" x14ac:dyDescent="0.25">
      <c r="B438" s="3"/>
      <c r="C438" s="3"/>
      <c r="K438" s="3"/>
    </row>
    <row r="439" spans="2:11" ht="15.75" customHeight="1" x14ac:dyDescent="0.25">
      <c r="B439" s="3"/>
      <c r="C439" s="3"/>
      <c r="K439" s="3"/>
    </row>
    <row r="440" spans="2:11" ht="15.75" customHeight="1" x14ac:dyDescent="0.25">
      <c r="B440" s="3"/>
      <c r="C440" s="3"/>
      <c r="K440" s="3"/>
    </row>
    <row r="441" spans="2:11" ht="15.75" customHeight="1" x14ac:dyDescent="0.25">
      <c r="B441" s="3"/>
      <c r="C441" s="3"/>
      <c r="K441" s="3"/>
    </row>
    <row r="442" spans="2:11" ht="15.75" customHeight="1" x14ac:dyDescent="0.25">
      <c r="B442" s="3"/>
      <c r="C442" s="3"/>
      <c r="K442" s="3"/>
    </row>
    <row r="443" spans="2:11" ht="15.75" customHeight="1" x14ac:dyDescent="0.25">
      <c r="B443" s="3"/>
      <c r="C443" s="3"/>
      <c r="K443" s="3"/>
    </row>
    <row r="444" spans="2:11" ht="15.75" customHeight="1" x14ac:dyDescent="0.25">
      <c r="B444" s="3"/>
      <c r="C444" s="3"/>
      <c r="K444" s="3"/>
    </row>
    <row r="445" spans="2:11" ht="15.75" customHeight="1" x14ac:dyDescent="0.25">
      <c r="B445" s="3"/>
      <c r="C445" s="3"/>
      <c r="K445" s="3"/>
    </row>
    <row r="446" spans="2:11" ht="15.75" customHeight="1" x14ac:dyDescent="0.25">
      <c r="B446" s="3"/>
      <c r="C446" s="3"/>
      <c r="K446" s="3"/>
    </row>
    <row r="447" spans="2:11" ht="15.75" customHeight="1" x14ac:dyDescent="0.25">
      <c r="B447" s="3"/>
      <c r="C447" s="3"/>
      <c r="K447" s="3"/>
    </row>
    <row r="448" spans="2:11" ht="15.75" customHeight="1" x14ac:dyDescent="0.25">
      <c r="B448" s="3"/>
      <c r="C448" s="3"/>
      <c r="K448" s="3"/>
    </row>
    <row r="449" spans="2:11" ht="15.75" customHeight="1" x14ac:dyDescent="0.25">
      <c r="B449" s="3"/>
      <c r="C449" s="3"/>
      <c r="K449" s="3"/>
    </row>
    <row r="450" spans="2:11" ht="15.75" customHeight="1" x14ac:dyDescent="0.25">
      <c r="B450" s="3"/>
      <c r="C450" s="3"/>
      <c r="K450" s="3"/>
    </row>
    <row r="451" spans="2:11" ht="15.75" customHeight="1" x14ac:dyDescent="0.25">
      <c r="B451" s="3"/>
      <c r="C451" s="3"/>
      <c r="K451" s="3"/>
    </row>
    <row r="452" spans="2:11" ht="15.75" customHeight="1" x14ac:dyDescent="0.25">
      <c r="B452" s="3"/>
      <c r="C452" s="3"/>
      <c r="K452" s="3"/>
    </row>
    <row r="453" spans="2:11" ht="15.75" customHeight="1" x14ac:dyDescent="0.25">
      <c r="B453" s="3"/>
      <c r="C453" s="3"/>
      <c r="K453" s="3"/>
    </row>
    <row r="454" spans="2:11" ht="15.75" customHeight="1" x14ac:dyDescent="0.25">
      <c r="B454" s="3"/>
      <c r="C454" s="3"/>
      <c r="K454" s="3"/>
    </row>
    <row r="455" spans="2:11" ht="15.75" customHeight="1" x14ac:dyDescent="0.25">
      <c r="B455" s="3"/>
      <c r="C455" s="3"/>
      <c r="K455" s="3"/>
    </row>
    <row r="456" spans="2:11" ht="15.75" customHeight="1" x14ac:dyDescent="0.25">
      <c r="B456" s="3"/>
      <c r="C456" s="3"/>
      <c r="K456" s="3"/>
    </row>
    <row r="457" spans="2:11" ht="15.75" customHeight="1" x14ac:dyDescent="0.25">
      <c r="B457" s="3"/>
      <c r="C457" s="3"/>
      <c r="K457" s="3"/>
    </row>
    <row r="458" spans="2:11" ht="15.75" customHeight="1" x14ac:dyDescent="0.25">
      <c r="B458" s="3"/>
      <c r="C458" s="3"/>
      <c r="K458" s="3"/>
    </row>
    <row r="459" spans="2:11" ht="15.75" customHeight="1" x14ac:dyDescent="0.25">
      <c r="B459" s="3"/>
      <c r="C459" s="3"/>
      <c r="K459" s="3"/>
    </row>
    <row r="460" spans="2:11" ht="15.75" customHeight="1" x14ac:dyDescent="0.25">
      <c r="B460" s="3"/>
      <c r="C460" s="3"/>
      <c r="K460" s="3"/>
    </row>
    <row r="461" spans="2:11" ht="15.75" customHeight="1" x14ac:dyDescent="0.25">
      <c r="B461" s="3"/>
      <c r="C461" s="3"/>
      <c r="K461" s="3"/>
    </row>
    <row r="462" spans="2:11" ht="15.75" customHeight="1" x14ac:dyDescent="0.25">
      <c r="B462" s="3"/>
      <c r="C462" s="3"/>
      <c r="K462" s="3"/>
    </row>
    <row r="463" spans="2:11" ht="15.75" customHeight="1" x14ac:dyDescent="0.25">
      <c r="B463" s="3"/>
      <c r="C463" s="3"/>
      <c r="K463" s="3"/>
    </row>
    <row r="464" spans="2:11" ht="15.75" customHeight="1" x14ac:dyDescent="0.25">
      <c r="B464" s="3"/>
      <c r="C464" s="3"/>
      <c r="K464" s="3"/>
    </row>
    <row r="465" spans="2:11" ht="15.75" customHeight="1" x14ac:dyDescent="0.25">
      <c r="B465" s="3"/>
      <c r="C465" s="3"/>
      <c r="K465" s="3"/>
    </row>
    <row r="466" spans="2:11" ht="15.75" customHeight="1" x14ac:dyDescent="0.25">
      <c r="B466" s="3"/>
      <c r="C466" s="3"/>
      <c r="K466" s="3"/>
    </row>
    <row r="467" spans="2:11" ht="15.75" customHeight="1" x14ac:dyDescent="0.25">
      <c r="B467" s="3"/>
      <c r="C467" s="3"/>
      <c r="K467" s="3"/>
    </row>
    <row r="468" spans="2:11" ht="15.75" customHeight="1" x14ac:dyDescent="0.25">
      <c r="B468" s="3"/>
      <c r="C468" s="3"/>
      <c r="K468" s="3"/>
    </row>
    <row r="469" spans="2:11" ht="15.75" customHeight="1" x14ac:dyDescent="0.25">
      <c r="B469" s="3"/>
      <c r="C469" s="3"/>
      <c r="K469" s="3"/>
    </row>
    <row r="470" spans="2:11" ht="15.75" customHeight="1" x14ac:dyDescent="0.25">
      <c r="B470" s="3"/>
      <c r="C470" s="3"/>
      <c r="K470" s="3"/>
    </row>
    <row r="471" spans="2:11" ht="15.75" customHeight="1" x14ac:dyDescent="0.25">
      <c r="B471" s="3"/>
      <c r="C471" s="3"/>
      <c r="K471" s="3"/>
    </row>
    <row r="472" spans="2:11" ht="15.75" customHeight="1" x14ac:dyDescent="0.25">
      <c r="B472" s="3"/>
      <c r="C472" s="3"/>
      <c r="K472" s="3"/>
    </row>
    <row r="473" spans="2:11" ht="15.75" customHeight="1" x14ac:dyDescent="0.25">
      <c r="B473" s="3"/>
      <c r="C473" s="3"/>
      <c r="K473" s="3"/>
    </row>
    <row r="474" spans="2:11" ht="15.75" customHeight="1" x14ac:dyDescent="0.25">
      <c r="B474" s="3"/>
      <c r="C474" s="3"/>
      <c r="K474" s="3"/>
    </row>
    <row r="475" spans="2:11" ht="15.75" customHeight="1" x14ac:dyDescent="0.25">
      <c r="B475" s="3"/>
      <c r="C475" s="3"/>
      <c r="K475" s="3"/>
    </row>
    <row r="476" spans="2:11" ht="15.75" customHeight="1" x14ac:dyDescent="0.25">
      <c r="B476" s="3"/>
      <c r="C476" s="3"/>
      <c r="K476" s="3"/>
    </row>
    <row r="477" spans="2:11" ht="15.75" customHeight="1" x14ac:dyDescent="0.25">
      <c r="B477" s="3"/>
      <c r="C477" s="3"/>
      <c r="K477" s="3"/>
    </row>
    <row r="478" spans="2:11" ht="15.75" customHeight="1" x14ac:dyDescent="0.25">
      <c r="B478" s="3"/>
      <c r="C478" s="3"/>
      <c r="K478" s="3"/>
    </row>
    <row r="479" spans="2:11" ht="15.75" customHeight="1" x14ac:dyDescent="0.25">
      <c r="B479" s="3"/>
      <c r="C479" s="3"/>
      <c r="K479" s="3"/>
    </row>
    <row r="480" spans="2:11" ht="15.75" customHeight="1" x14ac:dyDescent="0.25">
      <c r="B480" s="3"/>
      <c r="C480" s="3"/>
      <c r="K480" s="3"/>
    </row>
    <row r="481" spans="2:11" ht="15.75" customHeight="1" x14ac:dyDescent="0.25">
      <c r="B481" s="3"/>
      <c r="C481" s="3"/>
      <c r="K481" s="3"/>
    </row>
    <row r="482" spans="2:11" ht="15.75" customHeight="1" x14ac:dyDescent="0.25">
      <c r="B482" s="3"/>
      <c r="C482" s="3"/>
      <c r="K482" s="3"/>
    </row>
    <row r="483" spans="2:11" ht="15.75" customHeight="1" x14ac:dyDescent="0.25">
      <c r="B483" s="3"/>
      <c r="C483" s="3"/>
      <c r="K483" s="3"/>
    </row>
    <row r="484" spans="2:11" ht="15.75" customHeight="1" x14ac:dyDescent="0.25">
      <c r="B484" s="3"/>
      <c r="C484" s="3"/>
      <c r="K484" s="3"/>
    </row>
    <row r="485" spans="2:11" ht="15.75" customHeight="1" x14ac:dyDescent="0.25">
      <c r="B485" s="3"/>
      <c r="C485" s="3"/>
      <c r="K485" s="3"/>
    </row>
    <row r="486" spans="2:11" ht="15.75" customHeight="1" x14ac:dyDescent="0.25">
      <c r="B486" s="3"/>
      <c r="C486" s="3"/>
      <c r="K486" s="3"/>
    </row>
    <row r="487" spans="2:11" ht="15.75" customHeight="1" x14ac:dyDescent="0.25">
      <c r="B487" s="3"/>
      <c r="C487" s="3"/>
      <c r="K487" s="3"/>
    </row>
    <row r="488" spans="2:11" ht="15.75" customHeight="1" x14ac:dyDescent="0.25">
      <c r="B488" s="3"/>
      <c r="C488" s="3"/>
      <c r="K488" s="3"/>
    </row>
    <row r="489" spans="2:11" ht="15.75" customHeight="1" x14ac:dyDescent="0.25">
      <c r="B489" s="3"/>
      <c r="C489" s="3"/>
      <c r="K489" s="3"/>
    </row>
    <row r="490" spans="2:11" ht="15.75" customHeight="1" x14ac:dyDescent="0.25">
      <c r="B490" s="3"/>
      <c r="C490" s="3"/>
      <c r="K490" s="3"/>
    </row>
    <row r="491" spans="2:11" ht="15.75" customHeight="1" x14ac:dyDescent="0.25">
      <c r="B491" s="3"/>
      <c r="C491" s="3"/>
      <c r="K491" s="3"/>
    </row>
    <row r="492" spans="2:11" ht="15.75" customHeight="1" x14ac:dyDescent="0.25">
      <c r="B492" s="3"/>
      <c r="C492" s="3"/>
      <c r="K492" s="3"/>
    </row>
    <row r="493" spans="2:11" ht="15.75" customHeight="1" x14ac:dyDescent="0.25">
      <c r="B493" s="3"/>
      <c r="C493" s="3"/>
      <c r="K493" s="3"/>
    </row>
    <row r="494" spans="2:11" ht="15.75" customHeight="1" x14ac:dyDescent="0.25">
      <c r="B494" s="3"/>
      <c r="C494" s="3"/>
      <c r="K494" s="3"/>
    </row>
    <row r="495" spans="2:11" ht="15.75" customHeight="1" x14ac:dyDescent="0.25">
      <c r="B495" s="3"/>
      <c r="C495" s="3"/>
      <c r="K495" s="3"/>
    </row>
    <row r="496" spans="2:11" ht="15.75" customHeight="1" x14ac:dyDescent="0.25">
      <c r="B496" s="3"/>
      <c r="C496" s="3"/>
      <c r="K496" s="3"/>
    </row>
    <row r="497" spans="2:11" ht="15.75" customHeight="1" x14ac:dyDescent="0.25">
      <c r="B497" s="3"/>
      <c r="C497" s="3"/>
      <c r="K497" s="3"/>
    </row>
    <row r="498" spans="2:11" ht="15.75" customHeight="1" x14ac:dyDescent="0.25">
      <c r="B498" s="3"/>
      <c r="C498" s="3"/>
      <c r="K498" s="3"/>
    </row>
    <row r="499" spans="2:11" ht="15.75" customHeight="1" x14ac:dyDescent="0.25">
      <c r="B499" s="3"/>
      <c r="C499" s="3"/>
      <c r="K499" s="3"/>
    </row>
    <row r="500" spans="2:11" ht="15.75" customHeight="1" x14ac:dyDescent="0.25">
      <c r="B500" s="3"/>
      <c r="C500" s="3"/>
      <c r="K500" s="3"/>
    </row>
    <row r="501" spans="2:11" ht="15.75" customHeight="1" x14ac:dyDescent="0.25">
      <c r="B501" s="3"/>
      <c r="C501" s="3"/>
      <c r="K501" s="3"/>
    </row>
    <row r="502" spans="2:11" ht="15.75" customHeight="1" x14ac:dyDescent="0.25">
      <c r="B502" s="3"/>
      <c r="C502" s="3"/>
      <c r="K502" s="3"/>
    </row>
    <row r="503" spans="2:11" ht="15.75" customHeight="1" x14ac:dyDescent="0.25">
      <c r="B503" s="3"/>
      <c r="C503" s="3"/>
      <c r="K503" s="3"/>
    </row>
    <row r="504" spans="2:11" ht="15.75" customHeight="1" x14ac:dyDescent="0.25">
      <c r="B504" s="3"/>
      <c r="C504" s="3"/>
      <c r="K504" s="3"/>
    </row>
    <row r="505" spans="2:11" ht="15.75" customHeight="1" x14ac:dyDescent="0.25">
      <c r="B505" s="3"/>
      <c r="C505" s="3"/>
      <c r="K505" s="3"/>
    </row>
    <row r="506" spans="2:11" ht="15.75" customHeight="1" x14ac:dyDescent="0.25">
      <c r="B506" s="3"/>
      <c r="C506" s="3"/>
      <c r="K506" s="3"/>
    </row>
    <row r="507" spans="2:11" ht="15.75" customHeight="1" x14ac:dyDescent="0.25">
      <c r="B507" s="3"/>
      <c r="C507" s="3"/>
      <c r="K507" s="3"/>
    </row>
    <row r="508" spans="2:11" ht="15.75" customHeight="1" x14ac:dyDescent="0.25">
      <c r="B508" s="3"/>
      <c r="C508" s="3"/>
      <c r="K508" s="3"/>
    </row>
    <row r="509" spans="2:11" ht="15.75" customHeight="1" x14ac:dyDescent="0.25">
      <c r="B509" s="3"/>
      <c r="C509" s="3"/>
      <c r="K509" s="3"/>
    </row>
    <row r="510" spans="2:11" ht="15.75" customHeight="1" x14ac:dyDescent="0.25">
      <c r="B510" s="3"/>
      <c r="C510" s="3"/>
      <c r="K510" s="3"/>
    </row>
    <row r="511" spans="2:11" ht="15.75" customHeight="1" x14ac:dyDescent="0.25">
      <c r="B511" s="3"/>
      <c r="C511" s="3"/>
      <c r="K511" s="3"/>
    </row>
    <row r="512" spans="2:11" ht="15.75" customHeight="1" x14ac:dyDescent="0.25">
      <c r="B512" s="3"/>
      <c r="C512" s="3"/>
      <c r="K512" s="3"/>
    </row>
    <row r="513" spans="2:11" ht="15.75" customHeight="1" x14ac:dyDescent="0.25">
      <c r="B513" s="3"/>
      <c r="C513" s="3"/>
      <c r="K513" s="3"/>
    </row>
    <row r="514" spans="2:11" ht="15.75" customHeight="1" x14ac:dyDescent="0.25">
      <c r="B514" s="3"/>
      <c r="C514" s="3"/>
      <c r="K514" s="3"/>
    </row>
    <row r="515" spans="2:11" ht="15.75" customHeight="1" x14ac:dyDescent="0.25">
      <c r="B515" s="3"/>
      <c r="C515" s="3"/>
      <c r="K515" s="3"/>
    </row>
    <row r="516" spans="2:11" ht="15.75" customHeight="1" x14ac:dyDescent="0.25">
      <c r="B516" s="3"/>
      <c r="C516" s="3"/>
      <c r="K516" s="3"/>
    </row>
    <row r="517" spans="2:11" ht="15.75" customHeight="1" x14ac:dyDescent="0.25">
      <c r="B517" s="3"/>
      <c r="C517" s="3"/>
      <c r="K517" s="3"/>
    </row>
    <row r="518" spans="2:11" ht="15.75" customHeight="1" x14ac:dyDescent="0.25">
      <c r="B518" s="3"/>
      <c r="C518" s="3"/>
      <c r="K518" s="3"/>
    </row>
    <row r="519" spans="2:11" ht="15.75" customHeight="1" x14ac:dyDescent="0.25">
      <c r="B519" s="3"/>
      <c r="C519" s="3"/>
      <c r="K519" s="3"/>
    </row>
    <row r="520" spans="2:11" ht="15.75" customHeight="1" x14ac:dyDescent="0.25">
      <c r="B520" s="3"/>
      <c r="C520" s="3"/>
      <c r="K520" s="3"/>
    </row>
    <row r="521" spans="2:11" ht="15.75" customHeight="1" x14ac:dyDescent="0.25">
      <c r="B521" s="3"/>
      <c r="C521" s="3"/>
      <c r="K521" s="3"/>
    </row>
    <row r="522" spans="2:11" ht="15.75" customHeight="1" x14ac:dyDescent="0.25">
      <c r="B522" s="3"/>
      <c r="C522" s="3"/>
      <c r="K522" s="3"/>
    </row>
    <row r="523" spans="2:11" ht="15.75" customHeight="1" x14ac:dyDescent="0.25">
      <c r="B523" s="3"/>
      <c r="C523" s="3"/>
      <c r="K523" s="3"/>
    </row>
    <row r="524" spans="2:11" ht="15.75" customHeight="1" x14ac:dyDescent="0.25">
      <c r="B524" s="3"/>
      <c r="C524" s="3"/>
      <c r="K524" s="3"/>
    </row>
    <row r="525" spans="2:11" ht="15.75" customHeight="1" x14ac:dyDescent="0.25">
      <c r="B525" s="3"/>
      <c r="C525" s="3"/>
      <c r="K525" s="3"/>
    </row>
    <row r="526" spans="2:11" ht="15.75" customHeight="1" x14ac:dyDescent="0.25">
      <c r="B526" s="3"/>
      <c r="C526" s="3"/>
      <c r="K526" s="3"/>
    </row>
    <row r="527" spans="2:11" ht="15.75" customHeight="1" x14ac:dyDescent="0.25">
      <c r="B527" s="3"/>
      <c r="C527" s="3"/>
      <c r="K527" s="3"/>
    </row>
    <row r="528" spans="2:11" ht="15.75" customHeight="1" x14ac:dyDescent="0.25">
      <c r="B528" s="3"/>
      <c r="C528" s="3"/>
      <c r="K528" s="3"/>
    </row>
    <row r="529" spans="2:11" ht="15.75" customHeight="1" x14ac:dyDescent="0.25">
      <c r="B529" s="3"/>
      <c r="C529" s="3"/>
      <c r="K529" s="3"/>
    </row>
    <row r="530" spans="2:11" ht="15.75" customHeight="1" x14ac:dyDescent="0.25">
      <c r="B530" s="3"/>
      <c r="C530" s="3"/>
      <c r="K530" s="3"/>
    </row>
    <row r="531" spans="2:11" ht="15.75" customHeight="1" x14ac:dyDescent="0.25">
      <c r="B531" s="3"/>
      <c r="C531" s="3"/>
      <c r="K531" s="3"/>
    </row>
    <row r="532" spans="2:11" ht="15.75" customHeight="1" x14ac:dyDescent="0.25">
      <c r="B532" s="3"/>
      <c r="C532" s="3"/>
      <c r="K532" s="3"/>
    </row>
    <row r="533" spans="2:11" ht="15.75" customHeight="1" x14ac:dyDescent="0.25">
      <c r="B533" s="3"/>
      <c r="C533" s="3"/>
      <c r="K533" s="3"/>
    </row>
    <row r="534" spans="2:11" ht="15.75" customHeight="1" x14ac:dyDescent="0.25">
      <c r="B534" s="3"/>
      <c r="C534" s="3"/>
      <c r="K534" s="3"/>
    </row>
    <row r="535" spans="2:11" ht="15.75" customHeight="1" x14ac:dyDescent="0.25">
      <c r="B535" s="3"/>
      <c r="C535" s="3"/>
      <c r="K535" s="3"/>
    </row>
    <row r="536" spans="2:11" ht="15.75" customHeight="1" x14ac:dyDescent="0.25">
      <c r="B536" s="3"/>
      <c r="C536" s="3"/>
      <c r="K536" s="3"/>
    </row>
    <row r="537" spans="2:11" ht="15.75" customHeight="1" x14ac:dyDescent="0.25">
      <c r="B537" s="3"/>
      <c r="C537" s="3"/>
      <c r="K537" s="3"/>
    </row>
    <row r="538" spans="2:11" ht="15.75" customHeight="1" x14ac:dyDescent="0.25">
      <c r="B538" s="3"/>
      <c r="C538" s="3"/>
      <c r="K538" s="3"/>
    </row>
    <row r="539" spans="2:11" ht="15.75" customHeight="1" x14ac:dyDescent="0.25">
      <c r="B539" s="3"/>
      <c r="C539" s="3"/>
      <c r="K539" s="3"/>
    </row>
    <row r="540" spans="2:11" ht="15.75" customHeight="1" x14ac:dyDescent="0.25">
      <c r="B540" s="3"/>
      <c r="C540" s="3"/>
      <c r="K540" s="3"/>
    </row>
    <row r="541" spans="2:11" ht="15.75" customHeight="1" x14ac:dyDescent="0.25">
      <c r="B541" s="3"/>
      <c r="C541" s="3"/>
      <c r="K541" s="3"/>
    </row>
    <row r="542" spans="2:11" ht="15.75" customHeight="1" x14ac:dyDescent="0.25">
      <c r="B542" s="3"/>
      <c r="C542" s="3"/>
      <c r="K542" s="3"/>
    </row>
    <row r="543" spans="2:11" ht="15.75" customHeight="1" x14ac:dyDescent="0.25">
      <c r="B543" s="3"/>
      <c r="C543" s="3"/>
      <c r="K543" s="3"/>
    </row>
    <row r="544" spans="2:11" ht="15.75" customHeight="1" x14ac:dyDescent="0.25">
      <c r="B544" s="3"/>
      <c r="C544" s="3"/>
      <c r="K544" s="3"/>
    </row>
    <row r="545" spans="2:11" ht="15.75" customHeight="1" x14ac:dyDescent="0.25">
      <c r="B545" s="3"/>
      <c r="C545" s="3"/>
      <c r="K545" s="3"/>
    </row>
    <row r="546" spans="2:11" ht="15.75" customHeight="1" x14ac:dyDescent="0.25">
      <c r="B546" s="3"/>
      <c r="C546" s="3"/>
      <c r="K546" s="3"/>
    </row>
    <row r="547" spans="2:11" ht="15.75" customHeight="1" x14ac:dyDescent="0.25">
      <c r="B547" s="3"/>
      <c r="C547" s="3"/>
      <c r="K547" s="3"/>
    </row>
    <row r="548" spans="2:11" ht="15.75" customHeight="1" x14ac:dyDescent="0.25">
      <c r="B548" s="3"/>
      <c r="C548" s="3"/>
      <c r="K548" s="3"/>
    </row>
    <row r="549" spans="2:11" ht="15.75" customHeight="1" x14ac:dyDescent="0.25">
      <c r="B549" s="3"/>
      <c r="C549" s="3"/>
      <c r="K549" s="3"/>
    </row>
    <row r="550" spans="2:11" ht="15.75" customHeight="1" x14ac:dyDescent="0.25">
      <c r="B550" s="3"/>
      <c r="C550" s="3"/>
      <c r="K550" s="3"/>
    </row>
    <row r="551" spans="2:11" ht="15.75" customHeight="1" x14ac:dyDescent="0.25">
      <c r="B551" s="3"/>
      <c r="C551" s="3"/>
      <c r="K551" s="3"/>
    </row>
    <row r="552" spans="2:11" ht="15.75" customHeight="1" x14ac:dyDescent="0.25">
      <c r="B552" s="3"/>
      <c r="C552" s="3"/>
      <c r="K552" s="3"/>
    </row>
    <row r="553" spans="2:11" ht="15.75" customHeight="1" x14ac:dyDescent="0.25">
      <c r="B553" s="3"/>
      <c r="C553" s="3"/>
      <c r="K553" s="3"/>
    </row>
    <row r="554" spans="2:11" ht="15.75" customHeight="1" x14ac:dyDescent="0.25">
      <c r="B554" s="3"/>
      <c r="C554" s="3"/>
      <c r="K554" s="3"/>
    </row>
    <row r="555" spans="2:11" ht="15.75" customHeight="1" x14ac:dyDescent="0.25">
      <c r="B555" s="3"/>
      <c r="C555" s="3"/>
      <c r="K555" s="3"/>
    </row>
    <row r="556" spans="2:11" ht="15.75" customHeight="1" x14ac:dyDescent="0.25">
      <c r="B556" s="3"/>
      <c r="C556" s="3"/>
      <c r="K556" s="3"/>
    </row>
    <row r="557" spans="2:11" ht="15.75" customHeight="1" x14ac:dyDescent="0.25">
      <c r="B557" s="3"/>
      <c r="C557" s="3"/>
      <c r="K557" s="3"/>
    </row>
    <row r="558" spans="2:11" ht="15.75" customHeight="1" x14ac:dyDescent="0.25">
      <c r="B558" s="3"/>
      <c r="C558" s="3"/>
      <c r="K558" s="3"/>
    </row>
    <row r="559" spans="2:11" ht="15.75" customHeight="1" x14ac:dyDescent="0.25">
      <c r="B559" s="3"/>
      <c r="C559" s="3"/>
      <c r="K559" s="3"/>
    </row>
    <row r="560" spans="2:11" ht="15.75" customHeight="1" x14ac:dyDescent="0.25">
      <c r="B560" s="3"/>
      <c r="C560" s="3"/>
      <c r="K560" s="3"/>
    </row>
    <row r="561" spans="2:11" ht="15.75" customHeight="1" x14ac:dyDescent="0.25">
      <c r="B561" s="3"/>
      <c r="C561" s="3"/>
      <c r="K561" s="3"/>
    </row>
    <row r="562" spans="2:11" ht="15.75" customHeight="1" x14ac:dyDescent="0.25">
      <c r="B562" s="3"/>
      <c r="C562" s="3"/>
      <c r="K562" s="3"/>
    </row>
    <row r="563" spans="2:11" ht="15.75" customHeight="1" x14ac:dyDescent="0.25">
      <c r="B563" s="3"/>
      <c r="C563" s="3"/>
      <c r="K563" s="3"/>
    </row>
    <row r="564" spans="2:11" ht="15.75" customHeight="1" x14ac:dyDescent="0.25">
      <c r="B564" s="3"/>
      <c r="C564" s="3"/>
      <c r="K564" s="3"/>
    </row>
    <row r="565" spans="2:11" ht="15.75" customHeight="1" x14ac:dyDescent="0.25">
      <c r="B565" s="3"/>
      <c r="C565" s="3"/>
      <c r="K565" s="3"/>
    </row>
    <row r="566" spans="2:11" ht="15.75" customHeight="1" x14ac:dyDescent="0.25">
      <c r="B566" s="3"/>
      <c r="C566" s="3"/>
      <c r="K566" s="3"/>
    </row>
    <row r="567" spans="2:11" ht="15.75" customHeight="1" x14ac:dyDescent="0.25">
      <c r="B567" s="3"/>
      <c r="C567" s="3"/>
      <c r="K567" s="3"/>
    </row>
    <row r="568" spans="2:11" ht="15.75" customHeight="1" x14ac:dyDescent="0.25">
      <c r="B568" s="3"/>
      <c r="C568" s="3"/>
      <c r="K568" s="3"/>
    </row>
    <row r="569" spans="2:11" ht="15.75" customHeight="1" x14ac:dyDescent="0.25">
      <c r="B569" s="3"/>
      <c r="C569" s="3"/>
      <c r="K569" s="3"/>
    </row>
    <row r="570" spans="2:11" ht="15.75" customHeight="1" x14ac:dyDescent="0.25">
      <c r="B570" s="3"/>
      <c r="C570" s="3"/>
      <c r="K570" s="3"/>
    </row>
    <row r="571" spans="2:11" ht="15.75" customHeight="1" x14ac:dyDescent="0.25">
      <c r="B571" s="3"/>
      <c r="C571" s="3"/>
      <c r="K571" s="3"/>
    </row>
    <row r="572" spans="2:11" ht="15.75" customHeight="1" x14ac:dyDescent="0.25">
      <c r="B572" s="3"/>
      <c r="C572" s="3"/>
      <c r="K572" s="3"/>
    </row>
    <row r="573" spans="2:11" ht="15.75" customHeight="1" x14ac:dyDescent="0.25">
      <c r="B573" s="3"/>
      <c r="C573" s="3"/>
      <c r="K573" s="3"/>
    </row>
    <row r="574" spans="2:11" ht="15.75" customHeight="1" x14ac:dyDescent="0.25">
      <c r="B574" s="3"/>
      <c r="C574" s="3"/>
      <c r="K574" s="3"/>
    </row>
    <row r="575" spans="2:11" ht="15.75" customHeight="1" x14ac:dyDescent="0.25">
      <c r="B575" s="3"/>
      <c r="C575" s="3"/>
      <c r="K575" s="3"/>
    </row>
    <row r="576" spans="2:11" ht="15.75" customHeight="1" x14ac:dyDescent="0.25">
      <c r="B576" s="3"/>
      <c r="C576" s="3"/>
      <c r="K576" s="3"/>
    </row>
    <row r="577" spans="2:11" ht="15.75" customHeight="1" x14ac:dyDescent="0.25">
      <c r="B577" s="3"/>
      <c r="C577" s="3"/>
      <c r="K577" s="3"/>
    </row>
    <row r="578" spans="2:11" ht="15.75" customHeight="1" x14ac:dyDescent="0.25">
      <c r="B578" s="3"/>
      <c r="C578" s="3"/>
      <c r="K578" s="3"/>
    </row>
    <row r="579" spans="2:11" ht="15.75" customHeight="1" x14ac:dyDescent="0.25">
      <c r="B579" s="3"/>
      <c r="C579" s="3"/>
      <c r="K579" s="3"/>
    </row>
    <row r="580" spans="2:11" ht="15.75" customHeight="1" x14ac:dyDescent="0.25">
      <c r="B580" s="3"/>
      <c r="C580" s="3"/>
      <c r="K580" s="3"/>
    </row>
    <row r="581" spans="2:11" ht="15.75" customHeight="1" x14ac:dyDescent="0.25">
      <c r="B581" s="3"/>
      <c r="C581" s="3"/>
      <c r="K581" s="3"/>
    </row>
    <row r="582" spans="2:11" ht="15.75" customHeight="1" x14ac:dyDescent="0.25">
      <c r="B582" s="3"/>
      <c r="C582" s="3"/>
      <c r="K582" s="3"/>
    </row>
    <row r="583" spans="2:11" ht="15.75" customHeight="1" x14ac:dyDescent="0.25">
      <c r="B583" s="3"/>
      <c r="C583" s="3"/>
      <c r="K583" s="3"/>
    </row>
    <row r="584" spans="2:11" ht="15.75" customHeight="1" x14ac:dyDescent="0.25">
      <c r="B584" s="3"/>
      <c r="C584" s="3"/>
      <c r="K584" s="3"/>
    </row>
    <row r="585" spans="2:11" ht="15.75" customHeight="1" x14ac:dyDescent="0.25">
      <c r="B585" s="3"/>
      <c r="C585" s="3"/>
      <c r="K585" s="3"/>
    </row>
    <row r="586" spans="2:11" ht="15.75" customHeight="1" x14ac:dyDescent="0.25">
      <c r="B586" s="3"/>
      <c r="C586" s="3"/>
      <c r="K586" s="3"/>
    </row>
    <row r="587" spans="2:11" ht="15.75" customHeight="1" x14ac:dyDescent="0.25">
      <c r="B587" s="3"/>
      <c r="C587" s="3"/>
      <c r="K587" s="3"/>
    </row>
    <row r="588" spans="2:11" ht="15.75" customHeight="1" x14ac:dyDescent="0.25">
      <c r="B588" s="3"/>
      <c r="C588" s="3"/>
      <c r="K588" s="3"/>
    </row>
    <row r="589" spans="2:11" ht="15.75" customHeight="1" x14ac:dyDescent="0.25">
      <c r="B589" s="3"/>
      <c r="C589" s="3"/>
      <c r="K589" s="3"/>
    </row>
    <row r="590" spans="2:11" ht="15.75" customHeight="1" x14ac:dyDescent="0.25">
      <c r="B590" s="3"/>
      <c r="C590" s="3"/>
      <c r="K590" s="3"/>
    </row>
    <row r="591" spans="2:11" ht="15.75" customHeight="1" x14ac:dyDescent="0.25">
      <c r="B591" s="3"/>
      <c r="C591" s="3"/>
      <c r="K591" s="3"/>
    </row>
    <row r="592" spans="2:11" ht="15.75" customHeight="1" x14ac:dyDescent="0.25">
      <c r="B592" s="3"/>
      <c r="C592" s="3"/>
      <c r="K592" s="3"/>
    </row>
    <row r="593" spans="2:11" ht="15.75" customHeight="1" x14ac:dyDescent="0.25">
      <c r="B593" s="3"/>
      <c r="C593" s="3"/>
      <c r="K593" s="3"/>
    </row>
    <row r="594" spans="2:11" ht="15.75" customHeight="1" x14ac:dyDescent="0.25">
      <c r="B594" s="3"/>
      <c r="C594" s="3"/>
      <c r="K594" s="3"/>
    </row>
    <row r="595" spans="2:11" ht="15.75" customHeight="1" x14ac:dyDescent="0.25">
      <c r="B595" s="3"/>
      <c r="C595" s="3"/>
      <c r="K595" s="3"/>
    </row>
    <row r="596" spans="2:11" ht="15.75" customHeight="1" x14ac:dyDescent="0.25">
      <c r="B596" s="3"/>
      <c r="C596" s="3"/>
      <c r="K596" s="3"/>
    </row>
    <row r="597" spans="2:11" ht="15.75" customHeight="1" x14ac:dyDescent="0.25">
      <c r="B597" s="3"/>
      <c r="C597" s="3"/>
      <c r="K597" s="3"/>
    </row>
    <row r="598" spans="2:11" ht="15.75" customHeight="1" x14ac:dyDescent="0.25">
      <c r="B598" s="3"/>
      <c r="C598" s="3"/>
      <c r="K598" s="3"/>
    </row>
    <row r="599" spans="2:11" ht="15.75" customHeight="1" x14ac:dyDescent="0.25">
      <c r="B599" s="3"/>
      <c r="C599" s="3"/>
      <c r="K599" s="3"/>
    </row>
    <row r="600" spans="2:11" ht="15.75" customHeight="1" x14ac:dyDescent="0.25">
      <c r="B600" s="3"/>
      <c r="C600" s="3"/>
      <c r="K600" s="3"/>
    </row>
    <row r="601" spans="2:11" ht="15.75" customHeight="1" x14ac:dyDescent="0.25">
      <c r="B601" s="3"/>
      <c r="C601" s="3"/>
      <c r="K601" s="3"/>
    </row>
    <row r="602" spans="2:11" ht="15.75" customHeight="1" x14ac:dyDescent="0.25">
      <c r="B602" s="3"/>
      <c r="C602" s="3"/>
      <c r="K602" s="3"/>
    </row>
    <row r="603" spans="2:11" ht="15.75" customHeight="1" x14ac:dyDescent="0.25">
      <c r="B603" s="3"/>
      <c r="C603" s="3"/>
      <c r="K603" s="3"/>
    </row>
    <row r="604" spans="2:11" ht="15.75" customHeight="1" x14ac:dyDescent="0.25">
      <c r="B604" s="3"/>
      <c r="C604" s="3"/>
      <c r="K604" s="3"/>
    </row>
    <row r="605" spans="2:11" ht="15.75" customHeight="1" x14ac:dyDescent="0.25">
      <c r="B605" s="3"/>
      <c r="C605" s="3"/>
      <c r="K605" s="3"/>
    </row>
    <row r="606" spans="2:11" ht="15.75" customHeight="1" x14ac:dyDescent="0.25">
      <c r="B606" s="3"/>
      <c r="C606" s="3"/>
      <c r="K606" s="3"/>
    </row>
    <row r="607" spans="2:11" ht="15.75" customHeight="1" x14ac:dyDescent="0.25">
      <c r="B607" s="3"/>
      <c r="C607" s="3"/>
      <c r="K607" s="3"/>
    </row>
    <row r="608" spans="2:11" ht="15.75" customHeight="1" x14ac:dyDescent="0.25">
      <c r="B608" s="3"/>
      <c r="C608" s="3"/>
      <c r="K608" s="3"/>
    </row>
    <row r="609" spans="2:11" ht="15.75" customHeight="1" x14ac:dyDescent="0.25">
      <c r="B609" s="3"/>
      <c r="C609" s="3"/>
      <c r="K609" s="3"/>
    </row>
    <row r="610" spans="2:11" ht="15.75" customHeight="1" x14ac:dyDescent="0.25">
      <c r="B610" s="3"/>
      <c r="C610" s="3"/>
      <c r="K610" s="3"/>
    </row>
    <row r="611" spans="2:11" ht="15.75" customHeight="1" x14ac:dyDescent="0.25">
      <c r="B611" s="3"/>
      <c r="C611" s="3"/>
      <c r="K611" s="3"/>
    </row>
    <row r="612" spans="2:11" ht="15.75" customHeight="1" x14ac:dyDescent="0.25">
      <c r="B612" s="3"/>
      <c r="C612" s="3"/>
      <c r="K612" s="3"/>
    </row>
    <row r="613" spans="2:11" ht="15.75" customHeight="1" x14ac:dyDescent="0.25">
      <c r="B613" s="3"/>
      <c r="C613" s="3"/>
      <c r="K613" s="3"/>
    </row>
    <row r="614" spans="2:11" ht="15.75" customHeight="1" x14ac:dyDescent="0.25">
      <c r="B614" s="3"/>
      <c r="C614" s="3"/>
      <c r="K614" s="3"/>
    </row>
    <row r="615" spans="2:11" ht="15.75" customHeight="1" x14ac:dyDescent="0.25">
      <c r="B615" s="3"/>
      <c r="C615" s="3"/>
      <c r="K615" s="3"/>
    </row>
    <row r="616" spans="2:11" ht="15.75" customHeight="1" x14ac:dyDescent="0.25">
      <c r="B616" s="3"/>
      <c r="C616" s="3"/>
      <c r="K616" s="3"/>
    </row>
    <row r="617" spans="2:11" ht="15.75" customHeight="1" x14ac:dyDescent="0.25">
      <c r="B617" s="3"/>
      <c r="C617" s="3"/>
      <c r="K617" s="3"/>
    </row>
    <row r="618" spans="2:11" ht="15.75" customHeight="1" x14ac:dyDescent="0.25">
      <c r="B618" s="3"/>
      <c r="C618" s="3"/>
      <c r="K618" s="3"/>
    </row>
    <row r="619" spans="2:11" ht="15.75" customHeight="1" x14ac:dyDescent="0.25">
      <c r="B619" s="3"/>
      <c r="C619" s="3"/>
      <c r="K619" s="3"/>
    </row>
    <row r="620" spans="2:11" ht="15.75" customHeight="1" x14ac:dyDescent="0.25">
      <c r="B620" s="3"/>
      <c r="C620" s="3"/>
      <c r="K620" s="3"/>
    </row>
    <row r="621" spans="2:11" ht="15.75" customHeight="1" x14ac:dyDescent="0.25">
      <c r="B621" s="3"/>
      <c r="C621" s="3"/>
      <c r="K621" s="3"/>
    </row>
    <row r="622" spans="2:11" ht="15.75" customHeight="1" x14ac:dyDescent="0.25">
      <c r="B622" s="3"/>
      <c r="C622" s="3"/>
      <c r="K622" s="3"/>
    </row>
    <row r="623" spans="2:11" ht="15.75" customHeight="1" x14ac:dyDescent="0.25">
      <c r="B623" s="3"/>
      <c r="C623" s="3"/>
      <c r="K623" s="3"/>
    </row>
    <row r="624" spans="2:11" ht="15.75" customHeight="1" x14ac:dyDescent="0.25">
      <c r="B624" s="3"/>
      <c r="C624" s="3"/>
      <c r="K624" s="3"/>
    </row>
    <row r="625" spans="2:11" ht="15.75" customHeight="1" x14ac:dyDescent="0.25">
      <c r="B625" s="3"/>
      <c r="C625" s="3"/>
      <c r="K625" s="3"/>
    </row>
    <row r="626" spans="2:11" ht="15.75" customHeight="1" x14ac:dyDescent="0.25">
      <c r="B626" s="3"/>
      <c r="C626" s="3"/>
      <c r="K626" s="3"/>
    </row>
    <row r="627" spans="2:11" ht="15.75" customHeight="1" x14ac:dyDescent="0.25">
      <c r="B627" s="3"/>
      <c r="C627" s="3"/>
      <c r="K627" s="3"/>
    </row>
    <row r="628" spans="2:11" ht="15.75" customHeight="1" x14ac:dyDescent="0.25">
      <c r="B628" s="3"/>
      <c r="C628" s="3"/>
      <c r="K628" s="3"/>
    </row>
    <row r="629" spans="2:11" ht="15.75" customHeight="1" x14ac:dyDescent="0.25">
      <c r="B629" s="3"/>
      <c r="C629" s="3"/>
      <c r="K629" s="3"/>
    </row>
    <row r="630" spans="2:11" ht="15.75" customHeight="1" x14ac:dyDescent="0.25">
      <c r="B630" s="3"/>
      <c r="C630" s="3"/>
      <c r="K630" s="3"/>
    </row>
    <row r="631" spans="2:11" ht="15.75" customHeight="1" x14ac:dyDescent="0.25">
      <c r="B631" s="3"/>
      <c r="C631" s="3"/>
      <c r="K631" s="3"/>
    </row>
    <row r="632" spans="2:11" ht="15.75" customHeight="1" x14ac:dyDescent="0.25">
      <c r="B632" s="3"/>
      <c r="C632" s="3"/>
      <c r="K632" s="3"/>
    </row>
    <row r="633" spans="2:11" ht="15.75" customHeight="1" x14ac:dyDescent="0.25">
      <c r="B633" s="3"/>
      <c r="C633" s="3"/>
      <c r="K633" s="3"/>
    </row>
    <row r="634" spans="2:11" ht="15.75" customHeight="1" x14ac:dyDescent="0.25">
      <c r="B634" s="3"/>
      <c r="C634" s="3"/>
      <c r="K634" s="3"/>
    </row>
    <row r="635" spans="2:11" ht="15.75" customHeight="1" x14ac:dyDescent="0.25">
      <c r="B635" s="3"/>
      <c r="C635" s="3"/>
      <c r="K635" s="3"/>
    </row>
    <row r="636" spans="2:11" ht="15.75" customHeight="1" x14ac:dyDescent="0.25">
      <c r="B636" s="3"/>
      <c r="C636" s="3"/>
      <c r="K636" s="3"/>
    </row>
    <row r="637" spans="2:11" ht="15.75" customHeight="1" x14ac:dyDescent="0.25">
      <c r="B637" s="3"/>
      <c r="C637" s="3"/>
      <c r="K637" s="3"/>
    </row>
    <row r="638" spans="2:11" ht="15.75" customHeight="1" x14ac:dyDescent="0.25">
      <c r="B638" s="3"/>
      <c r="C638" s="3"/>
      <c r="K638" s="3"/>
    </row>
    <row r="639" spans="2:11" ht="15.75" customHeight="1" x14ac:dyDescent="0.25">
      <c r="B639" s="3"/>
      <c r="C639" s="3"/>
      <c r="K639" s="3"/>
    </row>
    <row r="640" spans="2:11" ht="15.75" customHeight="1" x14ac:dyDescent="0.25">
      <c r="B640" s="3"/>
      <c r="C640" s="3"/>
      <c r="K640" s="3"/>
    </row>
    <row r="641" spans="2:11" ht="15.75" customHeight="1" x14ac:dyDescent="0.25">
      <c r="B641" s="3"/>
      <c r="C641" s="3"/>
      <c r="K641" s="3"/>
    </row>
    <row r="642" spans="2:11" ht="15.75" customHeight="1" x14ac:dyDescent="0.25">
      <c r="B642" s="3"/>
      <c r="C642" s="3"/>
      <c r="K642" s="3"/>
    </row>
    <row r="643" spans="2:11" ht="15.75" customHeight="1" x14ac:dyDescent="0.25">
      <c r="B643" s="3"/>
      <c r="C643" s="3"/>
      <c r="K643" s="3"/>
    </row>
    <row r="644" spans="2:11" ht="15.75" customHeight="1" x14ac:dyDescent="0.25">
      <c r="B644" s="3"/>
      <c r="C644" s="3"/>
      <c r="K644" s="3"/>
    </row>
    <row r="645" spans="2:11" ht="15.75" customHeight="1" x14ac:dyDescent="0.25">
      <c r="B645" s="3"/>
      <c r="C645" s="3"/>
      <c r="K645" s="3"/>
    </row>
    <row r="646" spans="2:11" ht="15.75" customHeight="1" x14ac:dyDescent="0.25">
      <c r="B646" s="3"/>
      <c r="C646" s="3"/>
      <c r="K646" s="3"/>
    </row>
    <row r="647" spans="2:11" ht="15.75" customHeight="1" x14ac:dyDescent="0.25">
      <c r="B647" s="3"/>
      <c r="C647" s="3"/>
      <c r="K647" s="3"/>
    </row>
    <row r="648" spans="2:11" ht="15.75" customHeight="1" x14ac:dyDescent="0.25">
      <c r="B648" s="3"/>
      <c r="C648" s="3"/>
      <c r="K648" s="3"/>
    </row>
    <row r="649" spans="2:11" ht="15.75" customHeight="1" x14ac:dyDescent="0.25">
      <c r="B649" s="3"/>
      <c r="C649" s="3"/>
      <c r="K649" s="3"/>
    </row>
    <row r="650" spans="2:11" ht="15.75" customHeight="1" x14ac:dyDescent="0.25">
      <c r="B650" s="3"/>
      <c r="C650" s="3"/>
      <c r="K650" s="3"/>
    </row>
    <row r="651" spans="2:11" ht="15.75" customHeight="1" x14ac:dyDescent="0.25">
      <c r="B651" s="3"/>
      <c r="C651" s="3"/>
      <c r="K651" s="3"/>
    </row>
    <row r="652" spans="2:11" ht="15.75" customHeight="1" x14ac:dyDescent="0.25">
      <c r="B652" s="3"/>
      <c r="C652" s="3"/>
      <c r="K652" s="3"/>
    </row>
    <row r="653" spans="2:11" ht="15.75" customHeight="1" x14ac:dyDescent="0.25">
      <c r="B653" s="3"/>
      <c r="C653" s="3"/>
      <c r="K653" s="3"/>
    </row>
    <row r="654" spans="2:11" ht="15.75" customHeight="1" x14ac:dyDescent="0.25">
      <c r="B654" s="3"/>
      <c r="C654" s="3"/>
      <c r="K654" s="3"/>
    </row>
    <row r="655" spans="2:11" ht="15.75" customHeight="1" x14ac:dyDescent="0.25">
      <c r="B655" s="3"/>
      <c r="C655" s="3"/>
      <c r="K655" s="3"/>
    </row>
    <row r="656" spans="2:11" ht="15.75" customHeight="1" x14ac:dyDescent="0.25">
      <c r="B656" s="3"/>
      <c r="C656" s="3"/>
      <c r="K656" s="3"/>
    </row>
    <row r="657" spans="2:11" ht="15.75" customHeight="1" x14ac:dyDescent="0.25">
      <c r="B657" s="3"/>
      <c r="C657" s="3"/>
      <c r="K657" s="3"/>
    </row>
    <row r="658" spans="2:11" ht="15.75" customHeight="1" x14ac:dyDescent="0.25">
      <c r="B658" s="3"/>
      <c r="C658" s="3"/>
      <c r="K658" s="3"/>
    </row>
    <row r="659" spans="2:11" ht="15.75" customHeight="1" x14ac:dyDescent="0.25">
      <c r="B659" s="3"/>
      <c r="C659" s="3"/>
      <c r="K659" s="3"/>
    </row>
    <row r="660" spans="2:11" ht="15.75" customHeight="1" x14ac:dyDescent="0.25">
      <c r="B660" s="3"/>
      <c r="C660" s="3"/>
      <c r="K660" s="3"/>
    </row>
    <row r="661" spans="2:11" ht="15.75" customHeight="1" x14ac:dyDescent="0.25">
      <c r="B661" s="3"/>
      <c r="C661" s="3"/>
      <c r="K661" s="3"/>
    </row>
    <row r="662" spans="2:11" ht="15.75" customHeight="1" x14ac:dyDescent="0.25">
      <c r="B662" s="3"/>
      <c r="C662" s="3"/>
      <c r="K662" s="3"/>
    </row>
    <row r="663" spans="2:11" ht="15.75" customHeight="1" x14ac:dyDescent="0.25">
      <c r="B663" s="3"/>
      <c r="C663" s="3"/>
      <c r="K663" s="3"/>
    </row>
    <row r="664" spans="2:11" ht="15.75" customHeight="1" x14ac:dyDescent="0.25">
      <c r="B664" s="3"/>
      <c r="C664" s="3"/>
      <c r="K664" s="3"/>
    </row>
    <row r="665" spans="2:11" ht="15.75" customHeight="1" x14ac:dyDescent="0.25">
      <c r="B665" s="3"/>
      <c r="C665" s="3"/>
      <c r="K665" s="3"/>
    </row>
    <row r="666" spans="2:11" ht="15.75" customHeight="1" x14ac:dyDescent="0.25">
      <c r="B666" s="3"/>
      <c r="C666" s="3"/>
      <c r="K666" s="3"/>
    </row>
    <row r="667" spans="2:11" ht="15.75" customHeight="1" x14ac:dyDescent="0.25">
      <c r="B667" s="3"/>
      <c r="C667" s="3"/>
      <c r="K667" s="3"/>
    </row>
    <row r="668" spans="2:11" ht="15.75" customHeight="1" x14ac:dyDescent="0.25">
      <c r="B668" s="3"/>
      <c r="C668" s="3"/>
      <c r="K668" s="3"/>
    </row>
    <row r="669" spans="2:11" ht="15.75" customHeight="1" x14ac:dyDescent="0.25">
      <c r="B669" s="3"/>
      <c r="C669" s="3"/>
      <c r="K669" s="3"/>
    </row>
    <row r="670" spans="2:11" ht="15.75" customHeight="1" x14ac:dyDescent="0.25">
      <c r="B670" s="3"/>
      <c r="C670" s="3"/>
      <c r="K670" s="3"/>
    </row>
    <row r="671" spans="2:11" ht="15.75" customHeight="1" x14ac:dyDescent="0.25">
      <c r="B671" s="3"/>
      <c r="C671" s="3"/>
      <c r="K671" s="3"/>
    </row>
    <row r="672" spans="2:11" ht="15.75" customHeight="1" x14ac:dyDescent="0.25">
      <c r="B672" s="3"/>
      <c r="C672" s="3"/>
      <c r="K672" s="3"/>
    </row>
    <row r="673" spans="2:11" ht="15.75" customHeight="1" x14ac:dyDescent="0.25">
      <c r="B673" s="3"/>
      <c r="C673" s="3"/>
      <c r="K673" s="3"/>
    </row>
    <row r="674" spans="2:11" ht="15.75" customHeight="1" x14ac:dyDescent="0.25">
      <c r="B674" s="3"/>
      <c r="C674" s="3"/>
      <c r="K674" s="3"/>
    </row>
    <row r="675" spans="2:11" ht="15.75" customHeight="1" x14ac:dyDescent="0.25">
      <c r="B675" s="3"/>
      <c r="C675" s="3"/>
      <c r="K675" s="3"/>
    </row>
    <row r="676" spans="2:11" ht="15.75" customHeight="1" x14ac:dyDescent="0.25">
      <c r="B676" s="3"/>
      <c r="C676" s="3"/>
      <c r="K676" s="3"/>
    </row>
    <row r="677" spans="2:11" ht="15.75" customHeight="1" x14ac:dyDescent="0.25">
      <c r="B677" s="3"/>
      <c r="C677" s="3"/>
      <c r="K677" s="3"/>
    </row>
    <row r="678" spans="2:11" ht="15.75" customHeight="1" x14ac:dyDescent="0.25">
      <c r="B678" s="3"/>
      <c r="C678" s="3"/>
      <c r="K678" s="3"/>
    </row>
    <row r="679" spans="2:11" ht="15.75" customHeight="1" x14ac:dyDescent="0.25">
      <c r="B679" s="3"/>
      <c r="C679" s="3"/>
      <c r="K679" s="3"/>
    </row>
    <row r="680" spans="2:11" ht="15.75" customHeight="1" x14ac:dyDescent="0.25">
      <c r="B680" s="3"/>
      <c r="C680" s="3"/>
      <c r="K680" s="3"/>
    </row>
    <row r="681" spans="2:11" ht="15.75" customHeight="1" x14ac:dyDescent="0.25">
      <c r="B681" s="3"/>
      <c r="C681" s="3"/>
      <c r="K681" s="3"/>
    </row>
    <row r="682" spans="2:11" ht="15.75" customHeight="1" x14ac:dyDescent="0.25">
      <c r="B682" s="3"/>
      <c r="C682" s="3"/>
      <c r="K682" s="3"/>
    </row>
    <row r="683" spans="2:11" ht="15.75" customHeight="1" x14ac:dyDescent="0.25">
      <c r="B683" s="3"/>
      <c r="C683" s="3"/>
      <c r="K683" s="3"/>
    </row>
    <row r="684" spans="2:11" ht="15.75" customHeight="1" x14ac:dyDescent="0.25">
      <c r="B684" s="3"/>
      <c r="C684" s="3"/>
      <c r="K684" s="3"/>
    </row>
    <row r="685" spans="2:11" ht="15.75" customHeight="1" x14ac:dyDescent="0.25">
      <c r="B685" s="3"/>
      <c r="C685" s="3"/>
      <c r="K685" s="3"/>
    </row>
    <row r="686" spans="2:11" ht="15.75" customHeight="1" x14ac:dyDescent="0.25">
      <c r="B686" s="3"/>
      <c r="C686" s="3"/>
      <c r="K686" s="3"/>
    </row>
    <row r="687" spans="2:11" ht="15.75" customHeight="1" x14ac:dyDescent="0.25">
      <c r="B687" s="3"/>
      <c r="C687" s="3"/>
      <c r="K687" s="3"/>
    </row>
    <row r="688" spans="2:11" ht="15.75" customHeight="1" x14ac:dyDescent="0.25">
      <c r="B688" s="3"/>
      <c r="C688" s="3"/>
      <c r="K688" s="3"/>
    </row>
    <row r="689" spans="2:11" ht="15.75" customHeight="1" x14ac:dyDescent="0.25">
      <c r="B689" s="3"/>
      <c r="C689" s="3"/>
      <c r="K689" s="3"/>
    </row>
    <row r="690" spans="2:11" ht="15.75" customHeight="1" x14ac:dyDescent="0.25">
      <c r="B690" s="3"/>
      <c r="C690" s="3"/>
      <c r="K690" s="3"/>
    </row>
    <row r="691" spans="2:11" ht="15.75" customHeight="1" x14ac:dyDescent="0.25">
      <c r="B691" s="3"/>
      <c r="C691" s="3"/>
      <c r="K691" s="3"/>
    </row>
    <row r="692" spans="2:11" ht="15.75" customHeight="1" x14ac:dyDescent="0.25">
      <c r="B692" s="3"/>
      <c r="C692" s="3"/>
      <c r="K692" s="3"/>
    </row>
    <row r="693" spans="2:11" ht="15.75" customHeight="1" x14ac:dyDescent="0.25">
      <c r="B693" s="3"/>
      <c r="C693" s="3"/>
      <c r="K693" s="3"/>
    </row>
    <row r="694" spans="2:11" ht="15.75" customHeight="1" x14ac:dyDescent="0.25">
      <c r="B694" s="3"/>
      <c r="C694" s="3"/>
      <c r="K694" s="3"/>
    </row>
    <row r="695" spans="2:11" ht="15.75" customHeight="1" x14ac:dyDescent="0.25">
      <c r="B695" s="3"/>
      <c r="C695" s="3"/>
      <c r="K695" s="3"/>
    </row>
    <row r="696" spans="2:11" ht="15.75" customHeight="1" x14ac:dyDescent="0.25">
      <c r="B696" s="3"/>
      <c r="C696" s="3"/>
      <c r="K696" s="3"/>
    </row>
    <row r="697" spans="2:11" ht="15.75" customHeight="1" x14ac:dyDescent="0.25">
      <c r="B697" s="3"/>
      <c r="C697" s="3"/>
      <c r="K697" s="3"/>
    </row>
    <row r="698" spans="2:11" ht="15.75" customHeight="1" x14ac:dyDescent="0.25">
      <c r="B698" s="3"/>
      <c r="C698" s="3"/>
      <c r="K698" s="3"/>
    </row>
    <row r="699" spans="2:11" ht="15.75" customHeight="1" x14ac:dyDescent="0.25">
      <c r="B699" s="3"/>
      <c r="C699" s="3"/>
      <c r="K699" s="3"/>
    </row>
    <row r="700" spans="2:11" ht="15.75" customHeight="1" x14ac:dyDescent="0.25">
      <c r="B700" s="3"/>
      <c r="C700" s="3"/>
      <c r="K700" s="3"/>
    </row>
    <row r="701" spans="2:11" ht="15.75" customHeight="1" x14ac:dyDescent="0.25">
      <c r="B701" s="3"/>
      <c r="C701" s="3"/>
      <c r="K701" s="3"/>
    </row>
    <row r="702" spans="2:11" ht="15.75" customHeight="1" x14ac:dyDescent="0.25">
      <c r="B702" s="3"/>
      <c r="C702" s="3"/>
      <c r="K702" s="3"/>
    </row>
    <row r="703" spans="2:11" ht="15.75" customHeight="1" x14ac:dyDescent="0.25">
      <c r="B703" s="3"/>
      <c r="C703" s="3"/>
      <c r="K703" s="3"/>
    </row>
    <row r="704" spans="2:11" ht="15.75" customHeight="1" x14ac:dyDescent="0.25">
      <c r="B704" s="3"/>
      <c r="C704" s="3"/>
      <c r="K704" s="3"/>
    </row>
    <row r="705" spans="2:11" ht="15.75" customHeight="1" x14ac:dyDescent="0.25">
      <c r="B705" s="3"/>
      <c r="C705" s="3"/>
      <c r="K705" s="3"/>
    </row>
    <row r="706" spans="2:11" ht="15.75" customHeight="1" x14ac:dyDescent="0.25">
      <c r="B706" s="3"/>
      <c r="C706" s="3"/>
      <c r="K706" s="3"/>
    </row>
    <row r="707" spans="2:11" ht="15.75" customHeight="1" x14ac:dyDescent="0.25">
      <c r="B707" s="3"/>
      <c r="C707" s="3"/>
      <c r="K707" s="3"/>
    </row>
    <row r="708" spans="2:11" ht="15.75" customHeight="1" x14ac:dyDescent="0.25">
      <c r="B708" s="3"/>
      <c r="C708" s="3"/>
      <c r="K708" s="3"/>
    </row>
    <row r="709" spans="2:11" ht="15.75" customHeight="1" x14ac:dyDescent="0.25">
      <c r="B709" s="3"/>
      <c r="C709" s="3"/>
      <c r="K709" s="3"/>
    </row>
    <row r="710" spans="2:11" ht="15.75" customHeight="1" x14ac:dyDescent="0.25">
      <c r="B710" s="3"/>
      <c r="C710" s="3"/>
      <c r="K710" s="3"/>
    </row>
    <row r="711" spans="2:11" ht="15.75" customHeight="1" x14ac:dyDescent="0.25">
      <c r="B711" s="3"/>
      <c r="C711" s="3"/>
      <c r="K711" s="3"/>
    </row>
    <row r="712" spans="2:11" ht="15.75" customHeight="1" x14ac:dyDescent="0.25">
      <c r="B712" s="3"/>
      <c r="C712" s="3"/>
      <c r="K712" s="3"/>
    </row>
    <row r="713" spans="2:11" ht="15.75" customHeight="1" x14ac:dyDescent="0.25">
      <c r="B713" s="3"/>
      <c r="C713" s="3"/>
      <c r="K713" s="3"/>
    </row>
    <row r="714" spans="2:11" ht="15.75" customHeight="1" x14ac:dyDescent="0.25">
      <c r="B714" s="3"/>
      <c r="C714" s="3"/>
      <c r="K714" s="3"/>
    </row>
    <row r="715" spans="2:11" ht="15.75" customHeight="1" x14ac:dyDescent="0.25">
      <c r="B715" s="3"/>
      <c r="C715" s="3"/>
      <c r="K715" s="3"/>
    </row>
    <row r="716" spans="2:11" ht="15.75" customHeight="1" x14ac:dyDescent="0.25">
      <c r="B716" s="3"/>
      <c r="C716" s="3"/>
      <c r="K716" s="3"/>
    </row>
    <row r="717" spans="2:11" ht="15.75" customHeight="1" x14ac:dyDescent="0.25">
      <c r="B717" s="3"/>
      <c r="C717" s="3"/>
      <c r="K717" s="3"/>
    </row>
    <row r="718" spans="2:11" ht="15.75" customHeight="1" x14ac:dyDescent="0.25">
      <c r="B718" s="3"/>
      <c r="C718" s="3"/>
      <c r="K718" s="3"/>
    </row>
    <row r="719" spans="2:11" ht="15.75" customHeight="1" x14ac:dyDescent="0.25">
      <c r="B719" s="3"/>
      <c r="C719" s="3"/>
      <c r="K719" s="3"/>
    </row>
    <row r="720" spans="2:11" ht="15.75" customHeight="1" x14ac:dyDescent="0.25">
      <c r="B720" s="3"/>
      <c r="C720" s="3"/>
      <c r="K720" s="3"/>
    </row>
    <row r="721" spans="2:11" ht="15.75" customHeight="1" x14ac:dyDescent="0.25">
      <c r="B721" s="3"/>
      <c r="C721" s="3"/>
      <c r="K721" s="3"/>
    </row>
    <row r="722" spans="2:11" ht="15.75" customHeight="1" x14ac:dyDescent="0.25">
      <c r="B722" s="3"/>
      <c r="C722" s="3"/>
      <c r="K722" s="3"/>
    </row>
    <row r="723" spans="2:11" ht="15.75" customHeight="1" x14ac:dyDescent="0.25">
      <c r="B723" s="3"/>
      <c r="C723" s="3"/>
      <c r="K723" s="3"/>
    </row>
    <row r="724" spans="2:11" ht="15.75" customHeight="1" x14ac:dyDescent="0.25">
      <c r="B724" s="3"/>
      <c r="C724" s="3"/>
      <c r="K724" s="3"/>
    </row>
    <row r="725" spans="2:11" ht="15.75" customHeight="1" x14ac:dyDescent="0.25">
      <c r="B725" s="3"/>
      <c r="C725" s="3"/>
      <c r="K725" s="3"/>
    </row>
    <row r="726" spans="2:11" ht="15.75" customHeight="1" x14ac:dyDescent="0.25">
      <c r="B726" s="3"/>
      <c r="C726" s="3"/>
      <c r="K726" s="3"/>
    </row>
    <row r="727" spans="2:11" ht="15.75" customHeight="1" x14ac:dyDescent="0.25">
      <c r="B727" s="3"/>
      <c r="C727" s="3"/>
      <c r="K727" s="3"/>
    </row>
    <row r="728" spans="2:11" ht="15.75" customHeight="1" x14ac:dyDescent="0.25">
      <c r="B728" s="3"/>
      <c r="C728" s="3"/>
      <c r="K728" s="3"/>
    </row>
    <row r="729" spans="2:11" ht="15.75" customHeight="1" x14ac:dyDescent="0.25">
      <c r="B729" s="3"/>
      <c r="C729" s="3"/>
      <c r="K729" s="3"/>
    </row>
    <row r="730" spans="2:11" ht="15.75" customHeight="1" x14ac:dyDescent="0.25">
      <c r="B730" s="3"/>
      <c r="C730" s="3"/>
      <c r="K730" s="3"/>
    </row>
    <row r="731" spans="2:11" ht="15.75" customHeight="1" x14ac:dyDescent="0.25">
      <c r="B731" s="3"/>
      <c r="C731" s="3"/>
      <c r="K731" s="3"/>
    </row>
    <row r="732" spans="2:11" ht="15.75" customHeight="1" x14ac:dyDescent="0.25">
      <c r="B732" s="3"/>
      <c r="C732" s="3"/>
      <c r="K732" s="3"/>
    </row>
    <row r="733" spans="2:11" ht="15.75" customHeight="1" x14ac:dyDescent="0.25">
      <c r="B733" s="3"/>
      <c r="C733" s="3"/>
      <c r="K733" s="3"/>
    </row>
    <row r="734" spans="2:11" ht="15.75" customHeight="1" x14ac:dyDescent="0.25">
      <c r="B734" s="3"/>
      <c r="C734" s="3"/>
      <c r="K734" s="3"/>
    </row>
    <row r="735" spans="2:11" ht="15.75" customHeight="1" x14ac:dyDescent="0.25">
      <c r="B735" s="3"/>
      <c r="C735" s="3"/>
      <c r="K735" s="3"/>
    </row>
    <row r="736" spans="2:11" ht="15.75" customHeight="1" x14ac:dyDescent="0.25">
      <c r="B736" s="3"/>
      <c r="C736" s="3"/>
      <c r="K736" s="3"/>
    </row>
    <row r="737" spans="2:11" ht="15.75" customHeight="1" x14ac:dyDescent="0.25">
      <c r="B737" s="3"/>
      <c r="C737" s="3"/>
      <c r="K737" s="3"/>
    </row>
    <row r="738" spans="2:11" ht="15.75" customHeight="1" x14ac:dyDescent="0.25">
      <c r="B738" s="3"/>
      <c r="C738" s="3"/>
      <c r="K738" s="3"/>
    </row>
    <row r="739" spans="2:11" ht="15.75" customHeight="1" x14ac:dyDescent="0.25">
      <c r="B739" s="3"/>
      <c r="C739" s="3"/>
      <c r="K739" s="3"/>
    </row>
    <row r="740" spans="2:11" ht="15.75" customHeight="1" x14ac:dyDescent="0.25">
      <c r="B740" s="3"/>
      <c r="C740" s="3"/>
      <c r="K740" s="3"/>
    </row>
    <row r="741" spans="2:11" ht="15.75" customHeight="1" x14ac:dyDescent="0.25">
      <c r="B741" s="3"/>
      <c r="C741" s="3"/>
      <c r="K741" s="3"/>
    </row>
    <row r="742" spans="2:11" ht="15.75" customHeight="1" x14ac:dyDescent="0.25">
      <c r="B742" s="3"/>
      <c r="C742" s="3"/>
      <c r="K742" s="3"/>
    </row>
    <row r="743" spans="2:11" ht="15.75" customHeight="1" x14ac:dyDescent="0.25">
      <c r="B743" s="3"/>
      <c r="C743" s="3"/>
      <c r="K743" s="3"/>
    </row>
    <row r="744" spans="2:11" ht="15.75" customHeight="1" x14ac:dyDescent="0.25">
      <c r="B744" s="3"/>
      <c r="C744" s="3"/>
      <c r="K744" s="3"/>
    </row>
    <row r="745" spans="2:11" ht="15.75" customHeight="1" x14ac:dyDescent="0.25">
      <c r="B745" s="3"/>
      <c r="C745" s="3"/>
      <c r="K745" s="3"/>
    </row>
    <row r="746" spans="2:11" ht="15.75" customHeight="1" x14ac:dyDescent="0.25">
      <c r="B746" s="3"/>
      <c r="C746" s="3"/>
      <c r="K746" s="3"/>
    </row>
    <row r="747" spans="2:11" ht="15.75" customHeight="1" x14ac:dyDescent="0.25">
      <c r="B747" s="3"/>
      <c r="C747" s="3"/>
      <c r="K747" s="3"/>
    </row>
    <row r="748" spans="2:11" ht="15.75" customHeight="1" x14ac:dyDescent="0.25">
      <c r="B748" s="3"/>
      <c r="C748" s="3"/>
      <c r="K748" s="3"/>
    </row>
    <row r="749" spans="2:11" ht="15.75" customHeight="1" x14ac:dyDescent="0.25">
      <c r="B749" s="3"/>
      <c r="C749" s="3"/>
      <c r="K749" s="3"/>
    </row>
    <row r="750" spans="2:11" ht="15.75" customHeight="1" x14ac:dyDescent="0.25">
      <c r="B750" s="3"/>
      <c r="C750" s="3"/>
      <c r="K750" s="3"/>
    </row>
    <row r="751" spans="2:11" ht="15.75" customHeight="1" x14ac:dyDescent="0.25">
      <c r="B751" s="3"/>
      <c r="C751" s="3"/>
      <c r="K751" s="3"/>
    </row>
    <row r="752" spans="2:11" ht="15.75" customHeight="1" x14ac:dyDescent="0.25">
      <c r="B752" s="3"/>
      <c r="C752" s="3"/>
      <c r="K752" s="3"/>
    </row>
    <row r="753" spans="2:11" ht="15.75" customHeight="1" x14ac:dyDescent="0.25">
      <c r="B753" s="3"/>
      <c r="C753" s="3"/>
      <c r="K753" s="3"/>
    </row>
    <row r="754" spans="2:11" ht="15.75" customHeight="1" x14ac:dyDescent="0.25">
      <c r="B754" s="3"/>
      <c r="C754" s="3"/>
      <c r="K754" s="3"/>
    </row>
    <row r="755" spans="2:11" ht="15.75" customHeight="1" x14ac:dyDescent="0.25">
      <c r="B755" s="3"/>
      <c r="C755" s="3"/>
      <c r="K755" s="3"/>
    </row>
    <row r="756" spans="2:11" ht="15.75" customHeight="1" x14ac:dyDescent="0.25">
      <c r="B756" s="3"/>
      <c r="C756" s="3"/>
      <c r="K756" s="3"/>
    </row>
    <row r="757" spans="2:11" ht="15.75" customHeight="1" x14ac:dyDescent="0.25">
      <c r="B757" s="3"/>
      <c r="C757" s="3"/>
      <c r="K757" s="3"/>
    </row>
    <row r="758" spans="2:11" ht="15.75" customHeight="1" x14ac:dyDescent="0.25">
      <c r="B758" s="3"/>
      <c r="C758" s="3"/>
      <c r="K758" s="3"/>
    </row>
    <row r="759" spans="2:11" ht="15.75" customHeight="1" x14ac:dyDescent="0.25">
      <c r="B759" s="3"/>
      <c r="C759" s="3"/>
      <c r="K759" s="3"/>
    </row>
    <row r="760" spans="2:11" ht="15.75" customHeight="1" x14ac:dyDescent="0.25">
      <c r="B760" s="3"/>
      <c r="C760" s="3"/>
      <c r="K760" s="3"/>
    </row>
    <row r="761" spans="2:11" ht="15.75" customHeight="1" x14ac:dyDescent="0.25">
      <c r="B761" s="3"/>
      <c r="C761" s="3"/>
      <c r="K761" s="3"/>
    </row>
    <row r="762" spans="2:11" ht="15.75" customHeight="1" x14ac:dyDescent="0.25">
      <c r="B762" s="3"/>
      <c r="C762" s="3"/>
      <c r="K762" s="3"/>
    </row>
    <row r="763" spans="2:11" ht="15.75" customHeight="1" x14ac:dyDescent="0.25">
      <c r="B763" s="3"/>
      <c r="C763" s="3"/>
      <c r="K763" s="3"/>
    </row>
    <row r="764" spans="2:11" ht="15.75" customHeight="1" x14ac:dyDescent="0.25">
      <c r="B764" s="3"/>
      <c r="C764" s="3"/>
      <c r="K764" s="3"/>
    </row>
    <row r="765" spans="2:11" ht="15.75" customHeight="1" x14ac:dyDescent="0.25">
      <c r="B765" s="3"/>
      <c r="C765" s="3"/>
      <c r="K765" s="3"/>
    </row>
    <row r="766" spans="2:11" ht="15.75" customHeight="1" x14ac:dyDescent="0.25">
      <c r="B766" s="3"/>
      <c r="C766" s="3"/>
      <c r="K766" s="3"/>
    </row>
    <row r="767" spans="2:11" ht="15.75" customHeight="1" x14ac:dyDescent="0.25">
      <c r="B767" s="3"/>
      <c r="C767" s="3"/>
      <c r="K767" s="3"/>
    </row>
    <row r="768" spans="2:11" ht="15.75" customHeight="1" x14ac:dyDescent="0.25">
      <c r="B768" s="3"/>
      <c r="C768" s="3"/>
      <c r="K768" s="3"/>
    </row>
    <row r="769" spans="2:11" ht="15.75" customHeight="1" x14ac:dyDescent="0.25">
      <c r="B769" s="3"/>
      <c r="C769" s="3"/>
      <c r="K769" s="3"/>
    </row>
    <row r="770" spans="2:11" ht="15.75" customHeight="1" x14ac:dyDescent="0.25">
      <c r="B770" s="3"/>
      <c r="C770" s="3"/>
      <c r="K770" s="3"/>
    </row>
    <row r="771" spans="2:11" ht="15.75" customHeight="1" x14ac:dyDescent="0.25">
      <c r="B771" s="3"/>
      <c r="C771" s="3"/>
      <c r="K771" s="3"/>
    </row>
    <row r="772" spans="2:11" ht="15.75" customHeight="1" x14ac:dyDescent="0.25">
      <c r="B772" s="3"/>
      <c r="C772" s="3"/>
      <c r="K772" s="3"/>
    </row>
    <row r="773" spans="2:11" ht="15.75" customHeight="1" x14ac:dyDescent="0.25">
      <c r="B773" s="3"/>
      <c r="C773" s="3"/>
      <c r="K773" s="3"/>
    </row>
    <row r="774" spans="2:11" ht="15.75" customHeight="1" x14ac:dyDescent="0.25">
      <c r="B774" s="3"/>
      <c r="C774" s="3"/>
      <c r="K774" s="3"/>
    </row>
    <row r="775" spans="2:11" ht="15.75" customHeight="1" x14ac:dyDescent="0.25">
      <c r="B775" s="3"/>
      <c r="C775" s="3"/>
      <c r="K775" s="3"/>
    </row>
    <row r="776" spans="2:11" ht="15.75" customHeight="1" x14ac:dyDescent="0.25">
      <c r="B776" s="3"/>
      <c r="C776" s="3"/>
      <c r="K776" s="3"/>
    </row>
    <row r="777" spans="2:11" ht="15.75" customHeight="1" x14ac:dyDescent="0.25">
      <c r="B777" s="3"/>
      <c r="C777" s="3"/>
      <c r="K777" s="3"/>
    </row>
    <row r="778" spans="2:11" ht="15.75" customHeight="1" x14ac:dyDescent="0.25">
      <c r="B778" s="3"/>
      <c r="C778" s="3"/>
      <c r="K778" s="3"/>
    </row>
    <row r="779" spans="2:11" ht="15.75" customHeight="1" x14ac:dyDescent="0.25">
      <c r="B779" s="3"/>
      <c r="C779" s="3"/>
      <c r="K779" s="3"/>
    </row>
    <row r="780" spans="2:11" ht="15.75" customHeight="1" x14ac:dyDescent="0.25">
      <c r="B780" s="3"/>
      <c r="C780" s="3"/>
      <c r="K780" s="3"/>
    </row>
    <row r="781" spans="2:11" ht="15.75" customHeight="1" x14ac:dyDescent="0.25">
      <c r="B781" s="3"/>
      <c r="C781" s="3"/>
      <c r="K781" s="3"/>
    </row>
    <row r="782" spans="2:11" ht="15.75" customHeight="1" x14ac:dyDescent="0.25">
      <c r="B782" s="3"/>
      <c r="C782" s="3"/>
      <c r="K782" s="3"/>
    </row>
    <row r="783" spans="2:11" ht="15.75" customHeight="1" x14ac:dyDescent="0.25">
      <c r="B783" s="3"/>
      <c r="C783" s="3"/>
      <c r="K783" s="3"/>
    </row>
    <row r="784" spans="2:11" ht="15.75" customHeight="1" x14ac:dyDescent="0.25">
      <c r="B784" s="3"/>
      <c r="C784" s="3"/>
      <c r="K784" s="3"/>
    </row>
    <row r="785" spans="2:11" ht="15.75" customHeight="1" x14ac:dyDescent="0.25">
      <c r="B785" s="3"/>
      <c r="C785" s="3"/>
      <c r="K785" s="3"/>
    </row>
    <row r="786" spans="2:11" ht="15.75" customHeight="1" x14ac:dyDescent="0.25">
      <c r="B786" s="3"/>
      <c r="C786" s="3"/>
      <c r="K786" s="3"/>
    </row>
    <row r="787" spans="2:11" ht="15.75" customHeight="1" x14ac:dyDescent="0.25">
      <c r="B787" s="3"/>
      <c r="C787" s="3"/>
      <c r="K787" s="3"/>
    </row>
    <row r="788" spans="2:11" ht="15.75" customHeight="1" x14ac:dyDescent="0.25">
      <c r="B788" s="3"/>
      <c r="C788" s="3"/>
      <c r="K788" s="3"/>
    </row>
    <row r="789" spans="2:11" ht="15.75" customHeight="1" x14ac:dyDescent="0.25">
      <c r="B789" s="3"/>
      <c r="C789" s="3"/>
      <c r="K789" s="3"/>
    </row>
    <row r="790" spans="2:11" ht="15.75" customHeight="1" x14ac:dyDescent="0.25">
      <c r="B790" s="3"/>
      <c r="C790" s="3"/>
      <c r="K790" s="3"/>
    </row>
    <row r="791" spans="2:11" ht="15.75" customHeight="1" x14ac:dyDescent="0.25">
      <c r="B791" s="3"/>
      <c r="C791" s="3"/>
      <c r="K791" s="3"/>
    </row>
    <row r="792" spans="2:11" ht="15.75" customHeight="1" x14ac:dyDescent="0.25">
      <c r="B792" s="3"/>
      <c r="C792" s="3"/>
      <c r="K792" s="3"/>
    </row>
    <row r="793" spans="2:11" ht="15.75" customHeight="1" x14ac:dyDescent="0.25">
      <c r="B793" s="3"/>
      <c r="C793" s="3"/>
      <c r="K793" s="3"/>
    </row>
    <row r="794" spans="2:11" ht="15.75" customHeight="1" x14ac:dyDescent="0.25">
      <c r="B794" s="3"/>
      <c r="C794" s="3"/>
      <c r="K794" s="3"/>
    </row>
    <row r="795" spans="2:11" ht="15.75" customHeight="1" x14ac:dyDescent="0.25">
      <c r="B795" s="3"/>
      <c r="C795" s="3"/>
      <c r="K795" s="3"/>
    </row>
    <row r="796" spans="2:11" ht="15.75" customHeight="1" x14ac:dyDescent="0.25">
      <c r="B796" s="3"/>
      <c r="C796" s="3"/>
      <c r="K796" s="3"/>
    </row>
    <row r="797" spans="2:11" ht="15.75" customHeight="1" x14ac:dyDescent="0.25">
      <c r="B797" s="3"/>
      <c r="C797" s="3"/>
      <c r="K797" s="3"/>
    </row>
    <row r="798" spans="2:11" ht="15.75" customHeight="1" x14ac:dyDescent="0.25">
      <c r="B798" s="3"/>
      <c r="C798" s="3"/>
      <c r="K798" s="3"/>
    </row>
    <row r="799" spans="2:11" ht="15.75" customHeight="1" x14ac:dyDescent="0.25">
      <c r="B799" s="3"/>
      <c r="C799" s="3"/>
      <c r="K799" s="3"/>
    </row>
    <row r="800" spans="2:11" ht="15.75" customHeight="1" x14ac:dyDescent="0.25">
      <c r="B800" s="3"/>
      <c r="C800" s="3"/>
      <c r="K800" s="3"/>
    </row>
    <row r="801" spans="2:11" ht="15.75" customHeight="1" x14ac:dyDescent="0.25">
      <c r="B801" s="3"/>
      <c r="C801" s="3"/>
      <c r="K801" s="3"/>
    </row>
    <row r="802" spans="2:11" ht="15.75" customHeight="1" x14ac:dyDescent="0.25">
      <c r="B802" s="3"/>
      <c r="C802" s="3"/>
      <c r="K802" s="3"/>
    </row>
    <row r="803" spans="2:11" ht="15.75" customHeight="1" x14ac:dyDescent="0.25">
      <c r="B803" s="3"/>
      <c r="C803" s="3"/>
      <c r="K803" s="3"/>
    </row>
    <row r="804" spans="2:11" ht="15.75" customHeight="1" x14ac:dyDescent="0.25">
      <c r="B804" s="3"/>
      <c r="C804" s="3"/>
      <c r="K804" s="3"/>
    </row>
    <row r="805" spans="2:11" ht="15.75" customHeight="1" x14ac:dyDescent="0.25">
      <c r="B805" s="3"/>
      <c r="C805" s="3"/>
      <c r="K805" s="3"/>
    </row>
    <row r="806" spans="2:11" ht="15.75" customHeight="1" x14ac:dyDescent="0.25">
      <c r="B806" s="3"/>
      <c r="C806" s="3"/>
      <c r="K806" s="3"/>
    </row>
    <row r="807" spans="2:11" ht="15.75" customHeight="1" x14ac:dyDescent="0.25">
      <c r="B807" s="3"/>
      <c r="C807" s="3"/>
      <c r="K807" s="3"/>
    </row>
    <row r="808" spans="2:11" ht="15.75" customHeight="1" x14ac:dyDescent="0.25">
      <c r="B808" s="3"/>
      <c r="C808" s="3"/>
      <c r="K808" s="3"/>
    </row>
    <row r="809" spans="2:11" ht="15.75" customHeight="1" x14ac:dyDescent="0.25">
      <c r="B809" s="3"/>
      <c r="C809" s="3"/>
      <c r="K809" s="3"/>
    </row>
    <row r="810" spans="2:11" ht="15.75" customHeight="1" x14ac:dyDescent="0.25">
      <c r="B810" s="3"/>
      <c r="C810" s="3"/>
      <c r="K810" s="3"/>
    </row>
    <row r="811" spans="2:11" ht="15.75" customHeight="1" x14ac:dyDescent="0.25">
      <c r="B811" s="3"/>
      <c r="C811" s="3"/>
      <c r="K811" s="3"/>
    </row>
    <row r="812" spans="2:11" ht="15.75" customHeight="1" x14ac:dyDescent="0.25">
      <c r="B812" s="3"/>
      <c r="C812" s="3"/>
      <c r="K812" s="3"/>
    </row>
    <row r="813" spans="2:11" ht="15.75" customHeight="1" x14ac:dyDescent="0.25">
      <c r="B813" s="3"/>
      <c r="C813" s="3"/>
      <c r="K813" s="3"/>
    </row>
    <row r="814" spans="2:11" ht="15.75" customHeight="1" x14ac:dyDescent="0.25">
      <c r="B814" s="3"/>
      <c r="C814" s="3"/>
      <c r="K814" s="3"/>
    </row>
    <row r="815" spans="2:11" ht="15.75" customHeight="1" x14ac:dyDescent="0.25">
      <c r="B815" s="3"/>
      <c r="C815" s="3"/>
      <c r="K815" s="3"/>
    </row>
    <row r="816" spans="2:11" ht="15.75" customHeight="1" x14ac:dyDescent="0.25">
      <c r="B816" s="3"/>
      <c r="C816" s="3"/>
      <c r="K816" s="3"/>
    </row>
    <row r="817" spans="2:11" ht="15.75" customHeight="1" x14ac:dyDescent="0.25">
      <c r="B817" s="3"/>
      <c r="C817" s="3"/>
      <c r="K817" s="3"/>
    </row>
    <row r="818" spans="2:11" ht="15.75" customHeight="1" x14ac:dyDescent="0.25">
      <c r="B818" s="3"/>
      <c r="C818" s="3"/>
      <c r="K818" s="3"/>
    </row>
    <row r="819" spans="2:11" ht="15.75" customHeight="1" x14ac:dyDescent="0.25">
      <c r="B819" s="3"/>
      <c r="C819" s="3"/>
      <c r="K819" s="3"/>
    </row>
    <row r="820" spans="2:11" ht="15.75" customHeight="1" x14ac:dyDescent="0.25">
      <c r="B820" s="3"/>
      <c r="C820" s="3"/>
      <c r="K820" s="3"/>
    </row>
    <row r="821" spans="2:11" ht="15.75" customHeight="1" x14ac:dyDescent="0.25">
      <c r="B821" s="3"/>
      <c r="C821" s="3"/>
      <c r="K821" s="3"/>
    </row>
    <row r="822" spans="2:11" ht="15.75" customHeight="1" x14ac:dyDescent="0.25">
      <c r="B822" s="3"/>
      <c r="C822" s="3"/>
      <c r="K822" s="3"/>
    </row>
    <row r="823" spans="2:11" ht="15.75" customHeight="1" x14ac:dyDescent="0.25">
      <c r="B823" s="3"/>
      <c r="C823" s="3"/>
      <c r="K823" s="3"/>
    </row>
    <row r="824" spans="2:11" ht="15.75" customHeight="1" x14ac:dyDescent="0.25">
      <c r="B824" s="3"/>
      <c r="C824" s="3"/>
      <c r="K824" s="3"/>
    </row>
    <row r="825" spans="2:11" ht="15.75" customHeight="1" x14ac:dyDescent="0.25">
      <c r="B825" s="3"/>
      <c r="C825" s="3"/>
      <c r="K825" s="3"/>
    </row>
    <row r="826" spans="2:11" ht="15.75" customHeight="1" x14ac:dyDescent="0.25">
      <c r="B826" s="3"/>
      <c r="C826" s="3"/>
      <c r="K826" s="3"/>
    </row>
    <row r="827" spans="2:11" ht="15.75" customHeight="1" x14ac:dyDescent="0.25">
      <c r="B827" s="3"/>
      <c r="C827" s="3"/>
      <c r="K827" s="3"/>
    </row>
    <row r="828" spans="2:11" ht="15.75" customHeight="1" x14ac:dyDescent="0.25">
      <c r="B828" s="3"/>
      <c r="C828" s="3"/>
      <c r="K828" s="3"/>
    </row>
    <row r="829" spans="2:11" ht="15.75" customHeight="1" x14ac:dyDescent="0.25">
      <c r="B829" s="3"/>
      <c r="C829" s="3"/>
      <c r="K829" s="3"/>
    </row>
    <row r="830" spans="2:11" ht="15.75" customHeight="1" x14ac:dyDescent="0.25">
      <c r="B830" s="3"/>
      <c r="C830" s="3"/>
      <c r="K830" s="3"/>
    </row>
    <row r="831" spans="2:11" ht="15.75" customHeight="1" x14ac:dyDescent="0.25">
      <c r="B831" s="3"/>
      <c r="C831" s="3"/>
      <c r="K831" s="3"/>
    </row>
    <row r="832" spans="2:11" ht="15.75" customHeight="1" x14ac:dyDescent="0.25">
      <c r="B832" s="3"/>
      <c r="C832" s="3"/>
      <c r="K832" s="3"/>
    </row>
    <row r="833" spans="2:11" ht="15.75" customHeight="1" x14ac:dyDescent="0.25">
      <c r="B833" s="3"/>
      <c r="C833" s="3"/>
      <c r="K833" s="3"/>
    </row>
    <row r="834" spans="2:11" ht="15.75" customHeight="1" x14ac:dyDescent="0.25">
      <c r="B834" s="3"/>
      <c r="C834" s="3"/>
      <c r="K834" s="3"/>
    </row>
    <row r="835" spans="2:11" ht="15.75" customHeight="1" x14ac:dyDescent="0.25">
      <c r="B835" s="3"/>
      <c r="C835" s="3"/>
      <c r="K835" s="3"/>
    </row>
    <row r="836" spans="2:11" ht="15.75" customHeight="1" x14ac:dyDescent="0.25">
      <c r="B836" s="3"/>
      <c r="C836" s="3"/>
      <c r="K836" s="3"/>
    </row>
    <row r="837" spans="2:11" ht="15.75" customHeight="1" x14ac:dyDescent="0.25">
      <c r="B837" s="3"/>
      <c r="C837" s="3"/>
      <c r="K837" s="3"/>
    </row>
    <row r="838" spans="2:11" ht="15.75" customHeight="1" x14ac:dyDescent="0.25">
      <c r="B838" s="3"/>
      <c r="C838" s="3"/>
      <c r="K838" s="3"/>
    </row>
    <row r="839" spans="2:11" ht="15.75" customHeight="1" x14ac:dyDescent="0.25">
      <c r="B839" s="3"/>
      <c r="C839" s="3"/>
      <c r="K839" s="3"/>
    </row>
    <row r="840" spans="2:11" ht="15.75" customHeight="1" x14ac:dyDescent="0.25">
      <c r="B840" s="3"/>
      <c r="C840" s="3"/>
      <c r="K840" s="3"/>
    </row>
    <row r="841" spans="2:11" ht="15.75" customHeight="1" x14ac:dyDescent="0.25">
      <c r="B841" s="3"/>
      <c r="C841" s="3"/>
      <c r="K841" s="3"/>
    </row>
    <row r="842" spans="2:11" ht="15.75" customHeight="1" x14ac:dyDescent="0.25">
      <c r="B842" s="3"/>
      <c r="C842" s="3"/>
      <c r="K842" s="3"/>
    </row>
    <row r="843" spans="2:11" ht="15.75" customHeight="1" x14ac:dyDescent="0.25">
      <c r="B843" s="3"/>
      <c r="C843" s="3"/>
      <c r="K843" s="3"/>
    </row>
    <row r="844" spans="2:11" ht="15.75" customHeight="1" x14ac:dyDescent="0.25">
      <c r="B844" s="3"/>
      <c r="C844" s="3"/>
      <c r="K844" s="3"/>
    </row>
    <row r="845" spans="2:11" ht="15.75" customHeight="1" x14ac:dyDescent="0.25">
      <c r="B845" s="3"/>
      <c r="C845" s="3"/>
      <c r="K845" s="3"/>
    </row>
    <row r="846" spans="2:11" ht="15.75" customHeight="1" x14ac:dyDescent="0.25">
      <c r="B846" s="3"/>
      <c r="C846" s="3"/>
      <c r="K846" s="3"/>
    </row>
    <row r="847" spans="2:11" ht="15.75" customHeight="1" x14ac:dyDescent="0.25">
      <c r="B847" s="3"/>
      <c r="C847" s="3"/>
      <c r="K847" s="3"/>
    </row>
    <row r="848" spans="2:11" ht="15.75" customHeight="1" x14ac:dyDescent="0.25">
      <c r="B848" s="3"/>
      <c r="C848" s="3"/>
      <c r="K848" s="3"/>
    </row>
    <row r="849" spans="2:11" ht="15.75" customHeight="1" x14ac:dyDescent="0.25">
      <c r="B849" s="3"/>
      <c r="C849" s="3"/>
      <c r="K849" s="3"/>
    </row>
    <row r="850" spans="2:11" ht="15.75" customHeight="1" x14ac:dyDescent="0.25">
      <c r="B850" s="3"/>
      <c r="C850" s="3"/>
      <c r="K850" s="3"/>
    </row>
    <row r="851" spans="2:11" ht="15.75" customHeight="1" x14ac:dyDescent="0.25">
      <c r="B851" s="3"/>
      <c r="C851" s="3"/>
      <c r="K851" s="3"/>
    </row>
    <row r="852" spans="2:11" ht="15.75" customHeight="1" x14ac:dyDescent="0.25">
      <c r="B852" s="3"/>
      <c r="C852" s="3"/>
      <c r="K852" s="3"/>
    </row>
    <row r="853" spans="2:11" ht="15.75" customHeight="1" x14ac:dyDescent="0.25">
      <c r="B853" s="3"/>
      <c r="C853" s="3"/>
      <c r="K853" s="3"/>
    </row>
    <row r="854" spans="2:11" ht="15.75" customHeight="1" x14ac:dyDescent="0.25">
      <c r="B854" s="3"/>
      <c r="C854" s="3"/>
      <c r="K854" s="3"/>
    </row>
    <row r="855" spans="2:11" ht="15.75" customHeight="1" x14ac:dyDescent="0.25">
      <c r="B855" s="3"/>
      <c r="C855" s="3"/>
      <c r="K855" s="3"/>
    </row>
    <row r="856" spans="2:11" ht="15.75" customHeight="1" x14ac:dyDescent="0.25">
      <c r="B856" s="3"/>
      <c r="C856" s="3"/>
      <c r="K856" s="3"/>
    </row>
    <row r="857" spans="2:11" ht="15.75" customHeight="1" x14ac:dyDescent="0.25">
      <c r="B857" s="3"/>
      <c r="C857" s="3"/>
      <c r="K857" s="3"/>
    </row>
    <row r="858" spans="2:11" ht="15.75" customHeight="1" x14ac:dyDescent="0.25">
      <c r="B858" s="3"/>
      <c r="C858" s="3"/>
      <c r="K858" s="3"/>
    </row>
    <row r="859" spans="2:11" ht="15.75" customHeight="1" x14ac:dyDescent="0.25">
      <c r="B859" s="3"/>
      <c r="C859" s="3"/>
      <c r="K859" s="3"/>
    </row>
    <row r="860" spans="2:11" ht="15.75" customHeight="1" x14ac:dyDescent="0.25">
      <c r="B860" s="3"/>
      <c r="C860" s="3"/>
      <c r="K860" s="3"/>
    </row>
    <row r="861" spans="2:11" ht="15.75" customHeight="1" x14ac:dyDescent="0.25">
      <c r="B861" s="3"/>
      <c r="C861" s="3"/>
      <c r="K861" s="3"/>
    </row>
    <row r="862" spans="2:11" ht="15.75" customHeight="1" x14ac:dyDescent="0.25">
      <c r="B862" s="3"/>
      <c r="C862" s="3"/>
      <c r="K862" s="3"/>
    </row>
    <row r="863" spans="2:11" ht="15.75" customHeight="1" x14ac:dyDescent="0.25">
      <c r="B863" s="3"/>
      <c r="C863" s="3"/>
      <c r="K863" s="3"/>
    </row>
    <row r="864" spans="2:11" ht="15.75" customHeight="1" x14ac:dyDescent="0.25">
      <c r="B864" s="3"/>
      <c r="C864" s="3"/>
      <c r="K864" s="3"/>
    </row>
    <row r="865" spans="2:11" ht="15.75" customHeight="1" x14ac:dyDescent="0.25">
      <c r="B865" s="3"/>
      <c r="C865" s="3"/>
      <c r="K865" s="3"/>
    </row>
    <row r="866" spans="2:11" ht="15.75" customHeight="1" x14ac:dyDescent="0.25">
      <c r="B866" s="3"/>
      <c r="C866" s="3"/>
      <c r="K866" s="3"/>
    </row>
    <row r="867" spans="2:11" ht="15.75" customHeight="1" x14ac:dyDescent="0.25">
      <c r="B867" s="3"/>
      <c r="C867" s="3"/>
      <c r="K867" s="3"/>
    </row>
    <row r="868" spans="2:11" ht="15.75" customHeight="1" x14ac:dyDescent="0.25">
      <c r="B868" s="3"/>
      <c r="C868" s="3"/>
      <c r="K868" s="3"/>
    </row>
    <row r="869" spans="2:11" ht="15.75" customHeight="1" x14ac:dyDescent="0.25">
      <c r="B869" s="3"/>
      <c r="C869" s="3"/>
      <c r="K869" s="3"/>
    </row>
    <row r="870" spans="2:11" ht="15.75" customHeight="1" x14ac:dyDescent="0.25">
      <c r="B870" s="3"/>
      <c r="C870" s="3"/>
      <c r="K870" s="3"/>
    </row>
    <row r="871" spans="2:11" ht="15.75" customHeight="1" x14ac:dyDescent="0.25">
      <c r="B871" s="3"/>
      <c r="C871" s="3"/>
      <c r="K871" s="3"/>
    </row>
    <row r="872" spans="2:11" ht="15.75" customHeight="1" x14ac:dyDescent="0.25">
      <c r="B872" s="3"/>
      <c r="C872" s="3"/>
      <c r="K872" s="3"/>
    </row>
    <row r="873" spans="2:11" ht="15.75" customHeight="1" x14ac:dyDescent="0.25">
      <c r="B873" s="3"/>
      <c r="C873" s="3"/>
      <c r="K873" s="3"/>
    </row>
    <row r="874" spans="2:11" ht="15.75" customHeight="1" x14ac:dyDescent="0.25">
      <c r="B874" s="3"/>
      <c r="C874" s="3"/>
      <c r="K874" s="3"/>
    </row>
    <row r="875" spans="2:11" ht="15.75" customHeight="1" x14ac:dyDescent="0.25">
      <c r="B875" s="3"/>
      <c r="C875" s="3"/>
      <c r="K875" s="3"/>
    </row>
    <row r="876" spans="2:11" ht="15.75" customHeight="1" x14ac:dyDescent="0.25">
      <c r="B876" s="3"/>
      <c r="C876" s="3"/>
      <c r="K876" s="3"/>
    </row>
    <row r="877" spans="2:11" ht="15.75" customHeight="1" x14ac:dyDescent="0.25">
      <c r="B877" s="3"/>
      <c r="C877" s="3"/>
      <c r="K877" s="3"/>
    </row>
    <row r="878" spans="2:11" ht="15.75" customHeight="1" x14ac:dyDescent="0.25">
      <c r="B878" s="3"/>
      <c r="C878" s="3"/>
      <c r="K878" s="3"/>
    </row>
    <row r="879" spans="2:11" ht="15.75" customHeight="1" x14ac:dyDescent="0.25">
      <c r="B879" s="3"/>
      <c r="C879" s="3"/>
      <c r="K879" s="3"/>
    </row>
    <row r="880" spans="2:11" ht="15.75" customHeight="1" x14ac:dyDescent="0.25">
      <c r="B880" s="3"/>
      <c r="C880" s="3"/>
      <c r="K880" s="3"/>
    </row>
    <row r="881" spans="2:11" ht="15.75" customHeight="1" x14ac:dyDescent="0.25">
      <c r="B881" s="3"/>
      <c r="C881" s="3"/>
      <c r="K881" s="3"/>
    </row>
    <row r="882" spans="2:11" ht="15.75" customHeight="1" x14ac:dyDescent="0.25">
      <c r="B882" s="3"/>
      <c r="C882" s="3"/>
      <c r="K882" s="3"/>
    </row>
    <row r="883" spans="2:11" ht="15.75" customHeight="1" x14ac:dyDescent="0.25">
      <c r="B883" s="3"/>
      <c r="C883" s="3"/>
      <c r="K883" s="3"/>
    </row>
    <row r="884" spans="2:11" ht="15.75" customHeight="1" x14ac:dyDescent="0.25">
      <c r="B884" s="3"/>
      <c r="C884" s="3"/>
      <c r="K884" s="3"/>
    </row>
    <row r="885" spans="2:11" ht="15.75" customHeight="1" x14ac:dyDescent="0.25">
      <c r="B885" s="3"/>
      <c r="C885" s="3"/>
      <c r="K885" s="3"/>
    </row>
    <row r="886" spans="2:11" ht="15.75" customHeight="1" x14ac:dyDescent="0.25">
      <c r="B886" s="3"/>
      <c r="C886" s="3"/>
      <c r="K886" s="3"/>
    </row>
    <row r="887" spans="2:11" ht="15.75" customHeight="1" x14ac:dyDescent="0.25">
      <c r="B887" s="3"/>
      <c r="C887" s="3"/>
      <c r="K887" s="3"/>
    </row>
    <row r="888" spans="2:11" ht="15.75" customHeight="1" x14ac:dyDescent="0.25">
      <c r="B888" s="3"/>
      <c r="C888" s="3"/>
      <c r="K888" s="3"/>
    </row>
    <row r="889" spans="2:11" ht="15.75" customHeight="1" x14ac:dyDescent="0.25">
      <c r="B889" s="3"/>
      <c r="C889" s="3"/>
      <c r="K889" s="3"/>
    </row>
    <row r="890" spans="2:11" ht="15.75" customHeight="1" x14ac:dyDescent="0.25">
      <c r="B890" s="3"/>
      <c r="C890" s="3"/>
      <c r="K890" s="3"/>
    </row>
    <row r="891" spans="2:11" ht="15.75" customHeight="1" x14ac:dyDescent="0.25">
      <c r="B891" s="3"/>
      <c r="C891" s="3"/>
      <c r="K891" s="3"/>
    </row>
    <row r="892" spans="2:11" ht="15.75" customHeight="1" x14ac:dyDescent="0.25">
      <c r="B892" s="3"/>
      <c r="C892" s="3"/>
      <c r="K892" s="3"/>
    </row>
    <row r="893" spans="2:11" ht="15.75" customHeight="1" x14ac:dyDescent="0.25">
      <c r="B893" s="3"/>
      <c r="C893" s="3"/>
      <c r="K893" s="3"/>
    </row>
    <row r="894" spans="2:11" ht="15.75" customHeight="1" x14ac:dyDescent="0.25">
      <c r="B894" s="3"/>
      <c r="C894" s="3"/>
      <c r="K894" s="3"/>
    </row>
    <row r="895" spans="2:11" ht="15.75" customHeight="1" x14ac:dyDescent="0.25">
      <c r="B895" s="3"/>
      <c r="C895" s="3"/>
      <c r="K895" s="3"/>
    </row>
    <row r="896" spans="2:11" ht="15.75" customHeight="1" x14ac:dyDescent="0.25">
      <c r="B896" s="3"/>
      <c r="C896" s="3"/>
      <c r="K896" s="3"/>
    </row>
    <row r="897" spans="2:11" ht="15.75" customHeight="1" x14ac:dyDescent="0.25">
      <c r="B897" s="3"/>
      <c r="C897" s="3"/>
      <c r="K897" s="3"/>
    </row>
    <row r="898" spans="2:11" ht="15.75" customHeight="1" x14ac:dyDescent="0.25">
      <c r="B898" s="3"/>
      <c r="C898" s="3"/>
      <c r="K898" s="3"/>
    </row>
    <row r="899" spans="2:11" ht="15.75" customHeight="1" x14ac:dyDescent="0.25">
      <c r="B899" s="3"/>
      <c r="C899" s="3"/>
      <c r="K899" s="3"/>
    </row>
    <row r="900" spans="2:11" ht="15.75" customHeight="1" x14ac:dyDescent="0.25">
      <c r="B900" s="3"/>
      <c r="C900" s="3"/>
      <c r="K900" s="3"/>
    </row>
    <row r="901" spans="2:11" ht="15.75" customHeight="1" x14ac:dyDescent="0.25">
      <c r="B901" s="3"/>
      <c r="C901" s="3"/>
      <c r="K901" s="3"/>
    </row>
    <row r="902" spans="2:11" ht="15.75" customHeight="1" x14ac:dyDescent="0.25">
      <c r="B902" s="3"/>
      <c r="C902" s="3"/>
      <c r="K902" s="3"/>
    </row>
    <row r="903" spans="2:11" ht="15.75" customHeight="1" x14ac:dyDescent="0.25">
      <c r="B903" s="3"/>
      <c r="C903" s="3"/>
      <c r="K903" s="3"/>
    </row>
    <row r="904" spans="2:11" ht="15.75" customHeight="1" x14ac:dyDescent="0.25">
      <c r="B904" s="3"/>
      <c r="C904" s="3"/>
      <c r="K904" s="3"/>
    </row>
    <row r="905" spans="2:11" ht="15.75" customHeight="1" x14ac:dyDescent="0.25">
      <c r="B905" s="3"/>
      <c r="C905" s="3"/>
      <c r="K905" s="3"/>
    </row>
    <row r="906" spans="2:11" ht="15.75" customHeight="1" x14ac:dyDescent="0.25">
      <c r="B906" s="3"/>
      <c r="C906" s="3"/>
      <c r="K906" s="3"/>
    </row>
    <row r="907" spans="2:11" ht="15.75" customHeight="1" x14ac:dyDescent="0.25">
      <c r="B907" s="3"/>
      <c r="C907" s="3"/>
      <c r="K907" s="3"/>
    </row>
    <row r="908" spans="2:11" ht="15.75" customHeight="1" x14ac:dyDescent="0.25">
      <c r="B908" s="3"/>
      <c r="C908" s="3"/>
      <c r="K908" s="3"/>
    </row>
    <row r="909" spans="2:11" ht="15.75" customHeight="1" x14ac:dyDescent="0.25">
      <c r="B909" s="3"/>
      <c r="C909" s="3"/>
      <c r="K909" s="3"/>
    </row>
    <row r="910" spans="2:11" ht="15.75" customHeight="1" x14ac:dyDescent="0.25">
      <c r="B910" s="3"/>
      <c r="C910" s="3"/>
      <c r="K910" s="3"/>
    </row>
    <row r="911" spans="2:11" ht="15.75" customHeight="1" x14ac:dyDescent="0.25">
      <c r="B911" s="3"/>
      <c r="C911" s="3"/>
      <c r="K911" s="3"/>
    </row>
    <row r="912" spans="2:11" ht="15.75" customHeight="1" x14ac:dyDescent="0.25">
      <c r="B912" s="3"/>
      <c r="C912" s="3"/>
      <c r="K912" s="3"/>
    </row>
    <row r="913" spans="2:11" ht="15.75" customHeight="1" x14ac:dyDescent="0.25">
      <c r="B913" s="3"/>
      <c r="C913" s="3"/>
      <c r="K913" s="3"/>
    </row>
    <row r="914" spans="2:11" ht="15.75" customHeight="1" x14ac:dyDescent="0.25">
      <c r="B914" s="3"/>
      <c r="C914" s="3"/>
      <c r="K914" s="3"/>
    </row>
    <row r="915" spans="2:11" ht="15.75" customHeight="1" x14ac:dyDescent="0.25">
      <c r="B915" s="3"/>
      <c r="C915" s="3"/>
      <c r="K915" s="3"/>
    </row>
    <row r="916" spans="2:11" ht="15.75" customHeight="1" x14ac:dyDescent="0.25">
      <c r="B916" s="3"/>
      <c r="C916" s="3"/>
      <c r="K916" s="3"/>
    </row>
    <row r="917" spans="2:11" ht="15.75" customHeight="1" x14ac:dyDescent="0.25">
      <c r="B917" s="3"/>
      <c r="C917" s="3"/>
      <c r="K917" s="3"/>
    </row>
    <row r="918" spans="2:11" ht="15.75" customHeight="1" x14ac:dyDescent="0.25">
      <c r="B918" s="3"/>
      <c r="C918" s="3"/>
      <c r="K918" s="3"/>
    </row>
    <row r="919" spans="2:11" ht="15.75" customHeight="1" x14ac:dyDescent="0.25">
      <c r="B919" s="3"/>
      <c r="C919" s="3"/>
      <c r="K919" s="3"/>
    </row>
    <row r="920" spans="2:11" ht="15.75" customHeight="1" x14ac:dyDescent="0.25">
      <c r="B920" s="3"/>
      <c r="C920" s="3"/>
      <c r="K920" s="3"/>
    </row>
    <row r="921" spans="2:11" ht="15.75" customHeight="1" x14ac:dyDescent="0.25">
      <c r="B921" s="3"/>
      <c r="C921" s="3"/>
      <c r="K921" s="3"/>
    </row>
    <row r="922" spans="2:11" ht="15.75" customHeight="1" x14ac:dyDescent="0.25">
      <c r="B922" s="3"/>
      <c r="C922" s="3"/>
      <c r="K922" s="3"/>
    </row>
    <row r="923" spans="2:11" ht="15.75" customHeight="1" x14ac:dyDescent="0.25">
      <c r="B923" s="3"/>
      <c r="C923" s="3"/>
      <c r="K923" s="3"/>
    </row>
    <row r="924" spans="2:11" ht="15.75" customHeight="1" x14ac:dyDescent="0.25">
      <c r="B924" s="3"/>
      <c r="C924" s="3"/>
      <c r="K924" s="3"/>
    </row>
    <row r="925" spans="2:11" ht="15.75" customHeight="1" x14ac:dyDescent="0.25">
      <c r="B925" s="3"/>
      <c r="C925" s="3"/>
      <c r="K925" s="3"/>
    </row>
    <row r="926" spans="2:11" ht="15.75" customHeight="1" x14ac:dyDescent="0.25">
      <c r="B926" s="3"/>
      <c r="C926" s="3"/>
      <c r="K926" s="3"/>
    </row>
    <row r="927" spans="2:11" ht="15.75" customHeight="1" x14ac:dyDescent="0.25">
      <c r="B927" s="3"/>
      <c r="C927" s="3"/>
      <c r="K927" s="3"/>
    </row>
    <row r="928" spans="2:11" ht="15.75" customHeight="1" x14ac:dyDescent="0.25">
      <c r="B928" s="3"/>
      <c r="C928" s="3"/>
      <c r="K928" s="3"/>
    </row>
    <row r="929" spans="2:11" ht="15.75" customHeight="1" x14ac:dyDescent="0.25">
      <c r="B929" s="3"/>
      <c r="C929" s="3"/>
      <c r="K929" s="3"/>
    </row>
    <row r="930" spans="2:11" ht="15.75" customHeight="1" x14ac:dyDescent="0.25">
      <c r="B930" s="3"/>
      <c r="C930" s="3"/>
      <c r="K930" s="3"/>
    </row>
    <row r="931" spans="2:11" ht="15.75" customHeight="1" x14ac:dyDescent="0.25">
      <c r="B931" s="3"/>
      <c r="C931" s="3"/>
      <c r="K931" s="3"/>
    </row>
    <row r="932" spans="2:11" ht="15.75" customHeight="1" x14ac:dyDescent="0.25">
      <c r="B932" s="3"/>
      <c r="C932" s="3"/>
      <c r="K932" s="3"/>
    </row>
    <row r="933" spans="2:11" ht="15.75" customHeight="1" x14ac:dyDescent="0.25">
      <c r="B933" s="3"/>
      <c r="C933" s="3"/>
      <c r="K933" s="3"/>
    </row>
    <row r="934" spans="2:11" ht="15.75" customHeight="1" x14ac:dyDescent="0.25">
      <c r="B934" s="3"/>
      <c r="C934" s="3"/>
      <c r="K934" s="3"/>
    </row>
    <row r="935" spans="2:11" ht="15.75" customHeight="1" x14ac:dyDescent="0.25">
      <c r="B935" s="3"/>
      <c r="C935" s="3"/>
      <c r="K935" s="3"/>
    </row>
    <row r="936" spans="2:11" ht="15.75" customHeight="1" x14ac:dyDescent="0.25">
      <c r="B936" s="3"/>
      <c r="C936" s="3"/>
      <c r="K936" s="3"/>
    </row>
    <row r="937" spans="2:11" ht="15.75" customHeight="1" x14ac:dyDescent="0.25">
      <c r="B937" s="3"/>
      <c r="C937" s="3"/>
      <c r="K937" s="3"/>
    </row>
    <row r="938" spans="2:11" ht="15.75" customHeight="1" x14ac:dyDescent="0.25">
      <c r="B938" s="3"/>
      <c r="C938" s="3"/>
      <c r="K938" s="3"/>
    </row>
    <row r="939" spans="2:11" ht="15.75" customHeight="1" x14ac:dyDescent="0.25">
      <c r="B939" s="3"/>
      <c r="C939" s="3"/>
      <c r="K939" s="3"/>
    </row>
    <row r="940" spans="2:11" ht="15.75" customHeight="1" x14ac:dyDescent="0.25">
      <c r="B940" s="3"/>
      <c r="C940" s="3"/>
      <c r="K940" s="3"/>
    </row>
    <row r="941" spans="2:11" ht="15.75" customHeight="1" x14ac:dyDescent="0.25">
      <c r="B941" s="3"/>
      <c r="C941" s="3"/>
      <c r="K941" s="3"/>
    </row>
    <row r="942" spans="2:11" ht="15.75" customHeight="1" x14ac:dyDescent="0.25">
      <c r="B942" s="3"/>
      <c r="C942" s="3"/>
      <c r="K942" s="3"/>
    </row>
    <row r="943" spans="2:11" ht="15.75" customHeight="1" x14ac:dyDescent="0.25">
      <c r="B943" s="3"/>
      <c r="C943" s="3"/>
      <c r="K943" s="3"/>
    </row>
    <row r="944" spans="2:11" ht="15.75" customHeight="1" x14ac:dyDescent="0.25">
      <c r="B944" s="3"/>
      <c r="C944" s="3"/>
      <c r="K944" s="3"/>
    </row>
    <row r="945" spans="2:11" ht="15.75" customHeight="1" x14ac:dyDescent="0.25">
      <c r="B945" s="3"/>
      <c r="C945" s="3"/>
      <c r="K945" s="3"/>
    </row>
    <row r="946" spans="2:11" ht="15.75" customHeight="1" x14ac:dyDescent="0.25">
      <c r="B946" s="3"/>
      <c r="C946" s="3"/>
      <c r="K946" s="3"/>
    </row>
    <row r="947" spans="2:11" ht="15.75" customHeight="1" x14ac:dyDescent="0.25">
      <c r="B947" s="3"/>
      <c r="C947" s="3"/>
      <c r="K947" s="3"/>
    </row>
    <row r="948" spans="2:11" ht="15.75" customHeight="1" x14ac:dyDescent="0.25">
      <c r="B948" s="3"/>
      <c r="C948" s="3"/>
      <c r="K948" s="3"/>
    </row>
    <row r="949" spans="2:11" ht="15.75" customHeight="1" x14ac:dyDescent="0.25">
      <c r="B949" s="3"/>
      <c r="C949" s="3"/>
      <c r="K949" s="3"/>
    </row>
    <row r="950" spans="2:11" ht="15.75" customHeight="1" x14ac:dyDescent="0.25">
      <c r="B950" s="3"/>
      <c r="C950" s="3"/>
      <c r="K950" s="3"/>
    </row>
    <row r="951" spans="2:11" ht="15.75" customHeight="1" x14ac:dyDescent="0.25">
      <c r="B951" s="3"/>
      <c r="C951" s="3"/>
      <c r="K951" s="3"/>
    </row>
    <row r="952" spans="2:11" ht="15.75" customHeight="1" x14ac:dyDescent="0.25">
      <c r="B952" s="3"/>
      <c r="C952" s="3"/>
      <c r="K952" s="3"/>
    </row>
    <row r="953" spans="2:11" ht="15.75" customHeight="1" x14ac:dyDescent="0.25">
      <c r="B953" s="3"/>
      <c r="C953" s="3"/>
      <c r="K953" s="3"/>
    </row>
    <row r="954" spans="2:11" ht="15.75" customHeight="1" x14ac:dyDescent="0.25">
      <c r="B954" s="3"/>
      <c r="C954" s="3"/>
      <c r="K954" s="3"/>
    </row>
    <row r="955" spans="2:11" ht="15.75" customHeight="1" x14ac:dyDescent="0.25">
      <c r="B955" s="3"/>
      <c r="C955" s="3"/>
      <c r="K955" s="3"/>
    </row>
    <row r="956" spans="2:11" ht="15.75" customHeight="1" x14ac:dyDescent="0.25">
      <c r="B956" s="3"/>
      <c r="C956" s="3"/>
      <c r="K956" s="3"/>
    </row>
    <row r="957" spans="2:11" ht="15.75" customHeight="1" x14ac:dyDescent="0.25">
      <c r="B957" s="3"/>
      <c r="C957" s="3"/>
      <c r="K957" s="3"/>
    </row>
    <row r="958" spans="2:11" ht="15.75" customHeight="1" x14ac:dyDescent="0.25">
      <c r="B958" s="3"/>
      <c r="C958" s="3"/>
      <c r="K958" s="3"/>
    </row>
    <row r="959" spans="2:11" ht="15.75" customHeight="1" x14ac:dyDescent="0.25">
      <c r="B959" s="3"/>
      <c r="C959" s="3"/>
      <c r="K959" s="3"/>
    </row>
    <row r="960" spans="2:11" ht="15.75" customHeight="1" x14ac:dyDescent="0.25">
      <c r="B960" s="3"/>
      <c r="C960" s="3"/>
      <c r="K960" s="3"/>
    </row>
    <row r="961" spans="2:11" ht="15.75" customHeight="1" x14ac:dyDescent="0.25">
      <c r="B961" s="3"/>
      <c r="C961" s="3"/>
      <c r="K961" s="3"/>
    </row>
    <row r="962" spans="2:11" ht="15.75" customHeight="1" x14ac:dyDescent="0.25">
      <c r="B962" s="3"/>
      <c r="C962" s="3"/>
      <c r="K962" s="3"/>
    </row>
    <row r="963" spans="2:11" ht="15.75" customHeight="1" x14ac:dyDescent="0.25">
      <c r="B963" s="3"/>
      <c r="C963" s="3"/>
      <c r="K963" s="3"/>
    </row>
    <row r="964" spans="2:11" ht="15.75" customHeight="1" x14ac:dyDescent="0.25">
      <c r="B964" s="3"/>
      <c r="C964" s="3"/>
      <c r="K964" s="3"/>
    </row>
    <row r="965" spans="2:11" ht="15.75" customHeight="1" x14ac:dyDescent="0.25">
      <c r="B965" s="3"/>
      <c r="C965" s="3"/>
      <c r="K965" s="3"/>
    </row>
    <row r="966" spans="2:11" ht="15.75" customHeight="1" x14ac:dyDescent="0.25">
      <c r="B966" s="3"/>
      <c r="C966" s="3"/>
      <c r="K966" s="3"/>
    </row>
    <row r="967" spans="2:11" ht="15.75" customHeight="1" x14ac:dyDescent="0.25">
      <c r="B967" s="3"/>
      <c r="C967" s="3"/>
      <c r="K967" s="3"/>
    </row>
    <row r="968" spans="2:11" ht="15.75" customHeight="1" x14ac:dyDescent="0.25">
      <c r="B968" s="3"/>
      <c r="C968" s="3"/>
      <c r="K968" s="3"/>
    </row>
    <row r="969" spans="2:11" ht="15.75" customHeight="1" x14ac:dyDescent="0.25">
      <c r="B969" s="3"/>
      <c r="C969" s="3"/>
      <c r="K969" s="3"/>
    </row>
    <row r="970" spans="2:11" ht="15.75" customHeight="1" x14ac:dyDescent="0.25">
      <c r="B970" s="3"/>
      <c r="C970" s="3"/>
      <c r="K970" s="3"/>
    </row>
    <row r="971" spans="2:11" ht="15.75" customHeight="1" x14ac:dyDescent="0.25">
      <c r="B971" s="3"/>
      <c r="C971" s="3"/>
      <c r="K971" s="3"/>
    </row>
    <row r="972" spans="2:11" ht="15.75" customHeight="1" x14ac:dyDescent="0.25">
      <c r="B972" s="3"/>
      <c r="C972" s="3"/>
      <c r="K972" s="3"/>
    </row>
    <row r="973" spans="2:11" ht="15.75" customHeight="1" x14ac:dyDescent="0.25">
      <c r="B973" s="3"/>
      <c r="C973" s="3"/>
      <c r="K973" s="3"/>
    </row>
    <row r="974" spans="2:11" ht="15.75" customHeight="1" x14ac:dyDescent="0.25">
      <c r="B974" s="3"/>
      <c r="C974" s="3"/>
      <c r="K974" s="3"/>
    </row>
    <row r="975" spans="2:11" ht="15.75" customHeight="1" x14ac:dyDescent="0.25">
      <c r="B975" s="3"/>
      <c r="C975" s="3"/>
      <c r="K975" s="3"/>
    </row>
    <row r="976" spans="2:11" ht="15.75" customHeight="1" x14ac:dyDescent="0.25">
      <c r="B976" s="3"/>
      <c r="C976" s="3"/>
      <c r="K976" s="3"/>
    </row>
    <row r="977" spans="2:11" ht="15.75" customHeight="1" x14ac:dyDescent="0.25">
      <c r="B977" s="3"/>
      <c r="C977" s="3"/>
      <c r="K977" s="3"/>
    </row>
    <row r="978" spans="2:11" ht="15.75" customHeight="1" x14ac:dyDescent="0.25">
      <c r="B978" s="3"/>
      <c r="C978" s="3"/>
      <c r="K978" s="3"/>
    </row>
    <row r="979" spans="2:11" ht="15.75" customHeight="1" x14ac:dyDescent="0.25">
      <c r="B979" s="3"/>
      <c r="C979" s="3"/>
      <c r="K979" s="3"/>
    </row>
    <row r="980" spans="2:11" ht="15.75" customHeight="1" x14ac:dyDescent="0.25">
      <c r="B980" s="3"/>
      <c r="C980" s="3"/>
      <c r="K980" s="3"/>
    </row>
    <row r="981" spans="2:11" ht="15.75" customHeight="1" x14ac:dyDescent="0.25">
      <c r="B981" s="3"/>
      <c r="C981" s="3"/>
      <c r="K981" s="3"/>
    </row>
    <row r="982" spans="2:11" ht="15.75" customHeight="1" x14ac:dyDescent="0.25">
      <c r="B982" s="3"/>
      <c r="C982" s="3"/>
      <c r="K982" s="3"/>
    </row>
    <row r="983" spans="2:11" ht="15.75" customHeight="1" x14ac:dyDescent="0.25">
      <c r="B983" s="3"/>
      <c r="C983" s="3"/>
      <c r="K983" s="3"/>
    </row>
    <row r="984" spans="2:11" ht="15.75" customHeight="1" x14ac:dyDescent="0.25">
      <c r="B984" s="3"/>
      <c r="C984" s="3"/>
      <c r="K984" s="3"/>
    </row>
    <row r="985" spans="2:11" ht="15.75" customHeight="1" x14ac:dyDescent="0.25">
      <c r="B985" s="3"/>
      <c r="C985" s="3"/>
      <c r="K985" s="3"/>
    </row>
    <row r="986" spans="2:11" ht="15.75" customHeight="1" x14ac:dyDescent="0.25">
      <c r="B986" s="3"/>
      <c r="C986" s="3"/>
      <c r="K986" s="3"/>
    </row>
    <row r="987" spans="2:11" ht="15.75" customHeight="1" x14ac:dyDescent="0.25">
      <c r="B987" s="3"/>
      <c r="C987" s="3"/>
      <c r="K987" s="3"/>
    </row>
    <row r="988" spans="2:11" ht="15.75" customHeight="1" x14ac:dyDescent="0.25">
      <c r="B988" s="3"/>
      <c r="C988" s="3"/>
      <c r="K988" s="3"/>
    </row>
    <row r="989" spans="2:11" ht="15.75" customHeight="1" x14ac:dyDescent="0.25">
      <c r="B989" s="3"/>
      <c r="C989" s="3"/>
      <c r="K989" s="3"/>
    </row>
    <row r="990" spans="2:11" ht="15.75" customHeight="1" x14ac:dyDescent="0.25">
      <c r="B990" s="3"/>
      <c r="C990" s="3"/>
      <c r="K990" s="3"/>
    </row>
    <row r="991" spans="2:11" ht="15.75" customHeight="1" x14ac:dyDescent="0.25">
      <c r="B991" s="3"/>
      <c r="C991" s="3"/>
      <c r="K991" s="3"/>
    </row>
    <row r="992" spans="2:11" ht="15.75" customHeight="1" x14ac:dyDescent="0.25">
      <c r="B992" s="3"/>
      <c r="C992" s="3"/>
      <c r="K992" s="3"/>
    </row>
    <row r="993" spans="2:11" ht="15.75" customHeight="1" x14ac:dyDescent="0.25">
      <c r="B993" s="3"/>
      <c r="C993" s="3"/>
      <c r="K993" s="3"/>
    </row>
    <row r="994" spans="2:11" ht="15.75" customHeight="1" x14ac:dyDescent="0.25">
      <c r="B994" s="3"/>
      <c r="C994" s="3"/>
      <c r="K994" s="3"/>
    </row>
    <row r="995" spans="2:11" ht="15.75" customHeight="1" x14ac:dyDescent="0.25">
      <c r="B995" s="3"/>
      <c r="C995" s="3"/>
      <c r="K995" s="3"/>
    </row>
    <row r="996" spans="2:11" ht="15.75" customHeight="1" x14ac:dyDescent="0.25">
      <c r="B996" s="3"/>
      <c r="C996" s="3"/>
      <c r="K996" s="3"/>
    </row>
    <row r="997" spans="2:11" ht="15.75" customHeight="1" x14ac:dyDescent="0.25">
      <c r="B997" s="3"/>
      <c r="C997" s="3"/>
      <c r="K997" s="3"/>
    </row>
    <row r="998" spans="2:11" ht="15.75" customHeight="1" x14ac:dyDescent="0.25">
      <c r="B998" s="3"/>
      <c r="C998" s="3"/>
      <c r="K998" s="3"/>
    </row>
    <row r="999" spans="2:11" ht="15.75" customHeight="1" x14ac:dyDescent="0.25">
      <c r="B999" s="3"/>
      <c r="C999" s="3"/>
      <c r="K999" s="3"/>
    </row>
    <row r="1000" spans="2:11" ht="15.75" customHeight="1" x14ac:dyDescent="0.25">
      <c r="B1000" s="3"/>
      <c r="C1000" s="3"/>
      <c r="K1000" s="3"/>
    </row>
    <row r="1001" spans="2:11" ht="15.75" customHeight="1" x14ac:dyDescent="0.25">
      <c r="B1001" s="3"/>
      <c r="C1001" s="3"/>
      <c r="K1001" s="3"/>
    </row>
  </sheetData>
  <conditionalFormatting sqref="G2:G3">
    <cfRule type="cellIs" dxfId="99" priority="1" operator="lessThan">
      <formula>0</formula>
    </cfRule>
    <cfRule type="cellIs" dxfId="98" priority="2" operator="greaterThan">
      <formula>0</formula>
    </cfRule>
  </conditionalFormatting>
  <hyperlinks>
    <hyperlink ref="D1" location="CLIENTES!A1" display="volver" xr:uid="{00000000-0004-0000-0D00-000000000000}"/>
  </hyperlinks>
  <pageMargins left="0.7" right="0.7" top="0.75" bottom="0.75" header="0" footer="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010"/>
  <sheetViews>
    <sheetView workbookViewId="0">
      <selection activeCell="D1" sqref="D1"/>
    </sheetView>
  </sheetViews>
  <sheetFormatPr baseColWidth="10" defaultColWidth="14.42578125" defaultRowHeight="15" customHeight="1" x14ac:dyDescent="0.25"/>
  <cols>
    <col min="1" max="1" width="15.7109375" customWidth="1"/>
    <col min="2" max="2" width="19.7109375" style="33" customWidth="1"/>
    <col min="3" max="3" width="15.7109375" style="33" customWidth="1"/>
    <col min="4" max="7" width="15.7109375" customWidth="1"/>
    <col min="8" max="26" width="10.7109375" customWidth="1"/>
  </cols>
  <sheetData>
    <row r="1" spans="1:7" ht="18.75" x14ac:dyDescent="0.3">
      <c r="A1" s="12" t="s">
        <v>12</v>
      </c>
      <c r="B1"/>
      <c r="C1"/>
      <c r="D1" s="101" t="s">
        <v>52</v>
      </c>
    </row>
    <row r="2" spans="1:7" s="37" customFormat="1" ht="20.25" customHeight="1" x14ac:dyDescent="0.25">
      <c r="A2" s="37" t="s">
        <v>53</v>
      </c>
      <c r="B2" s="38" t="s">
        <v>54</v>
      </c>
      <c r="C2" s="38" t="s">
        <v>55</v>
      </c>
      <c r="D2" s="37" t="s">
        <v>56</v>
      </c>
      <c r="E2" s="37" t="s">
        <v>57</v>
      </c>
      <c r="F2" s="39" t="s">
        <v>58</v>
      </c>
      <c r="G2" s="40">
        <f>SUM(C3:C1048576) - SUM(B3:B1048576)</f>
        <v>-1019581</v>
      </c>
    </row>
    <row r="4" spans="1:7" ht="15" customHeight="1" x14ac:dyDescent="0.25">
      <c r="A4" s="31">
        <v>45443</v>
      </c>
      <c r="B4" s="33">
        <v>233724</v>
      </c>
    </row>
    <row r="5" spans="1:7" ht="15" customHeight="1" x14ac:dyDescent="0.25">
      <c r="A5" s="31">
        <v>45463</v>
      </c>
      <c r="C5" s="33">
        <v>233724</v>
      </c>
    </row>
    <row r="6" spans="1:7" ht="15" customHeight="1" x14ac:dyDescent="0.25">
      <c r="A6" s="31">
        <v>45473</v>
      </c>
      <c r="B6" s="33">
        <v>347127</v>
      </c>
    </row>
    <row r="7" spans="1:7" ht="15" customHeight="1" x14ac:dyDescent="0.25">
      <c r="A7" s="31">
        <v>45495</v>
      </c>
      <c r="C7" s="33">
        <v>347200</v>
      </c>
    </row>
    <row r="8" spans="1:7" ht="15" customHeight="1" x14ac:dyDescent="0.25">
      <c r="A8" s="31">
        <v>45497</v>
      </c>
      <c r="C8" s="33">
        <v>150000</v>
      </c>
    </row>
    <row r="9" spans="1:7" ht="15" customHeight="1" x14ac:dyDescent="0.25">
      <c r="A9" s="31">
        <v>45504</v>
      </c>
      <c r="C9" s="33">
        <v>150000</v>
      </c>
    </row>
    <row r="10" spans="1:7" ht="15" customHeight="1" x14ac:dyDescent="0.25">
      <c r="A10" s="31">
        <v>45504</v>
      </c>
      <c r="B10" s="33">
        <v>670007</v>
      </c>
    </row>
    <row r="11" spans="1:7" ht="15" customHeight="1" x14ac:dyDescent="0.25">
      <c r="A11" s="31">
        <v>45509</v>
      </c>
      <c r="C11" s="33">
        <v>150000</v>
      </c>
    </row>
    <row r="12" spans="1:7" ht="15" customHeight="1" x14ac:dyDescent="0.25">
      <c r="A12" s="31">
        <v>45513</v>
      </c>
      <c r="C12" s="33">
        <v>100000</v>
      </c>
    </row>
    <row r="13" spans="1:7" ht="15" customHeight="1" x14ac:dyDescent="0.25">
      <c r="A13" s="31">
        <v>45519</v>
      </c>
      <c r="C13" s="33">
        <v>200000</v>
      </c>
    </row>
    <row r="14" spans="1:7" ht="15" customHeight="1" x14ac:dyDescent="0.25">
      <c r="A14" s="31">
        <v>45523</v>
      </c>
      <c r="C14" s="33">
        <v>170000</v>
      </c>
    </row>
    <row r="15" spans="1:7" ht="15" customHeight="1" x14ac:dyDescent="0.25">
      <c r="A15" s="31">
        <v>45525</v>
      </c>
      <c r="C15" s="33">
        <v>169934</v>
      </c>
    </row>
    <row r="16" spans="1:7" ht="15" customHeight="1" x14ac:dyDescent="0.25">
      <c r="A16" s="31">
        <v>45535</v>
      </c>
      <c r="B16" s="33">
        <v>279402</v>
      </c>
    </row>
    <row r="17" spans="1:4" ht="15" customHeight="1" x14ac:dyDescent="0.25">
      <c r="A17" s="31">
        <v>45548</v>
      </c>
      <c r="C17" s="33">
        <v>179402</v>
      </c>
    </row>
    <row r="18" spans="1:4" ht="15" customHeight="1" x14ac:dyDescent="0.25">
      <c r="A18" s="31">
        <v>45561</v>
      </c>
      <c r="C18" s="33">
        <v>100000</v>
      </c>
    </row>
    <row r="19" spans="1:4" ht="15" customHeight="1" x14ac:dyDescent="0.25">
      <c r="A19" s="31">
        <v>45565</v>
      </c>
      <c r="B19" s="33">
        <v>398845</v>
      </c>
    </row>
    <row r="20" spans="1:4" ht="15" customHeight="1" x14ac:dyDescent="0.25">
      <c r="A20" s="31">
        <v>45582</v>
      </c>
      <c r="C20" s="33">
        <v>100000</v>
      </c>
      <c r="D20" t="s">
        <v>137</v>
      </c>
    </row>
    <row r="21" spans="1:4" ht="15" customHeight="1" x14ac:dyDescent="0.25">
      <c r="A21" s="31">
        <v>45590</v>
      </c>
      <c r="C21" s="33">
        <v>150000</v>
      </c>
    </row>
    <row r="22" spans="1:4" ht="15" customHeight="1" x14ac:dyDescent="0.25">
      <c r="A22" s="31">
        <v>45596</v>
      </c>
      <c r="B22" s="33">
        <v>481459</v>
      </c>
    </row>
    <row r="23" spans="1:4" ht="15" customHeight="1" x14ac:dyDescent="0.25">
      <c r="A23" s="31">
        <v>45602</v>
      </c>
      <c r="C23" s="33">
        <v>100000</v>
      </c>
    </row>
    <row r="24" spans="1:4" ht="15" customHeight="1" x14ac:dyDescent="0.25">
      <c r="A24" s="31">
        <v>45617</v>
      </c>
      <c r="C24" s="33">
        <v>100000</v>
      </c>
    </row>
    <row r="25" spans="1:4" ht="15" customHeight="1" x14ac:dyDescent="0.25">
      <c r="A25" s="31">
        <v>45626</v>
      </c>
      <c r="C25" s="33">
        <v>100000</v>
      </c>
    </row>
    <row r="26" spans="1:4" ht="15" customHeight="1" x14ac:dyDescent="0.25">
      <c r="A26" s="31">
        <v>45626</v>
      </c>
      <c r="B26" s="33">
        <v>377993</v>
      </c>
    </row>
    <row r="27" spans="1:4" ht="15.75" customHeight="1" x14ac:dyDescent="0.25">
      <c r="A27" s="31">
        <v>45633</v>
      </c>
      <c r="C27" s="33">
        <v>209000</v>
      </c>
    </row>
    <row r="28" spans="1:4" ht="15.75" customHeight="1" x14ac:dyDescent="0.25">
      <c r="A28" s="31">
        <v>45653</v>
      </c>
      <c r="C28" s="33">
        <v>100000</v>
      </c>
    </row>
    <row r="29" spans="1:4" ht="15.75" customHeight="1" x14ac:dyDescent="0.25">
      <c r="A29" s="31">
        <v>45657</v>
      </c>
      <c r="B29" s="33">
        <v>395862</v>
      </c>
    </row>
    <row r="30" spans="1:4" ht="15.75" customHeight="1" x14ac:dyDescent="0.25">
      <c r="A30" s="31">
        <v>45660</v>
      </c>
      <c r="C30" s="33">
        <v>100000</v>
      </c>
      <c r="D30" t="s">
        <v>150</v>
      </c>
    </row>
    <row r="31" spans="1:4" ht="15.75" customHeight="1" x14ac:dyDescent="0.25">
      <c r="A31" s="31">
        <v>45667</v>
      </c>
      <c r="C31" s="33">
        <v>177993</v>
      </c>
    </row>
    <row r="32" spans="1:4" ht="15.75" customHeight="1" x14ac:dyDescent="0.25">
      <c r="A32" s="31">
        <v>45676</v>
      </c>
      <c r="C32" s="33">
        <v>100000</v>
      </c>
    </row>
    <row r="33" spans="1:4" ht="15.75" customHeight="1" x14ac:dyDescent="0.25">
      <c r="A33" s="31">
        <v>45684</v>
      </c>
      <c r="C33" s="33">
        <v>100000</v>
      </c>
    </row>
    <row r="34" spans="1:4" ht="15.75" customHeight="1" x14ac:dyDescent="0.25">
      <c r="A34" s="31">
        <v>45689</v>
      </c>
      <c r="B34" s="33">
        <v>718277</v>
      </c>
    </row>
    <row r="35" spans="1:4" ht="15.75" customHeight="1" x14ac:dyDescent="0.25">
      <c r="A35" s="31">
        <v>45690</v>
      </c>
      <c r="C35" s="33">
        <v>100000</v>
      </c>
    </row>
    <row r="36" spans="1:4" ht="15.75" customHeight="1" x14ac:dyDescent="0.25">
      <c r="A36" s="31">
        <v>45693</v>
      </c>
      <c r="C36" s="33">
        <v>95862</v>
      </c>
    </row>
    <row r="37" spans="1:4" ht="15.75" customHeight="1" x14ac:dyDescent="0.25">
      <c r="A37" s="31">
        <v>45706</v>
      </c>
      <c r="C37" s="33">
        <v>150000</v>
      </c>
    </row>
    <row r="38" spans="1:4" ht="15.75" customHeight="1" x14ac:dyDescent="0.25">
      <c r="A38" s="31">
        <v>45713</v>
      </c>
      <c r="C38" s="33">
        <v>200000</v>
      </c>
    </row>
    <row r="39" spans="1:4" ht="15.75" customHeight="1" x14ac:dyDescent="0.25">
      <c r="A39" s="31">
        <v>45716</v>
      </c>
      <c r="B39" s="33">
        <v>633963</v>
      </c>
    </row>
    <row r="40" spans="1:4" ht="15.75" customHeight="1" x14ac:dyDescent="0.25">
      <c r="A40" s="31">
        <v>45718</v>
      </c>
      <c r="C40" s="33">
        <v>169600</v>
      </c>
    </row>
    <row r="41" spans="1:4" ht="15.75" customHeight="1" x14ac:dyDescent="0.25">
      <c r="A41" s="31">
        <v>45364</v>
      </c>
      <c r="C41" s="33">
        <v>200000</v>
      </c>
    </row>
    <row r="42" spans="1:4" ht="15.75" customHeight="1" x14ac:dyDescent="0.25">
      <c r="A42" s="31">
        <v>45733</v>
      </c>
      <c r="C42" s="33">
        <v>150000</v>
      </c>
    </row>
    <row r="43" spans="1:4" ht="15.75" customHeight="1" x14ac:dyDescent="0.25">
      <c r="A43" s="31">
        <v>45745</v>
      </c>
      <c r="C43" s="33">
        <v>283963</v>
      </c>
    </row>
    <row r="44" spans="1:4" ht="15.75" customHeight="1" x14ac:dyDescent="0.25">
      <c r="A44" s="31">
        <v>45747</v>
      </c>
      <c r="B44" s="33">
        <v>500927</v>
      </c>
    </row>
    <row r="45" spans="1:4" ht="15.75" customHeight="1" x14ac:dyDescent="0.25">
      <c r="A45" s="31">
        <v>45762</v>
      </c>
      <c r="C45" s="33">
        <v>100000</v>
      </c>
    </row>
    <row r="46" spans="1:4" ht="15.75" customHeight="1" x14ac:dyDescent="0.25">
      <c r="A46" s="31">
        <v>45777</v>
      </c>
      <c r="C46" s="33">
        <v>100000</v>
      </c>
      <c r="D46" t="s">
        <v>131</v>
      </c>
    </row>
    <row r="47" spans="1:4" ht="15.75" customHeight="1" x14ac:dyDescent="0.25">
      <c r="A47" s="31">
        <v>45777</v>
      </c>
      <c r="C47" s="33">
        <v>100000</v>
      </c>
      <c r="D47" t="s">
        <v>170</v>
      </c>
    </row>
    <row r="48" spans="1:4" ht="15.75" customHeight="1" x14ac:dyDescent="0.25">
      <c r="A48" s="31">
        <v>45777</v>
      </c>
      <c r="B48" s="33">
        <v>431186</v>
      </c>
    </row>
    <row r="49" spans="1:3" ht="15.75" customHeight="1" x14ac:dyDescent="0.25">
      <c r="A49" s="31">
        <v>45802</v>
      </c>
      <c r="C49" s="33">
        <v>120000</v>
      </c>
    </row>
    <row r="50" spans="1:3" ht="15.75" customHeight="1" x14ac:dyDescent="0.25">
      <c r="A50" s="31">
        <v>45807</v>
      </c>
      <c r="B50" s="33">
        <v>359959</v>
      </c>
    </row>
    <row r="51" spans="1:3" ht="15.75" customHeight="1" x14ac:dyDescent="0.25">
      <c r="A51" s="31">
        <v>45815</v>
      </c>
      <c r="C51" s="33">
        <v>150000</v>
      </c>
    </row>
    <row r="52" spans="1:3" ht="15.75" customHeight="1" x14ac:dyDescent="0.25">
      <c r="A52" s="31">
        <v>45822</v>
      </c>
      <c r="C52" s="33">
        <v>150000</v>
      </c>
    </row>
    <row r="53" spans="1:3" ht="15.75" customHeight="1" x14ac:dyDescent="0.25">
      <c r="A53" s="31">
        <v>45829</v>
      </c>
      <c r="C53" s="33">
        <v>141000</v>
      </c>
    </row>
    <row r="54" spans="1:3" ht="15.75" customHeight="1" x14ac:dyDescent="0.25">
      <c r="A54" s="31">
        <v>45838</v>
      </c>
      <c r="C54" s="33">
        <v>100000</v>
      </c>
    </row>
    <row r="55" spans="1:3" ht="15.75" customHeight="1" x14ac:dyDescent="0.25">
      <c r="A55" s="31">
        <v>45838</v>
      </c>
      <c r="B55" s="33">
        <v>362667</v>
      </c>
    </row>
    <row r="56" spans="1:3" ht="15.75" customHeight="1" x14ac:dyDescent="0.25">
      <c r="A56" s="31">
        <v>45859</v>
      </c>
      <c r="C56" s="33">
        <v>100000</v>
      </c>
    </row>
    <row r="57" spans="1:3" ht="15.75" customHeight="1" x14ac:dyDescent="0.25">
      <c r="A57" s="31">
        <v>45866</v>
      </c>
      <c r="C57" s="33">
        <v>63000</v>
      </c>
    </row>
    <row r="58" spans="1:3" ht="15.75" customHeight="1" x14ac:dyDescent="0.25">
      <c r="A58" s="31">
        <v>45869</v>
      </c>
      <c r="B58" s="33">
        <v>420088</v>
      </c>
    </row>
    <row r="59" spans="1:3" ht="15.75" customHeight="1" x14ac:dyDescent="0.25">
      <c r="A59" s="31">
        <v>45882</v>
      </c>
      <c r="C59" s="33">
        <v>120000</v>
      </c>
    </row>
    <row r="60" spans="1:3" ht="15.75" customHeight="1" x14ac:dyDescent="0.25">
      <c r="A60" s="31">
        <v>45888</v>
      </c>
      <c r="C60" s="33">
        <v>150000</v>
      </c>
    </row>
    <row r="61" spans="1:3" ht="15.75" customHeight="1" x14ac:dyDescent="0.25">
      <c r="A61" s="31">
        <v>45898</v>
      </c>
      <c r="C61" s="33">
        <v>100000</v>
      </c>
    </row>
    <row r="62" spans="1:3" ht="15.75" customHeight="1" x14ac:dyDescent="0.25">
      <c r="A62" s="31">
        <v>45900</v>
      </c>
      <c r="B62" s="33">
        <v>313301</v>
      </c>
    </row>
    <row r="63" spans="1:3" ht="15.75" customHeight="1" x14ac:dyDescent="0.25">
      <c r="A63" s="31">
        <v>45908</v>
      </c>
      <c r="C63" s="33">
        <v>100100</v>
      </c>
    </row>
    <row r="64" spans="1:3" ht="15.75" customHeight="1" x14ac:dyDescent="0.25">
      <c r="A64" s="31">
        <v>45920</v>
      </c>
      <c r="C64" s="33">
        <v>80000</v>
      </c>
    </row>
    <row r="65" spans="1:3" ht="15.75" customHeight="1" x14ac:dyDescent="0.25">
      <c r="A65" s="31">
        <v>45930</v>
      </c>
      <c r="B65" s="33">
        <v>572300</v>
      </c>
    </row>
    <row r="66" spans="1:3" ht="15.75" customHeight="1" x14ac:dyDescent="0.25">
      <c r="A66" s="31">
        <v>45937</v>
      </c>
      <c r="C66" s="33">
        <v>100000</v>
      </c>
    </row>
    <row r="67" spans="1:3" ht="15.75" customHeight="1" x14ac:dyDescent="0.25">
      <c r="A67" s="31">
        <v>45943</v>
      </c>
      <c r="C67" s="33">
        <v>83000</v>
      </c>
    </row>
    <row r="68" spans="1:3" ht="15.75" customHeight="1" x14ac:dyDescent="0.25">
      <c r="A68" s="31">
        <v>45943</v>
      </c>
      <c r="C68" s="33">
        <v>100000</v>
      </c>
    </row>
    <row r="69" spans="1:3" ht="15.75" customHeight="1" x14ac:dyDescent="0.25">
      <c r="A69" s="31">
        <v>45961</v>
      </c>
      <c r="B69" s="33">
        <v>399949</v>
      </c>
    </row>
    <row r="70" spans="1:3" ht="15.75" customHeight="1" x14ac:dyDescent="0.25">
      <c r="A70" s="31">
        <v>45964</v>
      </c>
      <c r="C70" s="33">
        <v>150000</v>
      </c>
    </row>
    <row r="71" spans="1:3" ht="15.75" customHeight="1" x14ac:dyDescent="0.25">
      <c r="A71" s="31">
        <v>45973</v>
      </c>
      <c r="C71" s="33">
        <v>140000</v>
      </c>
    </row>
    <row r="72" spans="1:3" ht="15.75" customHeight="1" x14ac:dyDescent="0.25">
      <c r="A72" s="31">
        <v>45988</v>
      </c>
      <c r="C72" s="33">
        <v>200000</v>
      </c>
    </row>
    <row r="73" spans="1:3" ht="15.75" customHeight="1" x14ac:dyDescent="0.25">
      <c r="A73" s="31">
        <v>45991</v>
      </c>
      <c r="B73" s="33">
        <v>477463</v>
      </c>
    </row>
    <row r="74" spans="1:3" ht="15.75" customHeight="1" x14ac:dyDescent="0.25">
      <c r="A74" s="31">
        <v>46008</v>
      </c>
      <c r="C74" s="33">
        <v>248000</v>
      </c>
    </row>
    <row r="75" spans="1:3" ht="15.75" customHeight="1" x14ac:dyDescent="0.25">
      <c r="A75" s="31">
        <v>46022</v>
      </c>
      <c r="B75" s="33">
        <v>197676</v>
      </c>
    </row>
    <row r="76" spans="1:3" ht="15.75" customHeight="1" x14ac:dyDescent="0.25">
      <c r="A76" s="31">
        <v>45659</v>
      </c>
      <c r="C76" s="33">
        <v>200000</v>
      </c>
    </row>
    <row r="77" spans="1:3" ht="15.75" customHeight="1" x14ac:dyDescent="0.25">
      <c r="A77" s="31">
        <v>46038</v>
      </c>
      <c r="C77" s="33">
        <v>200000</v>
      </c>
    </row>
    <row r="78" spans="1:3" ht="15.75" customHeight="1" x14ac:dyDescent="0.25">
      <c r="A78" s="31">
        <v>46041</v>
      </c>
      <c r="C78" s="33">
        <v>150000</v>
      </c>
    </row>
    <row r="79" spans="1:3" ht="15.75" customHeight="1" x14ac:dyDescent="0.25">
      <c r="A79" s="31">
        <v>46051</v>
      </c>
      <c r="C79" s="33">
        <v>300000</v>
      </c>
    </row>
    <row r="80" spans="1:3" ht="15.75" customHeight="1" x14ac:dyDescent="0.25">
      <c r="A80" s="31">
        <v>46053</v>
      </c>
      <c r="B80" s="33">
        <v>721699</v>
      </c>
    </row>
    <row r="81" spans="1:3" ht="15.75" customHeight="1" x14ac:dyDescent="0.25">
      <c r="A81" s="31">
        <v>46063</v>
      </c>
      <c r="C81" s="33">
        <v>200000</v>
      </c>
    </row>
    <row r="82" spans="1:3" ht="15.75" customHeight="1" x14ac:dyDescent="0.25">
      <c r="A82" s="31">
        <v>46067</v>
      </c>
      <c r="C82" s="33">
        <v>200000</v>
      </c>
    </row>
    <row r="83" spans="1:3" ht="15.75" customHeight="1" x14ac:dyDescent="0.25">
      <c r="A83" s="31">
        <v>46081</v>
      </c>
      <c r="B83" s="33">
        <v>707485</v>
      </c>
    </row>
    <row r="84" spans="1:3" ht="15.75" customHeight="1" x14ac:dyDescent="0.25">
      <c r="A84" s="31">
        <v>46084</v>
      </c>
      <c r="C84" s="33">
        <v>200000</v>
      </c>
    </row>
    <row r="85" spans="1:3" ht="15.75" customHeight="1" x14ac:dyDescent="0.25">
      <c r="A85" s="31">
        <v>46097</v>
      </c>
      <c r="C85" s="33">
        <v>200000</v>
      </c>
    </row>
    <row r="86" spans="1:3" ht="15.75" customHeight="1" x14ac:dyDescent="0.25"/>
    <row r="87" spans="1:3" ht="15.75" customHeight="1" x14ac:dyDescent="0.25"/>
    <row r="88" spans="1:3" ht="15.75" customHeight="1" x14ac:dyDescent="0.25"/>
    <row r="89" spans="1:3" ht="15.75" customHeight="1" x14ac:dyDescent="0.25"/>
    <row r="90" spans="1:3" ht="15.75" customHeight="1" x14ac:dyDescent="0.25"/>
    <row r="91" spans="1:3" ht="15.75" customHeight="1" x14ac:dyDescent="0.25"/>
    <row r="92" spans="1:3" ht="15.75" customHeight="1" x14ac:dyDescent="0.25"/>
    <row r="93" spans="1:3" ht="15.75" customHeight="1" x14ac:dyDescent="0.25"/>
    <row r="94" spans="1:3" ht="15.75" customHeight="1" x14ac:dyDescent="0.25"/>
    <row r="95" spans="1:3" ht="15.75" customHeight="1" x14ac:dyDescent="0.25"/>
    <row r="96" spans="1:3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</sheetData>
  <conditionalFormatting sqref="G2">
    <cfRule type="cellIs" dxfId="97" priority="1" operator="lessThan">
      <formula>0</formula>
    </cfRule>
    <cfRule type="cellIs" dxfId="96" priority="2" operator="greaterThan">
      <formula>0</formula>
    </cfRule>
  </conditionalFormatting>
  <hyperlinks>
    <hyperlink ref="D1" location="CLIENTES!A1" display="volver" xr:uid="{00000000-0004-0000-0E00-000000000000}"/>
  </hyperlink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000"/>
  <sheetViews>
    <sheetView workbookViewId="0">
      <selection activeCell="D1" sqref="D1"/>
    </sheetView>
  </sheetViews>
  <sheetFormatPr baseColWidth="10" defaultColWidth="14.42578125" defaultRowHeight="15" customHeight="1" x14ac:dyDescent="0.25"/>
  <cols>
    <col min="1" max="1" width="15.85546875" customWidth="1"/>
    <col min="2" max="2" width="20.140625" style="33" customWidth="1"/>
    <col min="3" max="3" width="15.85546875" style="33" customWidth="1"/>
    <col min="4" max="7" width="15.85546875" customWidth="1"/>
    <col min="8" max="26" width="10.7109375" customWidth="1"/>
  </cols>
  <sheetData>
    <row r="1" spans="1:7" ht="18.75" x14ac:dyDescent="0.3">
      <c r="A1" s="12" t="s">
        <v>74</v>
      </c>
      <c r="B1"/>
      <c r="C1"/>
      <c r="D1" s="101" t="s">
        <v>52</v>
      </c>
    </row>
    <row r="2" spans="1:7" s="37" customFormat="1" ht="20.25" customHeight="1" x14ac:dyDescent="0.25">
      <c r="A2" s="37" t="s">
        <v>53</v>
      </c>
      <c r="B2" s="38" t="s">
        <v>54</v>
      </c>
      <c r="C2" s="38" t="s">
        <v>55</v>
      </c>
      <c r="D2" s="37" t="s">
        <v>56</v>
      </c>
      <c r="E2" s="37" t="s">
        <v>57</v>
      </c>
      <c r="F2" s="39" t="s">
        <v>58</v>
      </c>
      <c r="G2" s="40">
        <f>SUM(C3:C1048576) - SUM(B3:B1048576)</f>
        <v>-779358</v>
      </c>
    </row>
    <row r="4" spans="1:7" ht="15" customHeight="1" x14ac:dyDescent="0.25">
      <c r="A4" s="31">
        <v>45473</v>
      </c>
      <c r="B4" s="33">
        <v>151434</v>
      </c>
    </row>
    <row r="5" spans="1:7" ht="15" customHeight="1" x14ac:dyDescent="0.25">
      <c r="A5" s="31">
        <v>45485</v>
      </c>
      <c r="C5" s="33">
        <v>151434</v>
      </c>
    </row>
    <row r="6" spans="1:7" ht="15" customHeight="1" x14ac:dyDescent="0.25">
      <c r="A6" s="31">
        <v>45504</v>
      </c>
      <c r="B6" s="33">
        <v>671964</v>
      </c>
    </row>
    <row r="7" spans="1:7" ht="15" customHeight="1" x14ac:dyDescent="0.25">
      <c r="A7" s="31">
        <v>45505</v>
      </c>
      <c r="C7" s="33">
        <v>671964</v>
      </c>
    </row>
    <row r="8" spans="1:7" ht="15" customHeight="1" x14ac:dyDescent="0.25">
      <c r="A8" s="31">
        <v>45535</v>
      </c>
      <c r="B8" s="33">
        <v>141399</v>
      </c>
    </row>
    <row r="9" spans="1:7" ht="15" customHeight="1" x14ac:dyDescent="0.25">
      <c r="A9" s="31">
        <v>45565</v>
      </c>
      <c r="B9" s="33">
        <v>159810</v>
      </c>
    </row>
    <row r="10" spans="1:7" ht="15" customHeight="1" x14ac:dyDescent="0.25">
      <c r="A10" s="31">
        <v>45575</v>
      </c>
      <c r="C10" s="33">
        <v>301209</v>
      </c>
    </row>
    <row r="11" spans="1:7" ht="15" customHeight="1" x14ac:dyDescent="0.25">
      <c r="A11" s="31">
        <v>45596</v>
      </c>
      <c r="B11" s="33">
        <v>190847</v>
      </c>
    </row>
    <row r="12" spans="1:7" ht="15" customHeight="1" x14ac:dyDescent="0.25">
      <c r="A12" s="31">
        <v>45626</v>
      </c>
      <c r="B12" s="33">
        <v>97356</v>
      </c>
    </row>
    <row r="13" spans="1:7" ht="15" customHeight="1" x14ac:dyDescent="0.25">
      <c r="A13" s="31">
        <v>45635</v>
      </c>
      <c r="C13" s="33">
        <v>190847</v>
      </c>
    </row>
    <row r="14" spans="1:7" ht="15" customHeight="1" x14ac:dyDescent="0.25">
      <c r="A14" s="31">
        <v>45657</v>
      </c>
      <c r="B14" s="33">
        <v>97086</v>
      </c>
    </row>
    <row r="15" spans="1:7" ht="15" customHeight="1" x14ac:dyDescent="0.25">
      <c r="A15" s="31">
        <v>45660</v>
      </c>
      <c r="C15" s="33">
        <v>194442</v>
      </c>
    </row>
    <row r="16" spans="1:7" ht="15" customHeight="1" x14ac:dyDescent="0.25">
      <c r="A16" s="31">
        <v>45688</v>
      </c>
      <c r="B16" s="33">
        <v>547100</v>
      </c>
    </row>
    <row r="17" spans="1:3" ht="15" customHeight="1" x14ac:dyDescent="0.25">
      <c r="A17" s="31">
        <v>45693</v>
      </c>
      <c r="C17" s="33">
        <v>547100</v>
      </c>
    </row>
    <row r="18" spans="1:3" ht="15" customHeight="1" x14ac:dyDescent="0.25">
      <c r="A18" s="31">
        <v>45716</v>
      </c>
      <c r="B18" s="33">
        <v>463503</v>
      </c>
    </row>
    <row r="19" spans="1:3" ht="15" customHeight="1" x14ac:dyDescent="0.25">
      <c r="A19" s="31">
        <v>45717</v>
      </c>
      <c r="C19" s="33">
        <v>463503</v>
      </c>
    </row>
    <row r="20" spans="1:3" ht="15" customHeight="1" x14ac:dyDescent="0.25">
      <c r="A20" s="31">
        <v>45716</v>
      </c>
      <c r="B20" s="33">
        <v>463503</v>
      </c>
    </row>
    <row r="21" spans="1:3" ht="15.75" customHeight="1" x14ac:dyDescent="0.25">
      <c r="A21" s="31">
        <v>45716</v>
      </c>
      <c r="C21" s="33">
        <v>463503</v>
      </c>
    </row>
    <row r="22" spans="1:3" ht="15.75" customHeight="1" x14ac:dyDescent="0.25">
      <c r="A22" s="31">
        <v>45747</v>
      </c>
      <c r="B22" s="33">
        <v>265701</v>
      </c>
    </row>
    <row r="23" spans="1:3" ht="15.75" customHeight="1" x14ac:dyDescent="0.25">
      <c r="A23" s="31">
        <v>45777</v>
      </c>
      <c r="B23" s="33">
        <v>297944</v>
      </c>
    </row>
    <row r="24" spans="1:3" ht="15.75" customHeight="1" x14ac:dyDescent="0.25">
      <c r="A24" s="31">
        <v>45784</v>
      </c>
      <c r="C24" s="33">
        <v>563645</v>
      </c>
    </row>
    <row r="25" spans="1:3" ht="15.75" customHeight="1" x14ac:dyDescent="0.25">
      <c r="A25" s="31">
        <v>45807</v>
      </c>
      <c r="B25" s="33">
        <v>318941</v>
      </c>
    </row>
    <row r="26" spans="1:3" ht="15.75" customHeight="1" x14ac:dyDescent="0.25">
      <c r="A26" s="31">
        <v>45838</v>
      </c>
      <c r="B26" s="33">
        <v>193731</v>
      </c>
    </row>
    <row r="27" spans="1:3" ht="15.75" customHeight="1" x14ac:dyDescent="0.25">
      <c r="A27" s="31">
        <v>45856</v>
      </c>
      <c r="C27" s="33">
        <v>400000</v>
      </c>
    </row>
    <row r="28" spans="1:3" ht="15.75" customHeight="1" x14ac:dyDescent="0.25">
      <c r="A28" s="31">
        <v>45869</v>
      </c>
      <c r="B28" s="33">
        <v>408034</v>
      </c>
    </row>
    <row r="29" spans="1:3" ht="15.75" customHeight="1" x14ac:dyDescent="0.25">
      <c r="A29" s="31">
        <v>45878</v>
      </c>
      <c r="C29" s="33">
        <v>520706</v>
      </c>
    </row>
    <row r="30" spans="1:3" ht="15.75" customHeight="1" x14ac:dyDescent="0.25">
      <c r="A30" s="31">
        <v>45900</v>
      </c>
      <c r="B30" s="33">
        <v>287842</v>
      </c>
    </row>
    <row r="31" spans="1:3" ht="15.75" customHeight="1" x14ac:dyDescent="0.25">
      <c r="A31" s="31">
        <v>45917</v>
      </c>
      <c r="C31" s="33">
        <v>287842</v>
      </c>
    </row>
    <row r="32" spans="1:3" ht="15.75" customHeight="1" x14ac:dyDescent="0.25">
      <c r="A32" s="31">
        <v>45930</v>
      </c>
      <c r="B32" s="33">
        <v>293492</v>
      </c>
    </row>
    <row r="33" spans="1:3" ht="15.75" customHeight="1" x14ac:dyDescent="0.25">
      <c r="A33" s="31">
        <v>45961</v>
      </c>
      <c r="B33" s="33">
        <v>280424</v>
      </c>
    </row>
    <row r="34" spans="1:3" ht="15.75" customHeight="1" x14ac:dyDescent="0.25">
      <c r="A34" s="31">
        <v>45991</v>
      </c>
      <c r="B34" s="33">
        <v>375986</v>
      </c>
    </row>
    <row r="35" spans="1:3" ht="15.75" customHeight="1" x14ac:dyDescent="0.25">
      <c r="A35" s="31">
        <v>46009</v>
      </c>
      <c r="C35" s="33">
        <v>447000</v>
      </c>
    </row>
    <row r="36" spans="1:3" ht="15.75" customHeight="1" x14ac:dyDescent="0.25">
      <c r="A36" s="31">
        <v>46022</v>
      </c>
      <c r="B36" s="33">
        <v>250998</v>
      </c>
    </row>
    <row r="37" spans="1:3" ht="15.75" customHeight="1" x14ac:dyDescent="0.25">
      <c r="A37" s="31">
        <v>46053</v>
      </c>
      <c r="B37" s="33">
        <v>651508</v>
      </c>
    </row>
    <row r="38" spans="1:3" ht="15.75" customHeight="1" x14ac:dyDescent="0.25">
      <c r="A38" s="31">
        <v>46057</v>
      </c>
      <c r="C38" s="33">
        <v>1150000</v>
      </c>
    </row>
    <row r="39" spans="1:3" ht="15.75" customHeight="1" x14ac:dyDescent="0.25">
      <c r="A39" s="31">
        <v>46081</v>
      </c>
      <c r="B39" s="33">
        <v>523950</v>
      </c>
    </row>
    <row r="40" spans="1:3" ht="15.75" customHeight="1" x14ac:dyDescent="0.25"/>
    <row r="41" spans="1:3" ht="15.75" customHeight="1" x14ac:dyDescent="0.25"/>
    <row r="42" spans="1:3" ht="15.75" customHeight="1" x14ac:dyDescent="0.25"/>
    <row r="43" spans="1:3" ht="15.75" customHeight="1" x14ac:dyDescent="0.25"/>
    <row r="44" spans="1:3" ht="15.75" customHeight="1" x14ac:dyDescent="0.25"/>
    <row r="45" spans="1:3" ht="15.75" customHeight="1" x14ac:dyDescent="0.25"/>
    <row r="46" spans="1:3" ht="15.75" customHeight="1" x14ac:dyDescent="0.25"/>
    <row r="47" spans="1:3" ht="15.75" customHeight="1" x14ac:dyDescent="0.25"/>
    <row r="48" spans="1: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G2">
    <cfRule type="cellIs" dxfId="95" priority="1" operator="lessThan">
      <formula>0</formula>
    </cfRule>
    <cfRule type="cellIs" dxfId="94" priority="2" operator="greaterThan">
      <formula>0</formula>
    </cfRule>
  </conditionalFormatting>
  <hyperlinks>
    <hyperlink ref="D1" location="CLIENTES!A1" display="volver" xr:uid="{00000000-0004-0000-0F00-000000000000}"/>
  </hyperlink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000"/>
  <sheetViews>
    <sheetView workbookViewId="0">
      <selection activeCell="A4" sqref="A4:E6"/>
    </sheetView>
  </sheetViews>
  <sheetFormatPr baseColWidth="10" defaultColWidth="14.42578125" defaultRowHeight="15" customHeight="1" x14ac:dyDescent="0.25"/>
  <cols>
    <col min="1" max="6" width="10.7109375" customWidth="1"/>
    <col min="7" max="7" width="14.5703125" customWidth="1"/>
    <col min="8" max="26" width="10.7109375" customWidth="1"/>
  </cols>
  <sheetData>
    <row r="1" spans="1:7" ht="18.75" x14ac:dyDescent="0.3">
      <c r="A1" s="12" t="s">
        <v>14</v>
      </c>
      <c r="D1" s="2" t="s">
        <v>52</v>
      </c>
    </row>
    <row r="2" spans="1:7" x14ac:dyDescent="0.25">
      <c r="A2" s="1" t="s">
        <v>53</v>
      </c>
      <c r="B2" s="3" t="s">
        <v>54</v>
      </c>
      <c r="C2" s="3" t="s">
        <v>55</v>
      </c>
      <c r="D2" s="1" t="s">
        <v>56</v>
      </c>
      <c r="E2" s="1" t="s">
        <v>57</v>
      </c>
      <c r="F2" s="22" t="s">
        <v>58</v>
      </c>
      <c r="G2" s="23">
        <f>SUM(C3:C1048576) - SUM(B3:B1048576)</f>
        <v>-503463</v>
      </c>
    </row>
    <row r="4" spans="1:7" ht="15" customHeight="1" x14ac:dyDescent="0.25">
      <c r="A4" s="31">
        <v>45443</v>
      </c>
      <c r="B4">
        <v>119203</v>
      </c>
      <c r="E4" s="55" t="s">
        <v>101</v>
      </c>
    </row>
    <row r="5" spans="1:7" ht="15" customHeight="1" x14ac:dyDescent="0.25">
      <c r="A5" s="35">
        <v>45473</v>
      </c>
      <c r="B5">
        <v>105640</v>
      </c>
      <c r="E5" s="55" t="s">
        <v>101</v>
      </c>
    </row>
    <row r="6" spans="1:7" ht="15" customHeight="1" x14ac:dyDescent="0.25">
      <c r="A6" s="31">
        <v>45504</v>
      </c>
      <c r="B6">
        <v>278620</v>
      </c>
      <c r="E6" s="55" t="s">
        <v>101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G2">
    <cfRule type="cellIs" dxfId="93" priority="1" operator="lessThan">
      <formula>0</formula>
    </cfRule>
    <cfRule type="cellIs" dxfId="92" priority="2" operator="greaterThan">
      <formula>0</formula>
    </cfRule>
  </conditionalFormatting>
  <hyperlinks>
    <hyperlink ref="D1" location="Hoja1!A1" display="volver" xr:uid="{00000000-0004-0000-1000-000000000000}"/>
  </hyperlink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004"/>
  <sheetViews>
    <sheetView workbookViewId="0">
      <pane ySplit="1" topLeftCell="A2" activePane="bottomLeft" state="frozen"/>
      <selection pane="bottomLeft" activeCell="D1" sqref="D1"/>
    </sheetView>
  </sheetViews>
  <sheetFormatPr baseColWidth="10" defaultColWidth="14.42578125" defaultRowHeight="15" customHeight="1" x14ac:dyDescent="0.25"/>
  <cols>
    <col min="1" max="1" width="16.5703125" customWidth="1"/>
    <col min="2" max="2" width="20.5703125" style="33" customWidth="1"/>
    <col min="3" max="3" width="15.28515625" style="33" customWidth="1"/>
    <col min="4" max="7" width="16.5703125" customWidth="1"/>
    <col min="8" max="26" width="10.7109375" customWidth="1"/>
  </cols>
  <sheetData>
    <row r="1" spans="1:7" ht="18.75" x14ac:dyDescent="0.3">
      <c r="A1" s="12" t="s">
        <v>184</v>
      </c>
      <c r="B1" s="57"/>
      <c r="C1" s="57"/>
      <c r="D1" s="101" t="s">
        <v>52</v>
      </c>
    </row>
    <row r="2" spans="1:7" s="37" customFormat="1" ht="21" customHeight="1" x14ac:dyDescent="0.25">
      <c r="A2" s="37" t="s">
        <v>53</v>
      </c>
      <c r="B2" s="38" t="s">
        <v>54</v>
      </c>
      <c r="C2" s="38" t="s">
        <v>55</v>
      </c>
      <c r="D2" s="37" t="s">
        <v>56</v>
      </c>
      <c r="E2" s="37" t="s">
        <v>57</v>
      </c>
      <c r="F2" s="39" t="s">
        <v>58</v>
      </c>
      <c r="G2" s="40">
        <f>SUM(C3:C1048576) - SUM(B3:B1048576)</f>
        <v>-1515709</v>
      </c>
    </row>
    <row r="3" spans="1:7" ht="15" customHeight="1" x14ac:dyDescent="0.25">
      <c r="A3" s="57" t="s">
        <v>105</v>
      </c>
      <c r="B3" s="33">
        <v>1319974</v>
      </c>
    </row>
    <row r="4" spans="1:7" ht="15" customHeight="1" x14ac:dyDescent="0.25">
      <c r="A4" s="31">
        <v>45443</v>
      </c>
      <c r="B4" s="33">
        <v>158646</v>
      </c>
      <c r="E4" s="55" t="s">
        <v>100</v>
      </c>
    </row>
    <row r="5" spans="1:7" ht="15" customHeight="1" x14ac:dyDescent="0.25">
      <c r="A5" s="31">
        <v>45443</v>
      </c>
      <c r="B5" s="33">
        <v>119203</v>
      </c>
      <c r="E5" s="55" t="s">
        <v>101</v>
      </c>
    </row>
    <row r="6" spans="1:7" ht="15" customHeight="1" x14ac:dyDescent="0.25">
      <c r="A6" s="31">
        <v>45443</v>
      </c>
      <c r="B6" s="33">
        <v>114534</v>
      </c>
      <c r="E6" s="55" t="s">
        <v>102</v>
      </c>
    </row>
    <row r="7" spans="1:7" ht="15" customHeight="1" x14ac:dyDescent="0.25">
      <c r="A7" s="21">
        <v>45443</v>
      </c>
      <c r="B7" s="32">
        <v>41034</v>
      </c>
      <c r="E7" s="34" t="s">
        <v>5</v>
      </c>
    </row>
    <row r="8" spans="1:7" ht="15" customHeight="1" x14ac:dyDescent="0.25">
      <c r="A8" s="31">
        <v>45443</v>
      </c>
      <c r="B8" s="33">
        <v>52258</v>
      </c>
      <c r="E8" s="55" t="s">
        <v>99</v>
      </c>
    </row>
    <row r="9" spans="1:7" ht="15" customHeight="1" x14ac:dyDescent="0.25">
      <c r="A9" s="31">
        <v>45443</v>
      </c>
      <c r="C9" s="33">
        <v>500400</v>
      </c>
      <c r="E9" s="55"/>
    </row>
    <row r="10" spans="1:7" ht="15" customHeight="1" x14ac:dyDescent="0.25">
      <c r="A10" s="31">
        <v>45473</v>
      </c>
      <c r="B10" s="33">
        <v>226802</v>
      </c>
      <c r="E10" s="55" t="s">
        <v>100</v>
      </c>
    </row>
    <row r="11" spans="1:7" ht="15" customHeight="1" x14ac:dyDescent="0.25">
      <c r="A11" s="35">
        <v>45473</v>
      </c>
      <c r="B11" s="33">
        <v>105640</v>
      </c>
      <c r="E11" s="55" t="s">
        <v>101</v>
      </c>
    </row>
    <row r="12" spans="1:7" ht="15" customHeight="1" x14ac:dyDescent="0.25">
      <c r="A12" s="35">
        <v>45473</v>
      </c>
      <c r="B12" s="33">
        <v>127254</v>
      </c>
      <c r="E12" s="55" t="s">
        <v>102</v>
      </c>
    </row>
    <row r="13" spans="1:7" ht="15" customHeight="1" x14ac:dyDescent="0.25">
      <c r="A13" s="21">
        <v>45473</v>
      </c>
      <c r="B13" s="32">
        <v>130458</v>
      </c>
      <c r="E13" s="34" t="s">
        <v>5</v>
      </c>
    </row>
    <row r="14" spans="1:7" ht="15" customHeight="1" x14ac:dyDescent="0.25">
      <c r="A14" s="31">
        <v>45473</v>
      </c>
      <c r="B14" s="33">
        <v>187075</v>
      </c>
      <c r="E14" s="55" t="s">
        <v>99</v>
      </c>
    </row>
    <row r="15" spans="1:7" ht="15" customHeight="1" x14ac:dyDescent="0.25">
      <c r="A15" s="31">
        <v>45473</v>
      </c>
      <c r="C15" s="33">
        <v>803240</v>
      </c>
      <c r="E15" s="55"/>
    </row>
    <row r="16" spans="1:7" ht="15" customHeight="1" x14ac:dyDescent="0.25">
      <c r="A16" s="31">
        <v>45504</v>
      </c>
      <c r="B16" s="33">
        <v>357583</v>
      </c>
      <c r="E16" s="55" t="s">
        <v>100</v>
      </c>
    </row>
    <row r="17" spans="1:5" ht="15" customHeight="1" x14ac:dyDescent="0.25">
      <c r="A17" s="31">
        <v>45504</v>
      </c>
      <c r="B17" s="33">
        <v>278620</v>
      </c>
      <c r="E17" s="55" t="s">
        <v>101</v>
      </c>
    </row>
    <row r="18" spans="1:5" ht="15" customHeight="1" x14ac:dyDescent="0.25">
      <c r="A18" s="31">
        <v>45504</v>
      </c>
      <c r="B18" s="33">
        <v>221087</v>
      </c>
      <c r="E18" s="55" t="s">
        <v>102</v>
      </c>
    </row>
    <row r="19" spans="1:5" ht="15" customHeight="1" x14ac:dyDescent="0.25">
      <c r="A19" s="31">
        <v>45504</v>
      </c>
      <c r="B19" s="33">
        <v>246550</v>
      </c>
      <c r="E19" s="34" t="s">
        <v>5</v>
      </c>
    </row>
    <row r="20" spans="1:5" ht="15" customHeight="1" x14ac:dyDescent="0.25">
      <c r="A20" s="31">
        <v>45504</v>
      </c>
      <c r="B20" s="33">
        <v>287667</v>
      </c>
      <c r="E20" s="55" t="s">
        <v>99</v>
      </c>
    </row>
    <row r="21" spans="1:5" ht="15" customHeight="1" x14ac:dyDescent="0.25">
      <c r="A21" s="31">
        <v>45504</v>
      </c>
      <c r="C21" s="33">
        <v>406740</v>
      </c>
    </row>
    <row r="22" spans="1:5" ht="15" customHeight="1" x14ac:dyDescent="0.25">
      <c r="A22" s="31">
        <v>45524</v>
      </c>
      <c r="C22" s="33">
        <v>604921</v>
      </c>
    </row>
    <row r="23" spans="1:5" ht="15.75" customHeight="1" x14ac:dyDescent="0.25">
      <c r="A23" s="31">
        <v>45535</v>
      </c>
      <c r="B23" s="33">
        <v>128925</v>
      </c>
      <c r="E23" s="55" t="s">
        <v>100</v>
      </c>
    </row>
    <row r="24" spans="1:5" ht="15.75" customHeight="1" x14ac:dyDescent="0.25">
      <c r="A24" s="31">
        <v>45535</v>
      </c>
      <c r="B24" s="33">
        <v>105858</v>
      </c>
      <c r="E24" s="55" t="s">
        <v>101</v>
      </c>
    </row>
    <row r="25" spans="1:5" ht="15.75" customHeight="1" x14ac:dyDescent="0.25">
      <c r="A25" s="31">
        <v>45535</v>
      </c>
      <c r="B25" s="33">
        <v>128125</v>
      </c>
      <c r="E25" s="55" t="s">
        <v>102</v>
      </c>
    </row>
    <row r="26" spans="1:5" ht="15.75" customHeight="1" x14ac:dyDescent="0.25">
      <c r="A26" s="31">
        <v>45535</v>
      </c>
      <c r="B26" s="33">
        <v>33934</v>
      </c>
      <c r="E26" s="34" t="s">
        <v>5</v>
      </c>
    </row>
    <row r="27" spans="1:5" ht="15.75" customHeight="1" x14ac:dyDescent="0.25">
      <c r="A27" s="31">
        <v>45535</v>
      </c>
      <c r="B27" s="33">
        <v>90909</v>
      </c>
      <c r="E27" s="55" t="s">
        <v>99</v>
      </c>
    </row>
    <row r="28" spans="1:5" ht="15.75" customHeight="1" x14ac:dyDescent="0.25">
      <c r="A28" s="31">
        <v>45564</v>
      </c>
      <c r="C28" s="33">
        <v>1035381</v>
      </c>
      <c r="D28" t="s">
        <v>91</v>
      </c>
      <c r="E28" s="55"/>
    </row>
    <row r="29" spans="1:5" ht="15.75" customHeight="1" x14ac:dyDescent="0.25">
      <c r="A29" s="31">
        <v>45565</v>
      </c>
      <c r="B29" s="33">
        <v>247392</v>
      </c>
      <c r="E29" s="55" t="s">
        <v>100</v>
      </c>
    </row>
    <row r="30" spans="1:5" ht="15.75" customHeight="1" x14ac:dyDescent="0.25">
      <c r="A30" s="31">
        <v>45565</v>
      </c>
      <c r="B30" s="33">
        <v>133948</v>
      </c>
      <c r="E30" s="55" t="s">
        <v>101</v>
      </c>
    </row>
    <row r="31" spans="1:5" ht="15.75" customHeight="1" x14ac:dyDescent="0.25">
      <c r="A31" s="31">
        <v>45565</v>
      </c>
      <c r="B31" s="33">
        <v>177758</v>
      </c>
      <c r="E31" s="55" t="s">
        <v>102</v>
      </c>
    </row>
    <row r="32" spans="1:5" ht="15.75" customHeight="1" x14ac:dyDescent="0.25">
      <c r="A32" s="31">
        <v>45565</v>
      </c>
      <c r="B32" s="33">
        <v>132523</v>
      </c>
      <c r="E32" s="34" t="s">
        <v>5</v>
      </c>
    </row>
    <row r="33" spans="1:5" ht="15.75" customHeight="1" x14ac:dyDescent="0.25">
      <c r="A33" s="31">
        <v>45565</v>
      </c>
      <c r="B33" s="33">
        <v>95167</v>
      </c>
      <c r="E33" s="55" t="s">
        <v>99</v>
      </c>
    </row>
    <row r="34" spans="1:5" ht="15.75" customHeight="1" x14ac:dyDescent="0.25">
      <c r="A34" s="31"/>
      <c r="E34" s="55"/>
    </row>
    <row r="35" spans="1:5" ht="15.75" customHeight="1" x14ac:dyDescent="0.25">
      <c r="A35" s="31">
        <v>45596</v>
      </c>
      <c r="B35" s="33">
        <v>330035</v>
      </c>
      <c r="E35" s="55" t="s">
        <v>100</v>
      </c>
    </row>
    <row r="36" spans="1:5" ht="15.75" customHeight="1" x14ac:dyDescent="0.25">
      <c r="A36" s="31">
        <v>45596</v>
      </c>
      <c r="B36" s="33">
        <v>115152</v>
      </c>
      <c r="E36" s="55" t="s">
        <v>101</v>
      </c>
    </row>
    <row r="37" spans="1:5" ht="15.75" customHeight="1" x14ac:dyDescent="0.25">
      <c r="A37" s="31">
        <v>45596</v>
      </c>
      <c r="B37" s="33">
        <v>102174</v>
      </c>
      <c r="E37" s="55" t="s">
        <v>102</v>
      </c>
    </row>
    <row r="38" spans="1:5" ht="15.75" customHeight="1" x14ac:dyDescent="0.25">
      <c r="A38" s="31">
        <v>45596</v>
      </c>
      <c r="B38" s="33">
        <v>192400</v>
      </c>
      <c r="E38" s="34" t="s">
        <v>5</v>
      </c>
    </row>
    <row r="39" spans="1:5" ht="15.75" customHeight="1" x14ac:dyDescent="0.25">
      <c r="A39" s="31">
        <v>45596</v>
      </c>
      <c r="B39" s="33">
        <v>364925</v>
      </c>
      <c r="E39" s="55" t="s">
        <v>99</v>
      </c>
    </row>
    <row r="40" spans="1:5" ht="15.75" customHeight="1" x14ac:dyDescent="0.25">
      <c r="A40" s="31">
        <v>45618</v>
      </c>
      <c r="C40" s="33">
        <v>204000</v>
      </c>
    </row>
    <row r="41" spans="1:5" ht="15.75" customHeight="1" x14ac:dyDescent="0.25">
      <c r="A41" s="31">
        <v>45626</v>
      </c>
      <c r="B41" s="33">
        <v>365539</v>
      </c>
      <c r="E41" t="s">
        <v>143</v>
      </c>
    </row>
    <row r="42" spans="1:5" ht="15.75" customHeight="1" x14ac:dyDescent="0.25">
      <c r="A42" s="31">
        <v>45626</v>
      </c>
      <c r="B42" s="33">
        <v>89698</v>
      </c>
      <c r="E42" t="s">
        <v>102</v>
      </c>
    </row>
    <row r="43" spans="1:5" ht="15.75" customHeight="1" x14ac:dyDescent="0.25">
      <c r="A43" s="31">
        <v>45626</v>
      </c>
      <c r="B43" s="33">
        <v>202299</v>
      </c>
      <c r="E43" t="s">
        <v>100</v>
      </c>
    </row>
    <row r="44" spans="1:5" ht="15.75" customHeight="1" x14ac:dyDescent="0.25">
      <c r="A44" s="31">
        <v>45626</v>
      </c>
      <c r="B44" s="33">
        <v>278959</v>
      </c>
      <c r="E44" s="91" t="s">
        <v>5</v>
      </c>
    </row>
    <row r="45" spans="1:5" ht="15.75" customHeight="1" x14ac:dyDescent="0.25">
      <c r="A45" s="31">
        <v>45626</v>
      </c>
      <c r="B45" s="33">
        <v>263328</v>
      </c>
      <c r="E45" s="91" t="s">
        <v>14</v>
      </c>
    </row>
    <row r="46" spans="1:5" ht="15.75" customHeight="1" x14ac:dyDescent="0.25">
      <c r="A46" t="s">
        <v>147</v>
      </c>
      <c r="C46" s="33">
        <v>618800</v>
      </c>
    </row>
    <row r="47" spans="1:5" ht="15.75" customHeight="1" x14ac:dyDescent="0.25">
      <c r="A47" s="31">
        <v>45657</v>
      </c>
      <c r="B47" s="33">
        <v>209417</v>
      </c>
      <c r="E47" t="s">
        <v>148</v>
      </c>
    </row>
    <row r="48" spans="1:5" ht="15.75" customHeight="1" x14ac:dyDescent="0.25">
      <c r="A48" s="31">
        <v>45657</v>
      </c>
      <c r="B48" s="33">
        <v>116331</v>
      </c>
      <c r="E48" t="s">
        <v>26</v>
      </c>
    </row>
    <row r="49" spans="1:5" ht="15.75" customHeight="1" x14ac:dyDescent="0.25">
      <c r="A49" s="31">
        <v>45657</v>
      </c>
      <c r="B49" s="33">
        <v>210322</v>
      </c>
      <c r="E49" t="s">
        <v>50</v>
      </c>
    </row>
    <row r="50" spans="1:5" ht="15.75" customHeight="1" x14ac:dyDescent="0.25">
      <c r="A50" s="31">
        <v>45657</v>
      </c>
      <c r="B50" s="33">
        <v>239665</v>
      </c>
      <c r="E50" t="s">
        <v>14</v>
      </c>
    </row>
    <row r="51" spans="1:5" ht="15.75" customHeight="1" x14ac:dyDescent="0.25">
      <c r="A51" t="s">
        <v>173</v>
      </c>
    </row>
    <row r="52" spans="1:5" ht="15.75" customHeight="1" x14ac:dyDescent="0.25">
      <c r="A52" s="31">
        <v>45688</v>
      </c>
      <c r="B52" s="33">
        <v>558476</v>
      </c>
      <c r="E52" t="s">
        <v>148</v>
      </c>
    </row>
    <row r="53" spans="1:5" ht="15.75" customHeight="1" x14ac:dyDescent="0.25">
      <c r="A53" s="31">
        <v>45688</v>
      </c>
      <c r="B53" s="33">
        <v>298575</v>
      </c>
      <c r="E53" t="s">
        <v>26</v>
      </c>
    </row>
    <row r="54" spans="1:5" ht="15.75" customHeight="1" x14ac:dyDescent="0.25">
      <c r="A54" s="31">
        <v>45688</v>
      </c>
      <c r="B54" s="33">
        <v>686319</v>
      </c>
      <c r="E54" t="s">
        <v>50</v>
      </c>
    </row>
    <row r="55" spans="1:5" ht="15.75" customHeight="1" x14ac:dyDescent="0.25">
      <c r="A55" s="31">
        <v>45688</v>
      </c>
      <c r="B55" s="33">
        <v>529273</v>
      </c>
      <c r="E55" t="s">
        <v>14</v>
      </c>
    </row>
    <row r="56" spans="1:5" ht="15.75" customHeight="1" x14ac:dyDescent="0.25">
      <c r="A56" s="31">
        <v>45712</v>
      </c>
      <c r="C56" s="33">
        <v>6318026</v>
      </c>
    </row>
    <row r="57" spans="1:5" ht="15.75" customHeight="1" x14ac:dyDescent="0.25">
      <c r="A57" s="31">
        <v>45712</v>
      </c>
      <c r="C57" s="33">
        <v>52000</v>
      </c>
      <c r="E57" t="s">
        <v>50</v>
      </c>
    </row>
    <row r="58" spans="1:5" ht="15.75" customHeight="1" x14ac:dyDescent="0.25">
      <c r="A58" s="31">
        <v>45712</v>
      </c>
      <c r="C58" s="33">
        <v>75000</v>
      </c>
      <c r="E58" t="s">
        <v>14</v>
      </c>
    </row>
    <row r="59" spans="1:5" ht="15.75" customHeight="1" x14ac:dyDescent="0.25">
      <c r="A59" s="31">
        <v>45714</v>
      </c>
      <c r="C59" s="33">
        <v>51700</v>
      </c>
      <c r="E59" t="s">
        <v>50</v>
      </c>
    </row>
    <row r="60" spans="1:5" ht="15.75" customHeight="1" x14ac:dyDescent="0.25">
      <c r="A60" s="31">
        <v>45714</v>
      </c>
      <c r="C60" s="33">
        <v>29000</v>
      </c>
      <c r="E60" t="s">
        <v>50</v>
      </c>
    </row>
    <row r="61" spans="1:5" ht="15.75" customHeight="1" x14ac:dyDescent="0.25">
      <c r="A61" s="31">
        <v>45714</v>
      </c>
      <c r="C61" s="33">
        <v>51700</v>
      </c>
      <c r="E61" t="s">
        <v>50</v>
      </c>
    </row>
    <row r="62" spans="1:5" ht="15.75" customHeight="1" x14ac:dyDescent="0.25">
      <c r="A62" s="31">
        <v>45716</v>
      </c>
      <c r="B62" s="33">
        <v>358254</v>
      </c>
      <c r="E62" t="s">
        <v>14</v>
      </c>
    </row>
    <row r="63" spans="1:5" ht="15.75" customHeight="1" x14ac:dyDescent="0.25">
      <c r="A63" s="31">
        <v>45716</v>
      </c>
      <c r="B63" s="33">
        <v>355561</v>
      </c>
      <c r="E63" t="s">
        <v>26</v>
      </c>
    </row>
    <row r="64" spans="1:5" ht="15.75" customHeight="1" x14ac:dyDescent="0.25">
      <c r="A64" s="31">
        <v>45716</v>
      </c>
      <c r="B64" s="33">
        <v>424631</v>
      </c>
      <c r="E64" t="s">
        <v>50</v>
      </c>
    </row>
    <row r="65" spans="1:5" ht="15.75" customHeight="1" x14ac:dyDescent="0.25">
      <c r="A65" s="31">
        <v>45716</v>
      </c>
      <c r="B65" s="33">
        <v>357910</v>
      </c>
      <c r="E65" t="s">
        <v>148</v>
      </c>
    </row>
    <row r="66" spans="1:5" ht="15.75" customHeight="1" x14ac:dyDescent="0.25">
      <c r="A66" s="31" t="s">
        <v>174</v>
      </c>
    </row>
    <row r="67" spans="1:5" ht="15.75" customHeight="1" x14ac:dyDescent="0.25"/>
    <row r="68" spans="1:5" ht="15.75" customHeight="1" x14ac:dyDescent="0.25">
      <c r="A68" s="31">
        <v>45721</v>
      </c>
      <c r="C68" s="33">
        <v>80500</v>
      </c>
    </row>
    <row r="69" spans="1:5" ht="15.75" customHeight="1" x14ac:dyDescent="0.25">
      <c r="A69" s="31">
        <v>45722</v>
      </c>
      <c r="C69" s="33">
        <v>60000</v>
      </c>
    </row>
    <row r="70" spans="1:5" ht="15.75" customHeight="1" x14ac:dyDescent="0.25">
      <c r="A70" s="31">
        <v>45743</v>
      </c>
      <c r="C70" s="33">
        <v>96000</v>
      </c>
      <c r="E70" t="s">
        <v>14</v>
      </c>
    </row>
    <row r="71" spans="1:5" ht="15.75" customHeight="1" x14ac:dyDescent="0.25">
      <c r="A71" s="31">
        <v>45742</v>
      </c>
      <c r="C71" s="33">
        <v>83000</v>
      </c>
      <c r="E71" t="s">
        <v>50</v>
      </c>
    </row>
    <row r="72" spans="1:5" ht="15.75" customHeight="1" x14ac:dyDescent="0.25">
      <c r="A72" s="31">
        <v>45747</v>
      </c>
      <c r="B72" s="33">
        <v>371766</v>
      </c>
      <c r="E72" t="s">
        <v>50</v>
      </c>
    </row>
    <row r="73" spans="1:5" ht="15.75" customHeight="1" x14ac:dyDescent="0.25">
      <c r="A73" s="31">
        <v>45747</v>
      </c>
      <c r="B73" s="33">
        <v>240622</v>
      </c>
      <c r="E73" t="s">
        <v>14</v>
      </c>
    </row>
    <row r="74" spans="1:5" ht="15.75" customHeight="1" x14ac:dyDescent="0.25">
      <c r="A74" s="31">
        <v>45747</v>
      </c>
      <c r="B74" s="33">
        <v>232354</v>
      </c>
      <c r="E74" t="s">
        <v>26</v>
      </c>
    </row>
    <row r="75" spans="1:5" ht="15.75" customHeight="1" x14ac:dyDescent="0.25">
      <c r="A75" s="31">
        <v>45747</v>
      </c>
      <c r="B75" s="33">
        <v>351645</v>
      </c>
      <c r="E75" t="s">
        <v>148</v>
      </c>
    </row>
    <row r="76" spans="1:5" ht="15.75" customHeight="1" x14ac:dyDescent="0.25">
      <c r="A76" s="31">
        <v>45760</v>
      </c>
      <c r="C76" s="33">
        <v>167063</v>
      </c>
      <c r="E76" t="s">
        <v>26</v>
      </c>
    </row>
    <row r="77" spans="1:5" ht="15.75" customHeight="1" x14ac:dyDescent="0.25">
      <c r="A77" s="31">
        <v>45777</v>
      </c>
      <c r="B77" s="33">
        <v>182981</v>
      </c>
      <c r="E77" t="s">
        <v>26</v>
      </c>
    </row>
    <row r="78" spans="1:5" ht="15.75" customHeight="1" x14ac:dyDescent="0.25">
      <c r="A78" s="31">
        <v>45777</v>
      </c>
      <c r="B78" s="33">
        <v>120405</v>
      </c>
      <c r="E78" t="s">
        <v>148</v>
      </c>
    </row>
    <row r="79" spans="1:5" ht="15.75" customHeight="1" x14ac:dyDescent="0.25">
      <c r="A79" s="31">
        <v>45777</v>
      </c>
      <c r="B79" s="33">
        <v>166976</v>
      </c>
      <c r="E79" t="s">
        <v>50</v>
      </c>
    </row>
    <row r="80" spans="1:5" ht="15.75" customHeight="1" x14ac:dyDescent="0.25">
      <c r="A80" s="31">
        <v>45777</v>
      </c>
      <c r="B80" s="33">
        <v>142891</v>
      </c>
      <c r="E80" t="s">
        <v>14</v>
      </c>
    </row>
    <row r="81" spans="1:7" ht="15.75" customHeight="1" x14ac:dyDescent="0.25">
      <c r="A81" s="31">
        <v>45794</v>
      </c>
      <c r="C81" s="33">
        <v>236250</v>
      </c>
    </row>
    <row r="82" spans="1:7" ht="15.75" customHeight="1" x14ac:dyDescent="0.25">
      <c r="A82" s="31">
        <v>45807</v>
      </c>
      <c r="B82" s="33">
        <v>85915</v>
      </c>
      <c r="E82" t="s">
        <v>50</v>
      </c>
    </row>
    <row r="83" spans="1:7" ht="15.75" customHeight="1" x14ac:dyDescent="0.25">
      <c r="A83" s="31">
        <v>45807</v>
      </c>
      <c r="B83" s="33">
        <v>149883</v>
      </c>
      <c r="E83" t="s">
        <v>14</v>
      </c>
    </row>
    <row r="84" spans="1:7" ht="15.75" customHeight="1" x14ac:dyDescent="0.25">
      <c r="A84" s="31">
        <v>45807</v>
      </c>
      <c r="B84" s="33">
        <v>158625</v>
      </c>
      <c r="E84" t="s">
        <v>148</v>
      </c>
    </row>
    <row r="85" spans="1:7" ht="15.75" customHeight="1" x14ac:dyDescent="0.25">
      <c r="A85" s="31">
        <v>45821</v>
      </c>
      <c r="C85" s="33">
        <v>150000</v>
      </c>
      <c r="F85" s="92"/>
    </row>
    <row r="86" spans="1:7" ht="15.75" customHeight="1" x14ac:dyDescent="0.25">
      <c r="A86" s="31">
        <v>45829</v>
      </c>
      <c r="C86" s="33">
        <v>49000</v>
      </c>
      <c r="F86" s="92"/>
    </row>
    <row r="87" spans="1:7" ht="15.75" customHeight="1" x14ac:dyDescent="0.25">
      <c r="A87" s="31">
        <v>45831</v>
      </c>
      <c r="C87" s="33">
        <v>303750</v>
      </c>
      <c r="F87" s="93"/>
      <c r="G87" s="91"/>
    </row>
    <row r="88" spans="1:7" ht="15.75" customHeight="1" x14ac:dyDescent="0.25">
      <c r="A88" s="31">
        <v>45836</v>
      </c>
      <c r="C88" s="33">
        <v>1000000</v>
      </c>
      <c r="F88" s="92"/>
    </row>
    <row r="89" spans="1:7" ht="15.75" customHeight="1" x14ac:dyDescent="0.25">
      <c r="A89" s="31">
        <v>45838</v>
      </c>
      <c r="B89" s="33">
        <v>82872</v>
      </c>
    </row>
    <row r="90" spans="1:7" ht="15.75" customHeight="1" x14ac:dyDescent="0.25">
      <c r="A90" s="31">
        <v>45838</v>
      </c>
      <c r="B90" s="33">
        <v>198746</v>
      </c>
    </row>
    <row r="91" spans="1:7" ht="15.75" customHeight="1" x14ac:dyDescent="0.25">
      <c r="A91" s="31">
        <v>45838</v>
      </c>
      <c r="B91" s="33">
        <v>126409</v>
      </c>
    </row>
    <row r="92" spans="1:7" ht="15.75" customHeight="1" x14ac:dyDescent="0.25">
      <c r="A92" s="31">
        <v>45839</v>
      </c>
      <c r="C92" s="33">
        <v>1000000</v>
      </c>
      <c r="D92" s="95" t="s">
        <v>176</v>
      </c>
    </row>
    <row r="93" spans="1:7" ht="15.75" customHeight="1" x14ac:dyDescent="0.25">
      <c r="A93" s="31">
        <v>45840</v>
      </c>
      <c r="C93" s="33">
        <v>500000</v>
      </c>
    </row>
    <row r="94" spans="1:7" ht="15.75" customHeight="1" x14ac:dyDescent="0.25">
      <c r="A94" s="31">
        <v>45866</v>
      </c>
      <c r="C94" s="33">
        <v>108800</v>
      </c>
    </row>
    <row r="95" spans="1:7" ht="15.75" customHeight="1" x14ac:dyDescent="0.25">
      <c r="A95" s="31">
        <v>45868</v>
      </c>
      <c r="C95" s="33">
        <v>37000</v>
      </c>
    </row>
    <row r="96" spans="1:7" ht="15.75" customHeight="1" x14ac:dyDescent="0.25">
      <c r="A96" s="31">
        <v>45868</v>
      </c>
      <c r="C96" s="33">
        <v>40500</v>
      </c>
    </row>
    <row r="97" spans="1:4" ht="15.75" customHeight="1" x14ac:dyDescent="0.25">
      <c r="A97" s="31">
        <v>45869</v>
      </c>
      <c r="C97" s="33">
        <v>64000</v>
      </c>
    </row>
    <row r="98" spans="1:4" ht="15.75" customHeight="1" x14ac:dyDescent="0.25">
      <c r="A98" s="31">
        <v>45869</v>
      </c>
      <c r="C98" s="33">
        <v>37000</v>
      </c>
    </row>
    <row r="99" spans="1:4" ht="15.75" customHeight="1" x14ac:dyDescent="0.25">
      <c r="A99" s="31">
        <v>45869</v>
      </c>
      <c r="B99" s="33">
        <v>141470</v>
      </c>
      <c r="D99" s="106" t="s">
        <v>50</v>
      </c>
    </row>
    <row r="100" spans="1:4" ht="15.75" customHeight="1" x14ac:dyDescent="0.25">
      <c r="A100" s="31">
        <v>45869</v>
      </c>
      <c r="B100" s="33">
        <v>277830</v>
      </c>
      <c r="D100" s="106" t="s">
        <v>148</v>
      </c>
    </row>
    <row r="101" spans="1:4" ht="15.75" customHeight="1" x14ac:dyDescent="0.25">
      <c r="A101" s="31">
        <v>45869</v>
      </c>
      <c r="B101" s="33">
        <v>472607</v>
      </c>
      <c r="D101" s="106" t="s">
        <v>14</v>
      </c>
    </row>
    <row r="102" spans="1:4" ht="15.75" customHeight="1" x14ac:dyDescent="0.25">
      <c r="A102" s="31">
        <v>45872</v>
      </c>
      <c r="C102" s="33">
        <v>60000</v>
      </c>
    </row>
    <row r="103" spans="1:4" ht="15.75" customHeight="1" x14ac:dyDescent="0.25">
      <c r="A103" s="31">
        <v>45873</v>
      </c>
      <c r="C103" s="33">
        <v>35000</v>
      </c>
    </row>
    <row r="104" spans="1:4" ht="15.75" customHeight="1" x14ac:dyDescent="0.25">
      <c r="A104" s="31">
        <v>45873</v>
      </c>
      <c r="C104" s="33">
        <v>30000</v>
      </c>
    </row>
    <row r="105" spans="1:4" ht="15.75" customHeight="1" x14ac:dyDescent="0.25">
      <c r="A105" s="31">
        <v>45876</v>
      </c>
      <c r="C105" s="33">
        <v>35000</v>
      </c>
    </row>
    <row r="106" spans="1:4" ht="15.75" customHeight="1" x14ac:dyDescent="0.25">
      <c r="A106" s="31">
        <v>45877</v>
      </c>
      <c r="C106" s="33">
        <v>32000</v>
      </c>
    </row>
    <row r="107" spans="1:4" ht="15.75" customHeight="1" x14ac:dyDescent="0.25">
      <c r="A107" s="31">
        <v>45877</v>
      </c>
      <c r="C107" s="33">
        <v>35000</v>
      </c>
    </row>
    <row r="108" spans="1:4" ht="15.75" customHeight="1" x14ac:dyDescent="0.25">
      <c r="A108" s="31">
        <v>45877</v>
      </c>
      <c r="C108" s="33">
        <v>4000</v>
      </c>
    </row>
    <row r="109" spans="1:4" ht="15.75" customHeight="1" x14ac:dyDescent="0.25">
      <c r="A109" s="31">
        <v>45878</v>
      </c>
      <c r="C109" s="33">
        <v>28300</v>
      </c>
    </row>
    <row r="110" spans="1:4" ht="15.75" customHeight="1" x14ac:dyDescent="0.25">
      <c r="A110" s="31">
        <v>45881</v>
      </c>
      <c r="C110" s="33">
        <v>52200</v>
      </c>
    </row>
    <row r="111" spans="1:4" ht="15.75" customHeight="1" x14ac:dyDescent="0.25">
      <c r="A111" s="31">
        <v>45883</v>
      </c>
      <c r="C111" s="33">
        <v>70000</v>
      </c>
    </row>
    <row r="112" spans="1:4" ht="15.75" customHeight="1" x14ac:dyDescent="0.25">
      <c r="A112" s="31">
        <v>45885</v>
      </c>
      <c r="C112" s="33">
        <v>39000</v>
      </c>
    </row>
    <row r="113" spans="1:4" ht="15.75" customHeight="1" x14ac:dyDescent="0.25">
      <c r="A113" s="31">
        <v>45886</v>
      </c>
      <c r="C113" s="33">
        <v>23300</v>
      </c>
    </row>
    <row r="114" spans="1:4" ht="15.75" customHeight="1" x14ac:dyDescent="0.25">
      <c r="A114" s="31">
        <v>45887</v>
      </c>
      <c r="C114" s="33">
        <v>34000</v>
      </c>
    </row>
    <row r="115" spans="1:4" ht="15.75" customHeight="1" x14ac:dyDescent="0.25">
      <c r="A115" s="31">
        <v>45888</v>
      </c>
      <c r="C115" s="33">
        <v>34000</v>
      </c>
    </row>
    <row r="116" spans="1:4" ht="15.75" customHeight="1" x14ac:dyDescent="0.25">
      <c r="A116" s="31">
        <v>45888</v>
      </c>
      <c r="C116" s="33">
        <v>24800</v>
      </c>
    </row>
    <row r="117" spans="1:4" ht="15.75" customHeight="1" x14ac:dyDescent="0.25">
      <c r="A117" s="31">
        <v>45889</v>
      </c>
      <c r="C117" s="33">
        <v>34000</v>
      </c>
    </row>
    <row r="118" spans="1:4" ht="15.75" customHeight="1" x14ac:dyDescent="0.25">
      <c r="A118" s="31">
        <v>45890</v>
      </c>
      <c r="C118" s="33">
        <v>34000</v>
      </c>
    </row>
    <row r="119" spans="1:4" ht="15.75" customHeight="1" x14ac:dyDescent="0.25">
      <c r="A119" s="31">
        <v>45890</v>
      </c>
      <c r="C119" s="33">
        <v>26000</v>
      </c>
    </row>
    <row r="120" spans="1:4" ht="15.75" customHeight="1" x14ac:dyDescent="0.25">
      <c r="A120" s="31">
        <v>45892</v>
      </c>
      <c r="C120" s="33">
        <v>26000</v>
      </c>
    </row>
    <row r="121" spans="1:4" ht="15.75" customHeight="1" x14ac:dyDescent="0.25">
      <c r="A121" s="31">
        <v>45892</v>
      </c>
      <c r="C121" s="33">
        <v>28000</v>
      </c>
    </row>
    <row r="122" spans="1:4" ht="15.75" customHeight="1" x14ac:dyDescent="0.25">
      <c r="A122" s="31">
        <v>45897</v>
      </c>
      <c r="C122" s="33">
        <v>73000</v>
      </c>
    </row>
    <row r="123" spans="1:4" ht="15.75" customHeight="1" x14ac:dyDescent="0.25">
      <c r="A123" s="31">
        <v>45898</v>
      </c>
      <c r="C123" s="33">
        <v>22000</v>
      </c>
    </row>
    <row r="124" spans="1:4" ht="15.75" customHeight="1" x14ac:dyDescent="0.25">
      <c r="A124" s="31">
        <v>45900</v>
      </c>
      <c r="B124" s="33">
        <v>184714</v>
      </c>
      <c r="D124" s="106" t="s">
        <v>50</v>
      </c>
    </row>
    <row r="125" spans="1:4" ht="15.75" customHeight="1" x14ac:dyDescent="0.25">
      <c r="A125" s="31">
        <v>45900</v>
      </c>
      <c r="B125" s="33">
        <v>242122</v>
      </c>
      <c r="D125" s="106" t="s">
        <v>148</v>
      </c>
    </row>
    <row r="126" spans="1:4" ht="15.75" customHeight="1" x14ac:dyDescent="0.25">
      <c r="A126" s="31">
        <v>45900</v>
      </c>
      <c r="B126" s="33">
        <v>338446</v>
      </c>
      <c r="D126" s="106" t="s">
        <v>14</v>
      </c>
    </row>
    <row r="127" spans="1:4" ht="15.75" customHeight="1" x14ac:dyDescent="0.25">
      <c r="A127" s="31">
        <v>45903</v>
      </c>
      <c r="C127" s="33">
        <v>55000</v>
      </c>
    </row>
    <row r="128" spans="1:4" ht="15.75" customHeight="1" x14ac:dyDescent="0.25">
      <c r="A128" s="31">
        <v>45904</v>
      </c>
      <c r="C128" s="33">
        <v>34800</v>
      </c>
    </row>
    <row r="129" spans="1:4" ht="15.75" customHeight="1" x14ac:dyDescent="0.25">
      <c r="A129" s="31">
        <v>45920</v>
      </c>
      <c r="C129" s="33">
        <v>83300</v>
      </c>
    </row>
    <row r="130" spans="1:4" ht="15.75" customHeight="1" x14ac:dyDescent="0.25">
      <c r="A130" s="31">
        <v>45922</v>
      </c>
      <c r="C130" s="33">
        <v>22500</v>
      </c>
    </row>
    <row r="131" spans="1:4" ht="15.75" customHeight="1" x14ac:dyDescent="0.25">
      <c r="A131" s="31">
        <v>45922</v>
      </c>
      <c r="C131" s="33">
        <v>28000</v>
      </c>
    </row>
    <row r="132" spans="1:4" ht="15.75" customHeight="1" x14ac:dyDescent="0.25">
      <c r="A132" s="31">
        <v>45922</v>
      </c>
      <c r="C132" s="33">
        <v>98200</v>
      </c>
    </row>
    <row r="133" spans="1:4" ht="15.75" customHeight="1" x14ac:dyDescent="0.25">
      <c r="A133" s="31">
        <v>45922</v>
      </c>
      <c r="C133" s="33">
        <v>46000</v>
      </c>
    </row>
    <row r="134" spans="1:4" ht="15.75" customHeight="1" x14ac:dyDescent="0.25">
      <c r="A134" s="31">
        <v>45923</v>
      </c>
      <c r="C134" s="33">
        <v>24800</v>
      </c>
    </row>
    <row r="135" spans="1:4" ht="15.75" customHeight="1" x14ac:dyDescent="0.25">
      <c r="A135" s="31">
        <v>45930</v>
      </c>
      <c r="B135" s="33">
        <v>212994</v>
      </c>
      <c r="D135" s="106" t="s">
        <v>50</v>
      </c>
    </row>
    <row r="136" spans="1:4" ht="15.75" customHeight="1" x14ac:dyDescent="0.25">
      <c r="A136" s="31">
        <v>45930</v>
      </c>
      <c r="B136" s="33">
        <v>195600</v>
      </c>
      <c r="D136" s="106" t="s">
        <v>148</v>
      </c>
    </row>
    <row r="137" spans="1:4" ht="15.75" customHeight="1" x14ac:dyDescent="0.25">
      <c r="A137" s="31">
        <v>45930</v>
      </c>
      <c r="B137" s="33">
        <v>338582</v>
      </c>
      <c r="D137" s="106" t="s">
        <v>14</v>
      </c>
    </row>
    <row r="138" spans="1:4" ht="15.75" customHeight="1" x14ac:dyDescent="0.25">
      <c r="A138" s="31">
        <v>45945</v>
      </c>
      <c r="C138" s="33">
        <v>216000</v>
      </c>
    </row>
    <row r="139" spans="1:4" ht="15.75" customHeight="1" x14ac:dyDescent="0.25">
      <c r="A139" s="31">
        <v>45953</v>
      </c>
      <c r="C139" s="33">
        <v>137480</v>
      </c>
    </row>
    <row r="140" spans="1:4" ht="15.75" customHeight="1" x14ac:dyDescent="0.25">
      <c r="A140" s="31">
        <v>45957</v>
      </c>
      <c r="C140" s="33">
        <v>231000</v>
      </c>
    </row>
    <row r="141" spans="1:4" ht="15.75" customHeight="1" x14ac:dyDescent="0.25">
      <c r="A141" s="31">
        <v>45961</v>
      </c>
      <c r="B141" s="33">
        <v>388931</v>
      </c>
      <c r="D141" t="s">
        <v>148</v>
      </c>
    </row>
    <row r="142" spans="1:4" ht="15.75" customHeight="1" x14ac:dyDescent="0.25">
      <c r="A142" s="31">
        <v>45961</v>
      </c>
      <c r="B142" s="33">
        <v>322433</v>
      </c>
      <c r="D142" t="s">
        <v>14</v>
      </c>
    </row>
    <row r="143" spans="1:4" ht="15.75" customHeight="1" x14ac:dyDescent="0.25">
      <c r="A143" s="31">
        <v>45961</v>
      </c>
      <c r="B143" s="33">
        <v>230476</v>
      </c>
      <c r="D143" t="s">
        <v>50</v>
      </c>
    </row>
    <row r="144" spans="1:4" ht="15.75" customHeight="1" x14ac:dyDescent="0.25">
      <c r="A144" s="31">
        <v>45983</v>
      </c>
      <c r="C144" s="136">
        <v>342600</v>
      </c>
    </row>
    <row r="145" spans="1:4" ht="15.75" customHeight="1" x14ac:dyDescent="0.25">
      <c r="A145" s="31">
        <v>45988</v>
      </c>
      <c r="C145" s="136">
        <v>57000</v>
      </c>
    </row>
    <row r="146" spans="1:4" ht="15.75" customHeight="1" x14ac:dyDescent="0.25">
      <c r="A146" s="31">
        <v>45988</v>
      </c>
      <c r="C146" s="136">
        <v>254100</v>
      </c>
    </row>
    <row r="147" spans="1:4" ht="15.75" customHeight="1" x14ac:dyDescent="0.25">
      <c r="A147" s="31">
        <v>45990</v>
      </c>
      <c r="C147" s="136">
        <v>212400</v>
      </c>
    </row>
    <row r="148" spans="1:4" ht="15.75" customHeight="1" x14ac:dyDescent="0.25">
      <c r="A148" s="31">
        <v>45991</v>
      </c>
      <c r="B148" s="33">
        <v>161362</v>
      </c>
      <c r="C148" s="136"/>
      <c r="D148" t="s">
        <v>50</v>
      </c>
    </row>
    <row r="149" spans="1:4" ht="15.75" customHeight="1" x14ac:dyDescent="0.25">
      <c r="A149" s="31">
        <v>45991</v>
      </c>
      <c r="B149" s="33">
        <v>308360</v>
      </c>
      <c r="C149" s="136"/>
      <c r="D149" t="s">
        <v>148</v>
      </c>
    </row>
    <row r="150" spans="1:4" ht="15.75" customHeight="1" x14ac:dyDescent="0.25">
      <c r="A150" s="31">
        <v>45991</v>
      </c>
      <c r="B150" s="33">
        <v>355959</v>
      </c>
      <c r="C150" s="136"/>
      <c r="D150" t="s">
        <v>14</v>
      </c>
    </row>
    <row r="151" spans="1:4" ht="15.75" customHeight="1" x14ac:dyDescent="0.25">
      <c r="A151" s="31">
        <v>46021</v>
      </c>
      <c r="C151" s="136">
        <v>1800000</v>
      </c>
      <c r="D151" t="s">
        <v>67</v>
      </c>
    </row>
    <row r="152" spans="1:4" ht="15.75" customHeight="1" x14ac:dyDescent="0.25">
      <c r="A152" s="31">
        <v>46022</v>
      </c>
      <c r="B152" s="33">
        <v>222886</v>
      </c>
      <c r="D152" t="s">
        <v>50</v>
      </c>
    </row>
    <row r="153" spans="1:4" ht="15.75" customHeight="1" x14ac:dyDescent="0.25">
      <c r="A153" s="31">
        <v>46022</v>
      </c>
      <c r="B153" s="33">
        <v>372235</v>
      </c>
      <c r="D153" t="s">
        <v>148</v>
      </c>
    </row>
    <row r="154" spans="1:4" ht="15.75" customHeight="1" x14ac:dyDescent="0.25">
      <c r="A154" s="31">
        <v>46022</v>
      </c>
      <c r="B154" s="33">
        <v>253186</v>
      </c>
      <c r="D154" t="s">
        <v>14</v>
      </c>
    </row>
    <row r="155" spans="1:4" ht="15.75" customHeight="1" x14ac:dyDescent="0.25">
      <c r="A155" s="31">
        <v>46049</v>
      </c>
      <c r="C155" s="33">
        <v>131400</v>
      </c>
    </row>
    <row r="156" spans="1:4" ht="15.75" customHeight="1" x14ac:dyDescent="0.25">
      <c r="A156" s="31">
        <v>46053</v>
      </c>
      <c r="B156" s="33">
        <v>549899</v>
      </c>
      <c r="D156" t="s">
        <v>148</v>
      </c>
    </row>
    <row r="157" spans="1:4" ht="15.75" customHeight="1" x14ac:dyDescent="0.25">
      <c r="A157" s="31">
        <v>46053</v>
      </c>
      <c r="B157" s="33">
        <v>566699</v>
      </c>
      <c r="D157" t="s">
        <v>14</v>
      </c>
    </row>
    <row r="158" spans="1:4" ht="15.75" customHeight="1" x14ac:dyDescent="0.25">
      <c r="A158" s="31">
        <v>46053</v>
      </c>
      <c r="B158" s="33">
        <v>594605</v>
      </c>
      <c r="D158" t="s">
        <v>50</v>
      </c>
    </row>
    <row r="159" spans="1:4" ht="15.75" customHeight="1" x14ac:dyDescent="0.25">
      <c r="A159" s="31">
        <v>46056</v>
      </c>
      <c r="C159" s="33">
        <v>130000</v>
      </c>
    </row>
    <row r="160" spans="1:4" ht="15.75" customHeight="1" x14ac:dyDescent="0.25">
      <c r="A160" s="31">
        <v>46056</v>
      </c>
      <c r="C160" s="33">
        <v>137500</v>
      </c>
    </row>
    <row r="161" spans="1:4" ht="15.75" customHeight="1" x14ac:dyDescent="0.25">
      <c r="A161" s="31">
        <v>46057</v>
      </c>
      <c r="C161" s="33">
        <v>306000</v>
      </c>
    </row>
    <row r="162" spans="1:4" ht="15.75" customHeight="1" x14ac:dyDescent="0.25">
      <c r="A162" s="31">
        <v>46060</v>
      </c>
      <c r="C162" s="33">
        <v>103000</v>
      </c>
    </row>
    <row r="163" spans="1:4" ht="15.75" customHeight="1" x14ac:dyDescent="0.25">
      <c r="A163" s="31">
        <v>46062</v>
      </c>
      <c r="C163" s="33">
        <v>132000</v>
      </c>
    </row>
    <row r="164" spans="1:4" ht="15.75" customHeight="1" x14ac:dyDescent="0.25">
      <c r="A164" s="31">
        <v>46062</v>
      </c>
      <c r="C164" s="33">
        <v>450000</v>
      </c>
    </row>
    <row r="165" spans="1:4" ht="15.75" customHeight="1" x14ac:dyDescent="0.25">
      <c r="A165" s="31">
        <v>46066</v>
      </c>
      <c r="C165" s="33">
        <v>165000</v>
      </c>
    </row>
    <row r="166" spans="1:4" ht="15.75" customHeight="1" x14ac:dyDescent="0.25">
      <c r="A166" s="31">
        <v>46066</v>
      </c>
      <c r="C166" s="33">
        <v>24000</v>
      </c>
    </row>
    <row r="167" spans="1:4" ht="15.75" customHeight="1" x14ac:dyDescent="0.25">
      <c r="A167" s="31">
        <v>46075</v>
      </c>
      <c r="C167" s="33">
        <v>40000</v>
      </c>
    </row>
    <row r="168" spans="1:4" ht="15.75" customHeight="1" x14ac:dyDescent="0.25">
      <c r="A168" s="31">
        <v>46076</v>
      </c>
      <c r="C168" s="33">
        <v>59000</v>
      </c>
    </row>
    <row r="169" spans="1:4" ht="15.75" customHeight="1" x14ac:dyDescent="0.25">
      <c r="A169" s="31">
        <v>46077</v>
      </c>
      <c r="C169" s="33">
        <v>195000</v>
      </c>
    </row>
    <row r="170" spans="1:4" ht="15.75" customHeight="1" x14ac:dyDescent="0.25">
      <c r="A170" s="31">
        <v>46077</v>
      </c>
      <c r="C170" s="33">
        <v>22000</v>
      </c>
    </row>
    <row r="171" spans="1:4" ht="15.75" customHeight="1" x14ac:dyDescent="0.25">
      <c r="A171" s="31">
        <v>46079</v>
      </c>
      <c r="C171" s="33">
        <v>63700</v>
      </c>
    </row>
    <row r="172" spans="1:4" ht="15.75" customHeight="1" x14ac:dyDescent="0.25">
      <c r="A172" s="31">
        <v>46079</v>
      </c>
      <c r="C172" s="33">
        <v>23000</v>
      </c>
    </row>
    <row r="173" spans="1:4" ht="15.75" customHeight="1" x14ac:dyDescent="0.25">
      <c r="A173" s="31">
        <v>46079</v>
      </c>
      <c r="C173" s="33">
        <v>28800</v>
      </c>
    </row>
    <row r="174" spans="1:4" ht="15.75" customHeight="1" x14ac:dyDescent="0.25">
      <c r="A174" s="31">
        <v>46081</v>
      </c>
      <c r="B174" s="33">
        <v>429111</v>
      </c>
      <c r="D174" t="s">
        <v>148</v>
      </c>
    </row>
    <row r="175" spans="1:4" ht="15.75" customHeight="1" x14ac:dyDescent="0.25">
      <c r="A175" s="31">
        <v>46081</v>
      </c>
      <c r="B175" s="33">
        <v>568736</v>
      </c>
      <c r="D175" t="s">
        <v>14</v>
      </c>
    </row>
    <row r="176" spans="1:4" ht="15.75" customHeight="1" x14ac:dyDescent="0.25">
      <c r="A176" s="31">
        <v>46081</v>
      </c>
      <c r="B176" s="33">
        <v>628160</v>
      </c>
      <c r="D176" t="s">
        <v>50</v>
      </c>
    </row>
    <row r="177" spans="1:3" ht="15.75" customHeight="1" x14ac:dyDescent="0.25">
      <c r="A177" s="31">
        <v>46083</v>
      </c>
      <c r="C177" s="33">
        <v>155000</v>
      </c>
    </row>
    <row r="178" spans="1:3" ht="15.75" customHeight="1" x14ac:dyDescent="0.25"/>
    <row r="179" spans="1:3" ht="15.75" customHeight="1" x14ac:dyDescent="0.25"/>
    <row r="180" spans="1:3" ht="15.75" customHeight="1" x14ac:dyDescent="0.25"/>
    <row r="181" spans="1:3" ht="15.75" customHeight="1" x14ac:dyDescent="0.25"/>
    <row r="182" spans="1:3" ht="15.75" customHeight="1" x14ac:dyDescent="0.25"/>
    <row r="183" spans="1:3" ht="15.75" customHeight="1" x14ac:dyDescent="0.25"/>
    <row r="184" spans="1:3" ht="15.75" customHeight="1" x14ac:dyDescent="0.25"/>
    <row r="185" spans="1:3" ht="15.75" customHeight="1" x14ac:dyDescent="0.25"/>
    <row r="186" spans="1:3" ht="15.75" customHeight="1" x14ac:dyDescent="0.25"/>
    <row r="187" spans="1:3" ht="15.75" customHeight="1" x14ac:dyDescent="0.25"/>
    <row r="188" spans="1:3" ht="15.75" customHeight="1" x14ac:dyDescent="0.25"/>
    <row r="189" spans="1:3" ht="15.75" customHeight="1" x14ac:dyDescent="0.25"/>
    <row r="190" spans="1:3" ht="15.75" customHeight="1" x14ac:dyDescent="0.25"/>
    <row r="191" spans="1:3" ht="15.75" customHeight="1" x14ac:dyDescent="0.25"/>
    <row r="192" spans="1:3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</sheetData>
  <conditionalFormatting sqref="G2">
    <cfRule type="cellIs" dxfId="91" priority="1" operator="lessThan">
      <formula>0</formula>
    </cfRule>
    <cfRule type="cellIs" dxfId="90" priority="2" operator="greaterThan">
      <formula>0</formula>
    </cfRule>
  </conditionalFormatting>
  <hyperlinks>
    <hyperlink ref="D1" location="CLIENTES!A1" display="volver" xr:uid="{00000000-0004-0000-1100-000000000000}"/>
  </hyperlink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001"/>
  <sheetViews>
    <sheetView zoomScale="93" workbookViewId="0">
      <selection activeCell="D1" sqref="D1"/>
    </sheetView>
  </sheetViews>
  <sheetFormatPr baseColWidth="10" defaultColWidth="14.42578125" defaultRowHeight="15" customHeight="1" x14ac:dyDescent="0.25"/>
  <cols>
    <col min="1" max="1" width="16" customWidth="1"/>
    <col min="2" max="2" width="22" style="33" customWidth="1"/>
    <col min="3" max="3" width="17.42578125" style="33" customWidth="1"/>
    <col min="4" max="5" width="23.140625" customWidth="1"/>
    <col min="6" max="7" width="17.42578125" customWidth="1"/>
    <col min="8" max="26" width="10.7109375" customWidth="1"/>
  </cols>
  <sheetData>
    <row r="1" spans="1:8" ht="18.75" x14ac:dyDescent="0.3">
      <c r="A1" s="12" t="s">
        <v>15</v>
      </c>
      <c r="B1"/>
      <c r="C1"/>
      <c r="D1" s="101" t="s">
        <v>52</v>
      </c>
    </row>
    <row r="2" spans="1:8" s="37" customFormat="1" ht="24" customHeight="1" x14ac:dyDescent="0.25">
      <c r="A2" s="37" t="s">
        <v>53</v>
      </c>
      <c r="B2" s="38" t="s">
        <v>54</v>
      </c>
      <c r="C2" s="38" t="s">
        <v>55</v>
      </c>
      <c r="D2" s="37" t="s">
        <v>56</v>
      </c>
      <c r="E2" s="37" t="s">
        <v>57</v>
      </c>
      <c r="F2" s="39" t="s">
        <v>58</v>
      </c>
      <c r="G2" s="40">
        <f>SUM(C3:C1048576) - SUM(B3:B1048576)</f>
        <v>-4458176</v>
      </c>
    </row>
    <row r="3" spans="1:8" x14ac:dyDescent="0.25">
      <c r="A3" s="1"/>
      <c r="B3" s="3"/>
      <c r="C3" s="3">
        <v>852127</v>
      </c>
      <c r="D3" s="1"/>
      <c r="E3" s="1"/>
      <c r="F3" s="69"/>
      <c r="G3" s="69"/>
    </row>
    <row r="4" spans="1:8" ht="15" customHeight="1" x14ac:dyDescent="0.25">
      <c r="A4" s="35">
        <v>45412</v>
      </c>
      <c r="B4" s="33">
        <v>1999700</v>
      </c>
      <c r="F4" s="69"/>
      <c r="G4" s="69"/>
    </row>
    <row r="5" spans="1:8" ht="15" customHeight="1" x14ac:dyDescent="0.25">
      <c r="A5" s="31">
        <v>45443</v>
      </c>
      <c r="B5" s="33">
        <v>1698806</v>
      </c>
      <c r="G5" s="152" t="s">
        <v>125</v>
      </c>
      <c r="H5" s="152"/>
    </row>
    <row r="6" spans="1:8" ht="15" customHeight="1" x14ac:dyDescent="0.25">
      <c r="A6" s="31">
        <v>45473</v>
      </c>
      <c r="B6" s="33">
        <v>2259290</v>
      </c>
      <c r="G6" s="81"/>
    </row>
    <row r="7" spans="1:8" ht="15" customHeight="1" x14ac:dyDescent="0.25">
      <c r="A7" s="31"/>
      <c r="G7" s="81"/>
    </row>
    <row r="8" spans="1:8" ht="15" customHeight="1" x14ac:dyDescent="0.25">
      <c r="A8" s="31">
        <v>45504</v>
      </c>
      <c r="B8" s="33">
        <v>2824895</v>
      </c>
      <c r="G8" s="81"/>
    </row>
    <row r="9" spans="1:8" ht="15" customHeight="1" x14ac:dyDescent="0.25">
      <c r="A9" s="31">
        <v>45510</v>
      </c>
      <c r="C9" s="33">
        <v>2200000</v>
      </c>
      <c r="D9" s="34" t="s">
        <v>75</v>
      </c>
      <c r="G9" s="33"/>
    </row>
    <row r="10" spans="1:8" ht="15" customHeight="1" x14ac:dyDescent="0.25">
      <c r="A10" s="31">
        <v>45517</v>
      </c>
      <c r="C10" s="33">
        <v>800000</v>
      </c>
      <c r="D10" t="s">
        <v>112</v>
      </c>
      <c r="G10" s="33"/>
    </row>
    <row r="11" spans="1:8" ht="15" customHeight="1" x14ac:dyDescent="0.25">
      <c r="A11" s="31">
        <v>45525</v>
      </c>
      <c r="C11" s="33">
        <v>1000000</v>
      </c>
      <c r="D11" t="s">
        <v>114</v>
      </c>
      <c r="G11" s="33"/>
    </row>
    <row r="12" spans="1:8" ht="15" customHeight="1" x14ac:dyDescent="0.25">
      <c r="A12" s="31">
        <v>45535</v>
      </c>
      <c r="B12" s="33">
        <v>1420425</v>
      </c>
    </row>
    <row r="13" spans="1:8" ht="15" customHeight="1" x14ac:dyDescent="0.25">
      <c r="A13" s="31">
        <v>45544</v>
      </c>
      <c r="C13" s="33">
        <v>600000</v>
      </c>
      <c r="D13" s="76" t="s">
        <v>127</v>
      </c>
    </row>
    <row r="14" spans="1:8" ht="15" customHeight="1" x14ac:dyDescent="0.25">
      <c r="A14" s="31">
        <v>45560</v>
      </c>
      <c r="C14" s="33">
        <v>3750000</v>
      </c>
      <c r="D14" s="76" t="s">
        <v>126</v>
      </c>
      <c r="G14" s="33"/>
    </row>
    <row r="15" spans="1:8" ht="15" customHeight="1" x14ac:dyDescent="0.25">
      <c r="A15" s="31">
        <v>45565</v>
      </c>
      <c r="B15" s="33">
        <v>2700234</v>
      </c>
    </row>
    <row r="16" spans="1:8" ht="15" customHeight="1" x14ac:dyDescent="0.25">
      <c r="A16" s="31">
        <v>45567</v>
      </c>
      <c r="C16" s="81">
        <v>2352000</v>
      </c>
      <c r="D16" t="s">
        <v>113</v>
      </c>
      <c r="G16" s="82"/>
    </row>
    <row r="17" spans="1:4" ht="15" customHeight="1" x14ac:dyDescent="0.25">
      <c r="A17" s="31">
        <v>45567</v>
      </c>
      <c r="C17" s="81">
        <v>2295000</v>
      </c>
      <c r="D17" t="s">
        <v>113</v>
      </c>
    </row>
    <row r="18" spans="1:4" ht="15" customHeight="1" x14ac:dyDescent="0.25">
      <c r="C18" s="33">
        <v>2400000</v>
      </c>
      <c r="D18" t="s">
        <v>130</v>
      </c>
    </row>
    <row r="19" spans="1:4" ht="15" customHeight="1" x14ac:dyDescent="0.25">
      <c r="A19" s="31">
        <v>45596</v>
      </c>
      <c r="B19" s="33">
        <v>2232305</v>
      </c>
    </row>
    <row r="20" spans="1:4" ht="15" customHeight="1" x14ac:dyDescent="0.25">
      <c r="A20" s="31">
        <v>45626</v>
      </c>
      <c r="B20" s="33">
        <v>2826441</v>
      </c>
    </row>
    <row r="21" spans="1:4" ht="15.75" customHeight="1" x14ac:dyDescent="0.25">
      <c r="A21" s="31">
        <v>45657</v>
      </c>
      <c r="B21" s="33">
        <v>2693494</v>
      </c>
    </row>
    <row r="22" spans="1:4" ht="15.75" customHeight="1" x14ac:dyDescent="0.25">
      <c r="A22" s="31">
        <v>45667</v>
      </c>
      <c r="C22" s="33">
        <v>2000000</v>
      </c>
      <c r="D22" t="s">
        <v>128</v>
      </c>
    </row>
    <row r="23" spans="1:4" ht="15.75" customHeight="1" x14ac:dyDescent="0.25">
      <c r="A23" s="31">
        <v>45673</v>
      </c>
      <c r="C23" s="33">
        <v>1500000</v>
      </c>
      <c r="D23" t="s">
        <v>137</v>
      </c>
    </row>
    <row r="24" spans="1:4" ht="15.75" customHeight="1" x14ac:dyDescent="0.25">
      <c r="A24" s="31">
        <v>45686</v>
      </c>
      <c r="C24" s="33">
        <v>1000000</v>
      </c>
    </row>
    <row r="25" spans="1:4" ht="15.75" customHeight="1" x14ac:dyDescent="0.25">
      <c r="A25" s="31">
        <v>45688</v>
      </c>
      <c r="B25" s="33">
        <v>4296967</v>
      </c>
    </row>
    <row r="26" spans="1:4" ht="15.75" customHeight="1" x14ac:dyDescent="0.25">
      <c r="A26" s="31">
        <v>45716</v>
      </c>
      <c r="B26" s="33">
        <v>4084494</v>
      </c>
    </row>
    <row r="27" spans="1:4" ht="15.75" customHeight="1" x14ac:dyDescent="0.25">
      <c r="A27" s="31">
        <v>45723</v>
      </c>
      <c r="C27" s="33">
        <v>1000000</v>
      </c>
    </row>
    <row r="28" spans="1:4" ht="15.75" customHeight="1" x14ac:dyDescent="0.25">
      <c r="A28" s="31">
        <v>45726</v>
      </c>
      <c r="C28" s="33">
        <v>1000000</v>
      </c>
    </row>
    <row r="29" spans="1:4" ht="15.75" customHeight="1" x14ac:dyDescent="0.25">
      <c r="A29" s="31">
        <v>45727</v>
      </c>
      <c r="C29" s="33">
        <v>1000000</v>
      </c>
    </row>
    <row r="30" spans="1:4" ht="15.75" customHeight="1" x14ac:dyDescent="0.25">
      <c r="A30" s="31">
        <v>45728</v>
      </c>
      <c r="C30" s="33">
        <v>1051920.49</v>
      </c>
    </row>
    <row r="31" spans="1:4" ht="15.75" customHeight="1" x14ac:dyDescent="0.25">
      <c r="A31" s="31">
        <v>45741</v>
      </c>
      <c r="C31" s="33">
        <v>2000000</v>
      </c>
    </row>
    <row r="32" spans="1:4" ht="15.75" customHeight="1" x14ac:dyDescent="0.25">
      <c r="A32" s="31">
        <v>45747</v>
      </c>
      <c r="C32" s="33">
        <v>750000</v>
      </c>
      <c r="D32" t="s">
        <v>149</v>
      </c>
    </row>
    <row r="33" spans="1:4" ht="15.75" customHeight="1" x14ac:dyDescent="0.25">
      <c r="A33" s="31">
        <v>45747</v>
      </c>
      <c r="C33" s="33">
        <v>750000</v>
      </c>
      <c r="D33" t="s">
        <v>112</v>
      </c>
    </row>
    <row r="34" spans="1:4" ht="15.75" customHeight="1" x14ac:dyDescent="0.25">
      <c r="A34" s="31">
        <v>45747</v>
      </c>
      <c r="B34" s="33">
        <v>3563289</v>
      </c>
    </row>
    <row r="35" spans="1:4" ht="15.75" customHeight="1" x14ac:dyDescent="0.25">
      <c r="A35" s="31">
        <v>45758</v>
      </c>
      <c r="C35" s="33">
        <v>1300000</v>
      </c>
      <c r="D35" t="s">
        <v>112</v>
      </c>
    </row>
    <row r="36" spans="1:4" ht="15.75" customHeight="1" x14ac:dyDescent="0.25">
      <c r="A36" s="31">
        <v>45758</v>
      </c>
      <c r="C36" s="33">
        <v>3000000</v>
      </c>
      <c r="D36" t="s">
        <v>112</v>
      </c>
    </row>
    <row r="37" spans="1:4" ht="15.75" customHeight="1" x14ac:dyDescent="0.25">
      <c r="A37" s="31">
        <v>45777</v>
      </c>
      <c r="B37" s="33">
        <v>3533981</v>
      </c>
    </row>
    <row r="38" spans="1:4" ht="15.75" customHeight="1" x14ac:dyDescent="0.25">
      <c r="A38" s="31">
        <v>45800</v>
      </c>
      <c r="C38" s="33">
        <v>1000000</v>
      </c>
    </row>
    <row r="39" spans="1:4" ht="15.75" customHeight="1" x14ac:dyDescent="0.25">
      <c r="A39" s="31">
        <v>45807</v>
      </c>
      <c r="B39" s="33">
        <v>3454383</v>
      </c>
    </row>
    <row r="40" spans="1:4" ht="15.75" customHeight="1" x14ac:dyDescent="0.25">
      <c r="A40" s="31">
        <v>45821</v>
      </c>
      <c r="C40" s="33">
        <v>3000000</v>
      </c>
      <c r="D40" t="s">
        <v>112</v>
      </c>
    </row>
    <row r="41" spans="1:4" ht="15.75" customHeight="1" x14ac:dyDescent="0.25">
      <c r="A41" s="31">
        <v>45821</v>
      </c>
      <c r="C41" s="33">
        <v>500000</v>
      </c>
      <c r="D41" t="s">
        <v>117</v>
      </c>
    </row>
    <row r="42" spans="1:4" ht="15.75" customHeight="1" x14ac:dyDescent="0.25">
      <c r="A42" s="31">
        <v>45835</v>
      </c>
      <c r="C42" s="33">
        <v>1287656.5</v>
      </c>
      <c r="D42" s="94" t="s">
        <v>112</v>
      </c>
    </row>
    <row r="43" spans="1:4" ht="15.75" customHeight="1" x14ac:dyDescent="0.25">
      <c r="A43" s="31">
        <v>45835</v>
      </c>
      <c r="C43" s="33">
        <v>1200000</v>
      </c>
      <c r="D43" s="94" t="s">
        <v>112</v>
      </c>
    </row>
    <row r="44" spans="1:4" ht="15.75" customHeight="1" x14ac:dyDescent="0.25">
      <c r="A44" s="31">
        <v>45838</v>
      </c>
      <c r="B44" s="33">
        <v>3181035</v>
      </c>
    </row>
    <row r="45" spans="1:4" ht="15.75" customHeight="1" x14ac:dyDescent="0.25">
      <c r="A45" s="31">
        <v>45855</v>
      </c>
      <c r="C45" s="33">
        <v>631035.01</v>
      </c>
    </row>
    <row r="46" spans="1:4" ht="15.75" customHeight="1" x14ac:dyDescent="0.25">
      <c r="A46" s="31">
        <v>45856</v>
      </c>
      <c r="C46" s="33">
        <v>550000</v>
      </c>
    </row>
    <row r="47" spans="1:4" ht="15.75" customHeight="1" x14ac:dyDescent="0.25">
      <c r="A47" s="31">
        <v>45859</v>
      </c>
      <c r="C47" s="33">
        <v>800000</v>
      </c>
    </row>
    <row r="48" spans="1:4" ht="15.75" customHeight="1" x14ac:dyDescent="0.25">
      <c r="A48" s="31">
        <v>45859</v>
      </c>
      <c r="C48" s="33">
        <v>700000</v>
      </c>
    </row>
    <row r="49" spans="1:4" ht="15.75" customHeight="1" x14ac:dyDescent="0.25">
      <c r="A49" s="31">
        <v>45869</v>
      </c>
      <c r="B49" s="33">
        <v>4533506</v>
      </c>
    </row>
    <row r="50" spans="1:4" ht="15.75" customHeight="1" x14ac:dyDescent="0.25">
      <c r="A50" s="31">
        <v>45881</v>
      </c>
      <c r="C50" s="33">
        <v>500000</v>
      </c>
    </row>
    <row r="51" spans="1:4" ht="15.75" customHeight="1" x14ac:dyDescent="0.25">
      <c r="A51" s="31">
        <v>45889</v>
      </c>
      <c r="C51" s="33">
        <v>305500</v>
      </c>
    </row>
    <row r="52" spans="1:4" ht="15.75" customHeight="1" x14ac:dyDescent="0.25">
      <c r="A52" s="31">
        <v>45890</v>
      </c>
      <c r="C52" s="33">
        <v>3500000</v>
      </c>
    </row>
    <row r="53" spans="1:4" ht="15.75" customHeight="1" x14ac:dyDescent="0.25">
      <c r="A53" s="31">
        <v>45900</v>
      </c>
      <c r="B53" s="33">
        <v>4538003</v>
      </c>
    </row>
    <row r="54" spans="1:4" ht="15.75" customHeight="1" x14ac:dyDescent="0.25">
      <c r="A54" s="31">
        <v>45903</v>
      </c>
      <c r="C54" s="33">
        <v>3200000</v>
      </c>
      <c r="D54" t="s">
        <v>208</v>
      </c>
    </row>
    <row r="55" spans="1:4" ht="15.75" customHeight="1" x14ac:dyDescent="0.25">
      <c r="A55" s="31">
        <v>45911</v>
      </c>
      <c r="C55" s="33">
        <v>800000</v>
      </c>
    </row>
    <row r="56" spans="1:4" ht="15.75" customHeight="1" x14ac:dyDescent="0.25">
      <c r="A56" s="31">
        <v>45930</v>
      </c>
      <c r="B56" s="33">
        <v>4630992</v>
      </c>
    </row>
    <row r="57" spans="1:4" ht="15.75" customHeight="1" x14ac:dyDescent="0.25">
      <c r="A57" s="31">
        <v>45940</v>
      </c>
      <c r="C57" s="33">
        <v>2000000</v>
      </c>
    </row>
    <row r="58" spans="1:4" ht="15.75" customHeight="1" x14ac:dyDescent="0.25">
      <c r="A58" s="31">
        <v>45961</v>
      </c>
      <c r="B58" s="33">
        <v>4250161</v>
      </c>
    </row>
    <row r="59" spans="1:4" ht="15.75" customHeight="1" x14ac:dyDescent="0.25">
      <c r="A59" s="31">
        <v>45972</v>
      </c>
      <c r="C59" s="33">
        <v>3000000</v>
      </c>
      <c r="D59" t="s">
        <v>207</v>
      </c>
    </row>
    <row r="60" spans="1:4" ht="15.75" customHeight="1" x14ac:dyDescent="0.25">
      <c r="A60" s="31">
        <v>45987</v>
      </c>
      <c r="C60" s="33">
        <v>2400000</v>
      </c>
      <c r="D60" t="s">
        <v>207</v>
      </c>
    </row>
    <row r="61" spans="1:4" ht="15.75" customHeight="1" x14ac:dyDescent="0.25">
      <c r="A61" s="31">
        <v>45991</v>
      </c>
      <c r="B61" s="33">
        <v>5848642</v>
      </c>
    </row>
    <row r="62" spans="1:4" ht="15.75" customHeight="1" x14ac:dyDescent="0.25">
      <c r="A62" s="31">
        <v>45996</v>
      </c>
      <c r="C62" s="33">
        <v>6000000</v>
      </c>
      <c r="D62" t="s">
        <v>207</v>
      </c>
    </row>
    <row r="63" spans="1:4" ht="15.75" customHeight="1" x14ac:dyDescent="0.25">
      <c r="A63" s="31">
        <v>46022</v>
      </c>
      <c r="B63" s="33">
        <v>4753138</v>
      </c>
    </row>
    <row r="64" spans="1:4" ht="15.75" customHeight="1" x14ac:dyDescent="0.25">
      <c r="A64" s="31">
        <v>46028</v>
      </c>
      <c r="C64" s="33">
        <v>2000000</v>
      </c>
    </row>
    <row r="65" spans="1:4" ht="15.75" customHeight="1" x14ac:dyDescent="0.25">
      <c r="A65" s="31">
        <v>46036</v>
      </c>
      <c r="C65" s="33">
        <v>1000000</v>
      </c>
    </row>
    <row r="66" spans="1:4" ht="15.75" customHeight="1" x14ac:dyDescent="0.25">
      <c r="A66" s="31">
        <v>46043</v>
      </c>
      <c r="C66" s="33">
        <v>2000000</v>
      </c>
    </row>
    <row r="67" spans="1:4" ht="15.75" customHeight="1" x14ac:dyDescent="0.25">
      <c r="A67" s="31">
        <v>46053</v>
      </c>
      <c r="B67" s="33">
        <v>5364104</v>
      </c>
    </row>
    <row r="68" spans="1:4" ht="15.75" customHeight="1" x14ac:dyDescent="0.25">
      <c r="A68" s="31">
        <v>46055</v>
      </c>
      <c r="C68" s="33">
        <v>1000000</v>
      </c>
    </row>
    <row r="69" spans="1:4" ht="15.75" customHeight="1" x14ac:dyDescent="0.25">
      <c r="A69" s="31">
        <v>46059</v>
      </c>
      <c r="C69" s="33">
        <v>2000000</v>
      </c>
    </row>
    <row r="70" spans="1:4" ht="15.75" customHeight="1" x14ac:dyDescent="0.25">
      <c r="A70" s="31">
        <v>46066</v>
      </c>
      <c r="C70" s="33">
        <v>1000000</v>
      </c>
    </row>
    <row r="71" spans="1:4" ht="15.75" customHeight="1" x14ac:dyDescent="0.25">
      <c r="A71" s="147">
        <v>46071</v>
      </c>
      <c r="C71" s="146"/>
      <c r="D71" s="149" t="s">
        <v>231</v>
      </c>
    </row>
    <row r="72" spans="1:4" ht="15.75" customHeight="1" x14ac:dyDescent="0.25">
      <c r="A72" s="31">
        <v>46081</v>
      </c>
      <c r="B72" s="33">
        <v>4808176</v>
      </c>
    </row>
    <row r="73" spans="1:4" ht="15.75" customHeight="1" x14ac:dyDescent="0.25">
      <c r="A73" s="31">
        <v>46087</v>
      </c>
      <c r="C73" s="33">
        <v>1100000</v>
      </c>
    </row>
    <row r="74" spans="1:4" ht="15.75" customHeight="1" x14ac:dyDescent="0.25">
      <c r="A74" s="31">
        <v>46095</v>
      </c>
      <c r="C74" s="33">
        <v>1000000</v>
      </c>
    </row>
    <row r="75" spans="1:4" ht="15.75" customHeight="1" x14ac:dyDescent="0.25">
      <c r="A75" s="31">
        <v>46098</v>
      </c>
      <c r="C75" s="33">
        <v>1963046</v>
      </c>
    </row>
    <row r="76" spans="1:4" ht="15.75" customHeight="1" x14ac:dyDescent="0.25"/>
    <row r="77" spans="1:4" ht="15.75" customHeight="1" x14ac:dyDescent="0.25"/>
    <row r="78" spans="1:4" ht="15.75" customHeight="1" x14ac:dyDescent="0.25"/>
    <row r="79" spans="1:4" ht="15.75" customHeight="1" x14ac:dyDescent="0.25"/>
    <row r="80" spans="1:4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1">
    <mergeCell ref="G5:H5"/>
  </mergeCells>
  <conditionalFormatting sqref="G2">
    <cfRule type="cellIs" dxfId="89" priority="1" operator="lessThan">
      <formula>0</formula>
    </cfRule>
    <cfRule type="cellIs" dxfId="88" priority="2" operator="greaterThan">
      <formula>0</formula>
    </cfRule>
  </conditionalFormatting>
  <hyperlinks>
    <hyperlink ref="D1" location="CLIENTES!A1" display="volver" xr:uid="{00000000-0004-0000-1200-000000000000}"/>
  </hyperlinks>
  <pageMargins left="0.7" right="0.7" top="0.75" bottom="0.75" header="0" footer="0"/>
  <pageSetup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000"/>
  <sheetViews>
    <sheetView workbookViewId="0">
      <selection activeCell="D1" sqref="D1"/>
    </sheetView>
  </sheetViews>
  <sheetFormatPr baseColWidth="10" defaultColWidth="14.42578125" defaultRowHeight="15" customHeight="1" x14ac:dyDescent="0.25"/>
  <cols>
    <col min="1" max="1" width="15" customWidth="1"/>
    <col min="2" max="2" width="20.140625" style="33" customWidth="1"/>
    <col min="3" max="3" width="15" style="33" customWidth="1"/>
    <col min="4" max="7" width="15" customWidth="1"/>
    <col min="8" max="26" width="10.7109375" customWidth="1"/>
  </cols>
  <sheetData>
    <row r="1" spans="1:7" ht="18.75" x14ac:dyDescent="0.3">
      <c r="A1" s="12" t="s">
        <v>221</v>
      </c>
      <c r="B1"/>
      <c r="C1"/>
      <c r="D1" s="101" t="s">
        <v>52</v>
      </c>
    </row>
    <row r="2" spans="1:7" s="37" customFormat="1" ht="18.75" customHeight="1" x14ac:dyDescent="0.25">
      <c r="A2" s="37" t="s">
        <v>53</v>
      </c>
      <c r="B2" s="38" t="s">
        <v>54</v>
      </c>
      <c r="C2" s="38" t="s">
        <v>55</v>
      </c>
      <c r="D2" s="37" t="s">
        <v>56</v>
      </c>
      <c r="E2" s="37" t="s">
        <v>57</v>
      </c>
      <c r="F2" s="39" t="s">
        <v>58</v>
      </c>
      <c r="G2" s="40">
        <f>SUM(C3:C1048576) - SUM(B3:B1048576)</f>
        <v>0</v>
      </c>
    </row>
    <row r="3" spans="1:7" ht="15" customHeight="1" x14ac:dyDescent="0.25">
      <c r="A3" s="31">
        <v>46053</v>
      </c>
      <c r="B3" s="33">
        <v>359984</v>
      </c>
    </row>
    <row r="4" spans="1:7" ht="15" customHeight="1" x14ac:dyDescent="0.25">
      <c r="A4" s="31">
        <v>46053</v>
      </c>
      <c r="C4" s="33">
        <v>359984</v>
      </c>
    </row>
    <row r="5" spans="1:7" ht="15" customHeight="1" x14ac:dyDescent="0.25">
      <c r="A5" s="31">
        <v>46081</v>
      </c>
      <c r="B5" s="33">
        <v>340729</v>
      </c>
    </row>
    <row r="6" spans="1:7" ht="15" customHeight="1" x14ac:dyDescent="0.25">
      <c r="A6" s="31">
        <v>46081</v>
      </c>
      <c r="C6" s="33">
        <v>340729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G2">
    <cfRule type="cellIs" dxfId="87" priority="1" operator="lessThan">
      <formula>0</formula>
    </cfRule>
    <cfRule type="cellIs" dxfId="86" priority="2" operator="greaterThan">
      <formula>0</formula>
    </cfRule>
  </conditionalFormatting>
  <hyperlinks>
    <hyperlink ref="D1" location="CLIENTES!A1" display="volver" xr:uid="{00000000-0004-0000-1300-000000000000}"/>
  </hyperlink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1000"/>
  <sheetViews>
    <sheetView workbookViewId="0">
      <selection activeCell="D1" sqref="D1"/>
    </sheetView>
  </sheetViews>
  <sheetFormatPr baseColWidth="10" defaultColWidth="14.42578125" defaultRowHeight="15" customHeight="1" x14ac:dyDescent="0.25"/>
  <cols>
    <col min="1" max="1" width="16" customWidth="1"/>
    <col min="2" max="2" width="20.42578125" style="33" customWidth="1"/>
    <col min="3" max="3" width="16" style="33" customWidth="1"/>
    <col min="4" max="7" width="16" customWidth="1"/>
    <col min="8" max="26" width="10.7109375" customWidth="1"/>
  </cols>
  <sheetData>
    <row r="1" spans="1:7" ht="18.75" x14ac:dyDescent="0.3">
      <c r="A1" s="12" t="s">
        <v>16</v>
      </c>
      <c r="B1"/>
      <c r="C1"/>
      <c r="D1" s="101" t="s">
        <v>52</v>
      </c>
    </row>
    <row r="2" spans="1:7" s="37" customFormat="1" ht="18" customHeight="1" x14ac:dyDescent="0.25">
      <c r="A2" s="37" t="s">
        <v>53</v>
      </c>
      <c r="B2" s="38" t="s">
        <v>54</v>
      </c>
      <c r="C2" s="38" t="s">
        <v>55</v>
      </c>
      <c r="D2" s="37" t="s">
        <v>56</v>
      </c>
      <c r="E2" s="37" t="s">
        <v>57</v>
      </c>
      <c r="F2" s="39" t="s">
        <v>58</v>
      </c>
      <c r="G2" s="40">
        <f>SUM(C3:C1048576) - SUM(B3:B1048576)</f>
        <v>0</v>
      </c>
    </row>
    <row r="4" spans="1:7" ht="15" customHeight="1" x14ac:dyDescent="0.25">
      <c r="A4" s="31">
        <v>45443</v>
      </c>
      <c r="B4" s="33">
        <v>128015</v>
      </c>
    </row>
    <row r="5" spans="1:7" ht="15" customHeight="1" x14ac:dyDescent="0.25">
      <c r="A5" s="31">
        <v>45473</v>
      </c>
      <c r="B5" s="33">
        <v>321479</v>
      </c>
    </row>
    <row r="6" spans="1:7" ht="15" customHeight="1" x14ac:dyDescent="0.25">
      <c r="A6" s="31">
        <v>45504</v>
      </c>
      <c r="B6" s="33">
        <v>296576</v>
      </c>
    </row>
    <row r="7" spans="1:7" ht="15" customHeight="1" x14ac:dyDescent="0.25">
      <c r="A7" s="31">
        <v>45522</v>
      </c>
      <c r="C7" s="33">
        <v>746070</v>
      </c>
    </row>
    <row r="8" spans="1:7" ht="15" customHeight="1" x14ac:dyDescent="0.25">
      <c r="A8" s="31">
        <v>45535</v>
      </c>
      <c r="B8" s="33">
        <v>220443</v>
      </c>
    </row>
    <row r="9" spans="1:7" ht="15" customHeight="1" x14ac:dyDescent="0.25">
      <c r="A9" s="31">
        <v>45547</v>
      </c>
      <c r="C9" s="33">
        <v>220443</v>
      </c>
    </row>
    <row r="10" spans="1:7" ht="15" customHeight="1" x14ac:dyDescent="0.25">
      <c r="A10" s="31">
        <v>45565</v>
      </c>
      <c r="B10" s="33">
        <v>219360</v>
      </c>
    </row>
    <row r="11" spans="1:7" ht="15" customHeight="1" x14ac:dyDescent="0.25">
      <c r="A11" s="31">
        <v>45572</v>
      </c>
      <c r="C11" s="33">
        <v>219360</v>
      </c>
      <c r="D11" t="s">
        <v>91</v>
      </c>
    </row>
    <row r="12" spans="1:7" ht="15" customHeight="1" x14ac:dyDescent="0.25">
      <c r="A12" s="31">
        <v>45596</v>
      </c>
      <c r="B12" s="33">
        <v>411241</v>
      </c>
    </row>
    <row r="13" spans="1:7" ht="15" customHeight="1" x14ac:dyDescent="0.25">
      <c r="A13" s="31">
        <v>45601</v>
      </c>
      <c r="C13" s="33">
        <v>411241</v>
      </c>
    </row>
    <row r="14" spans="1:7" ht="15" customHeight="1" x14ac:dyDescent="0.25">
      <c r="A14" s="31">
        <v>45626</v>
      </c>
      <c r="B14" s="33">
        <v>395562</v>
      </c>
    </row>
    <row r="15" spans="1:7" ht="15" customHeight="1" x14ac:dyDescent="0.25">
      <c r="A15" s="31">
        <v>45632</v>
      </c>
      <c r="C15" s="33">
        <v>395562</v>
      </c>
    </row>
    <row r="16" spans="1:7" ht="15" customHeight="1" x14ac:dyDescent="0.25">
      <c r="A16" s="85">
        <v>45657</v>
      </c>
      <c r="B16" s="33">
        <v>300438</v>
      </c>
    </row>
    <row r="17" spans="1:3" ht="15" customHeight="1" x14ac:dyDescent="0.25">
      <c r="A17" s="31">
        <v>45674</v>
      </c>
      <c r="C17" s="33">
        <v>300438</v>
      </c>
    </row>
    <row r="18" spans="1:3" ht="15" customHeight="1" x14ac:dyDescent="0.25">
      <c r="A18" s="31">
        <v>45688</v>
      </c>
      <c r="B18" s="33">
        <v>773442</v>
      </c>
    </row>
    <row r="19" spans="1:3" ht="15" customHeight="1" x14ac:dyDescent="0.25">
      <c r="A19" s="31">
        <v>45700</v>
      </c>
      <c r="C19" s="33">
        <v>773442</v>
      </c>
    </row>
    <row r="20" spans="1:3" ht="15" customHeight="1" x14ac:dyDescent="0.25">
      <c r="A20" s="31">
        <v>45716</v>
      </c>
      <c r="B20" s="33">
        <v>692195</v>
      </c>
    </row>
    <row r="21" spans="1:3" ht="15.75" customHeight="1" x14ac:dyDescent="0.25">
      <c r="A21" s="31">
        <v>45726</v>
      </c>
      <c r="C21" s="33">
        <v>692195</v>
      </c>
    </row>
    <row r="22" spans="1:3" ht="15.75" customHeight="1" x14ac:dyDescent="0.25">
      <c r="A22" s="31">
        <v>45747</v>
      </c>
      <c r="B22" s="33">
        <v>339731</v>
      </c>
    </row>
    <row r="23" spans="1:3" ht="15.75" customHeight="1" x14ac:dyDescent="0.25">
      <c r="A23" s="31">
        <v>45777</v>
      </c>
      <c r="B23" s="33">
        <v>80822</v>
      </c>
    </row>
    <row r="24" spans="1:3" ht="15.75" customHeight="1" x14ac:dyDescent="0.25">
      <c r="A24" s="31">
        <v>45808</v>
      </c>
      <c r="B24" s="33">
        <v>102343</v>
      </c>
    </row>
    <row r="25" spans="1:3" ht="15.75" customHeight="1" x14ac:dyDescent="0.25">
      <c r="A25" s="31">
        <v>45812</v>
      </c>
      <c r="C25" s="33">
        <v>522896</v>
      </c>
    </row>
    <row r="26" spans="1:3" ht="15.75" customHeight="1" x14ac:dyDescent="0.25">
      <c r="A26" s="31">
        <v>45838</v>
      </c>
      <c r="B26" s="33">
        <v>162507</v>
      </c>
    </row>
    <row r="27" spans="1:3" ht="15.75" customHeight="1" x14ac:dyDescent="0.25">
      <c r="A27" s="31">
        <v>45869</v>
      </c>
      <c r="B27" s="33">
        <v>555900</v>
      </c>
    </row>
    <row r="28" spans="1:3" ht="15.75" customHeight="1" x14ac:dyDescent="0.25">
      <c r="A28" s="31">
        <v>45876</v>
      </c>
      <c r="C28" s="33">
        <v>555900</v>
      </c>
    </row>
    <row r="29" spans="1:3" ht="15.75" customHeight="1" x14ac:dyDescent="0.25">
      <c r="A29" s="31">
        <v>45900</v>
      </c>
      <c r="B29" s="33">
        <v>250960</v>
      </c>
    </row>
    <row r="30" spans="1:3" ht="15.75" customHeight="1" x14ac:dyDescent="0.25">
      <c r="A30" s="31">
        <v>45929</v>
      </c>
      <c r="C30" s="33">
        <v>413467</v>
      </c>
    </row>
    <row r="31" spans="1:3" ht="15.75" customHeight="1" x14ac:dyDescent="0.25">
      <c r="A31" s="31">
        <v>45930</v>
      </c>
      <c r="B31" s="33">
        <v>126624</v>
      </c>
    </row>
    <row r="32" spans="1:3" ht="15.75" customHeight="1" x14ac:dyDescent="0.25">
      <c r="A32" s="31">
        <v>45961</v>
      </c>
      <c r="B32" s="33">
        <v>508780</v>
      </c>
    </row>
    <row r="33" spans="1:3" ht="15.75" customHeight="1" x14ac:dyDescent="0.25">
      <c r="A33" s="31">
        <v>45972</v>
      </c>
      <c r="C33" s="33">
        <v>508780</v>
      </c>
    </row>
    <row r="34" spans="1:3" ht="15.75" customHeight="1" x14ac:dyDescent="0.25">
      <c r="A34" s="31">
        <v>45991</v>
      </c>
      <c r="B34" s="33">
        <v>385353</v>
      </c>
    </row>
    <row r="35" spans="1:3" ht="15.75" customHeight="1" x14ac:dyDescent="0.25">
      <c r="A35" s="31">
        <v>46000</v>
      </c>
      <c r="C35" s="33">
        <v>511977</v>
      </c>
    </row>
    <row r="36" spans="1:3" ht="15.75" customHeight="1" x14ac:dyDescent="0.25">
      <c r="A36" s="31">
        <v>46022</v>
      </c>
      <c r="B36" s="33">
        <v>769801</v>
      </c>
    </row>
    <row r="37" spans="1:3" ht="15.75" customHeight="1" x14ac:dyDescent="0.25">
      <c r="A37" s="31">
        <v>46035</v>
      </c>
      <c r="C37" s="33">
        <v>769801</v>
      </c>
    </row>
    <row r="38" spans="1:3" ht="15.75" customHeight="1" x14ac:dyDescent="0.25">
      <c r="A38" s="31">
        <v>46053</v>
      </c>
      <c r="B38" s="33">
        <v>1061356</v>
      </c>
    </row>
    <row r="39" spans="1:3" ht="15.75" customHeight="1" x14ac:dyDescent="0.25">
      <c r="A39" s="31">
        <v>46060</v>
      </c>
      <c r="C39" s="33">
        <v>1061356</v>
      </c>
    </row>
    <row r="40" spans="1:3" ht="15.75" customHeight="1" x14ac:dyDescent="0.25">
      <c r="A40" s="31">
        <v>46081</v>
      </c>
      <c r="B40" s="33">
        <v>1233319</v>
      </c>
    </row>
    <row r="41" spans="1:3" ht="15.75" customHeight="1" x14ac:dyDescent="0.25">
      <c r="A41" s="31">
        <v>46097</v>
      </c>
      <c r="C41" s="33">
        <v>1233319</v>
      </c>
    </row>
    <row r="42" spans="1:3" ht="15.75" customHeight="1" x14ac:dyDescent="0.25"/>
    <row r="43" spans="1:3" ht="15.75" customHeight="1" x14ac:dyDescent="0.25"/>
    <row r="44" spans="1:3" ht="15.75" customHeight="1" x14ac:dyDescent="0.25"/>
    <row r="45" spans="1:3" ht="15.75" customHeight="1" x14ac:dyDescent="0.25"/>
    <row r="46" spans="1:3" ht="15.75" customHeight="1" x14ac:dyDescent="0.25"/>
    <row r="47" spans="1:3" ht="15.75" customHeight="1" x14ac:dyDescent="0.25"/>
    <row r="48" spans="1: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G2">
    <cfRule type="cellIs" dxfId="85" priority="1" operator="lessThan">
      <formula>0</formula>
    </cfRule>
    <cfRule type="cellIs" dxfId="84" priority="2" operator="greaterThan">
      <formula>0</formula>
    </cfRule>
  </conditionalFormatting>
  <hyperlinks>
    <hyperlink ref="D1" location="CLIENTES!A1" display="volver" xr:uid="{00000000-0004-0000-1400-000000000000}"/>
  </hyperlink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01"/>
  <sheetViews>
    <sheetView workbookViewId="0">
      <selection activeCell="D1" sqref="D1"/>
    </sheetView>
  </sheetViews>
  <sheetFormatPr baseColWidth="10" defaultColWidth="14.42578125" defaultRowHeight="15" customHeight="1" x14ac:dyDescent="0.25"/>
  <cols>
    <col min="1" max="1" width="15" customWidth="1"/>
    <col min="2" max="2" width="19.85546875" style="33" customWidth="1"/>
    <col min="3" max="3" width="15" style="33" customWidth="1"/>
    <col min="4" max="4" width="16.5703125" customWidth="1"/>
    <col min="5" max="7" width="15" customWidth="1"/>
    <col min="8" max="26" width="10.7109375" customWidth="1"/>
  </cols>
  <sheetData>
    <row r="1" spans="1:7" ht="18.75" x14ac:dyDescent="0.3">
      <c r="A1" s="12" t="s">
        <v>18</v>
      </c>
      <c r="B1"/>
      <c r="C1"/>
      <c r="D1" s="101" t="s">
        <v>52</v>
      </c>
    </row>
    <row r="2" spans="1:7" s="37" customFormat="1" ht="23.25" customHeight="1" x14ac:dyDescent="0.25">
      <c r="A2" s="37" t="s">
        <v>53</v>
      </c>
      <c r="B2" s="38" t="s">
        <v>54</v>
      </c>
      <c r="C2" s="38" t="s">
        <v>55</v>
      </c>
      <c r="D2" s="37" t="s">
        <v>56</v>
      </c>
      <c r="E2" s="37" t="s">
        <v>57</v>
      </c>
      <c r="F2" s="39" t="s">
        <v>58</v>
      </c>
      <c r="G2" s="40">
        <f>SUM(C3:C1048576) - SUM(B3:B1048576)</f>
        <v>101165</v>
      </c>
    </row>
    <row r="4" spans="1:7" ht="15" customHeight="1" x14ac:dyDescent="0.25">
      <c r="A4" s="31">
        <v>45443</v>
      </c>
      <c r="B4" s="33">
        <v>292942</v>
      </c>
    </row>
    <row r="5" spans="1:7" ht="15" customHeight="1" x14ac:dyDescent="0.25">
      <c r="A5" s="31">
        <v>45458</v>
      </c>
      <c r="C5" s="33">
        <v>292942</v>
      </c>
      <c r="D5" s="55" t="s">
        <v>96</v>
      </c>
    </row>
    <row r="6" spans="1:7" ht="15" customHeight="1" x14ac:dyDescent="0.25">
      <c r="A6" s="31">
        <v>45473</v>
      </c>
      <c r="B6" s="33">
        <v>254377</v>
      </c>
    </row>
    <row r="7" spans="1:7" ht="15" customHeight="1" x14ac:dyDescent="0.25">
      <c r="A7" s="31">
        <v>45490</v>
      </c>
      <c r="C7" s="33">
        <v>254377</v>
      </c>
      <c r="D7" s="55" t="s">
        <v>96</v>
      </c>
    </row>
    <row r="8" spans="1:7" ht="15" customHeight="1" x14ac:dyDescent="0.25">
      <c r="A8" s="31">
        <v>45504</v>
      </c>
      <c r="B8" s="33">
        <v>845222</v>
      </c>
    </row>
    <row r="9" spans="1:7" ht="15" customHeight="1" x14ac:dyDescent="0.25">
      <c r="A9" s="31">
        <v>45513</v>
      </c>
      <c r="C9" s="33">
        <v>845222</v>
      </c>
      <c r="D9" s="55" t="s">
        <v>96</v>
      </c>
    </row>
    <row r="10" spans="1:7" ht="15" customHeight="1" x14ac:dyDescent="0.25">
      <c r="A10" s="31">
        <v>45535</v>
      </c>
      <c r="B10" s="33">
        <v>323000</v>
      </c>
    </row>
    <row r="11" spans="1:7" ht="15" customHeight="1" x14ac:dyDescent="0.25">
      <c r="A11" s="31">
        <v>45546</v>
      </c>
      <c r="C11" s="33">
        <v>323000</v>
      </c>
    </row>
    <row r="12" spans="1:7" ht="15" customHeight="1" x14ac:dyDescent="0.25">
      <c r="A12" s="31">
        <v>45565</v>
      </c>
      <c r="B12" s="33">
        <v>490201</v>
      </c>
    </row>
    <row r="13" spans="1:7" ht="15" customHeight="1" x14ac:dyDescent="0.25">
      <c r="A13" s="31">
        <v>45568</v>
      </c>
      <c r="C13" s="33">
        <v>490201</v>
      </c>
    </row>
    <row r="14" spans="1:7" ht="15" customHeight="1" x14ac:dyDescent="0.25">
      <c r="A14" s="31">
        <v>45595</v>
      </c>
      <c r="B14" s="33">
        <v>570721</v>
      </c>
    </row>
    <row r="15" spans="1:7" ht="15" customHeight="1" x14ac:dyDescent="0.25">
      <c r="A15" s="31">
        <v>45601</v>
      </c>
      <c r="C15" s="33">
        <v>570721</v>
      </c>
    </row>
    <row r="16" spans="1:7" ht="15" customHeight="1" x14ac:dyDescent="0.25">
      <c r="A16" s="31">
        <v>45626</v>
      </c>
      <c r="B16" s="33">
        <v>484927</v>
      </c>
    </row>
    <row r="17" spans="1:3" ht="15" customHeight="1" x14ac:dyDescent="0.25">
      <c r="A17" s="31">
        <v>45644</v>
      </c>
      <c r="C17" s="33">
        <v>484927</v>
      </c>
    </row>
    <row r="18" spans="1:3" ht="15" customHeight="1" x14ac:dyDescent="0.25">
      <c r="A18" s="31">
        <v>45657</v>
      </c>
      <c r="B18" s="33">
        <v>456393</v>
      </c>
    </row>
    <row r="19" spans="1:3" ht="15" customHeight="1" x14ac:dyDescent="0.25">
      <c r="A19" s="31">
        <v>45667</v>
      </c>
      <c r="C19" s="33">
        <v>456393</v>
      </c>
    </row>
    <row r="20" spans="1:3" ht="15" customHeight="1" x14ac:dyDescent="0.25">
      <c r="A20" s="31">
        <v>45688</v>
      </c>
      <c r="B20" s="33">
        <v>948035</v>
      </c>
    </row>
    <row r="21" spans="1:3" ht="15" customHeight="1" x14ac:dyDescent="0.25">
      <c r="A21" s="31">
        <v>45700</v>
      </c>
      <c r="C21" s="33">
        <v>948035</v>
      </c>
    </row>
    <row r="22" spans="1:3" ht="15.75" customHeight="1" x14ac:dyDescent="0.25">
      <c r="A22" s="31">
        <v>45716</v>
      </c>
      <c r="B22" s="33">
        <v>886074</v>
      </c>
    </row>
    <row r="23" spans="1:3" ht="15.75" customHeight="1" x14ac:dyDescent="0.25">
      <c r="A23" s="31">
        <v>45727</v>
      </c>
      <c r="C23" s="33">
        <v>886074</v>
      </c>
    </row>
    <row r="24" spans="1:3" ht="15.75" customHeight="1" x14ac:dyDescent="0.25">
      <c r="A24" s="31">
        <v>45747</v>
      </c>
      <c r="B24" s="33">
        <v>575326</v>
      </c>
    </row>
    <row r="25" spans="1:3" ht="15.75" customHeight="1" x14ac:dyDescent="0.25">
      <c r="A25" s="31">
        <v>45753</v>
      </c>
      <c r="C25" s="33">
        <v>575326</v>
      </c>
    </row>
    <row r="26" spans="1:3" ht="15.75" customHeight="1" x14ac:dyDescent="0.25">
      <c r="A26" s="31">
        <v>45777</v>
      </c>
      <c r="B26" s="33">
        <v>370811</v>
      </c>
    </row>
    <row r="27" spans="1:3" ht="15.75" customHeight="1" x14ac:dyDescent="0.25">
      <c r="A27" s="31">
        <v>45789</v>
      </c>
      <c r="C27" s="33">
        <v>370811</v>
      </c>
    </row>
    <row r="28" spans="1:3" ht="15.75" customHeight="1" x14ac:dyDescent="0.25">
      <c r="A28" s="31">
        <v>45807</v>
      </c>
      <c r="B28" s="33">
        <v>530153</v>
      </c>
    </row>
    <row r="29" spans="1:3" ht="15.75" customHeight="1" x14ac:dyDescent="0.25">
      <c r="A29" s="31">
        <v>45825</v>
      </c>
      <c r="C29" s="33">
        <v>530153</v>
      </c>
    </row>
    <row r="30" spans="1:3" ht="15.75" customHeight="1" x14ac:dyDescent="0.25">
      <c r="A30" s="31">
        <v>45838</v>
      </c>
      <c r="B30" s="33">
        <v>294957</v>
      </c>
    </row>
    <row r="31" spans="1:3" ht="15.75" customHeight="1" x14ac:dyDescent="0.25">
      <c r="A31" s="31">
        <v>45848</v>
      </c>
      <c r="C31" s="33">
        <v>294957</v>
      </c>
    </row>
    <row r="32" spans="1:3" ht="15.75" customHeight="1" x14ac:dyDescent="0.25">
      <c r="A32" s="31">
        <v>45869</v>
      </c>
      <c r="B32" s="33">
        <v>618112</v>
      </c>
    </row>
    <row r="33" spans="1:3" ht="15.75" customHeight="1" x14ac:dyDescent="0.25">
      <c r="A33" s="31">
        <v>45887</v>
      </c>
      <c r="C33" s="33">
        <v>618112</v>
      </c>
    </row>
    <row r="34" spans="1:3" ht="15.75" customHeight="1" x14ac:dyDescent="0.25">
      <c r="A34" s="31">
        <v>45900</v>
      </c>
      <c r="B34" s="33">
        <v>490300</v>
      </c>
    </row>
    <row r="35" spans="1:3" ht="15.75" customHeight="1" x14ac:dyDescent="0.25">
      <c r="A35" s="31">
        <v>45917</v>
      </c>
      <c r="C35" s="33">
        <v>490300</v>
      </c>
    </row>
    <row r="36" spans="1:3" ht="15.75" customHeight="1" x14ac:dyDescent="0.25">
      <c r="A36" s="31">
        <v>45930</v>
      </c>
      <c r="B36" s="33">
        <v>443466</v>
      </c>
    </row>
    <row r="37" spans="1:3" ht="15.75" customHeight="1" x14ac:dyDescent="0.25">
      <c r="A37" s="31">
        <v>45941</v>
      </c>
      <c r="C37" s="33">
        <v>443466</v>
      </c>
    </row>
    <row r="38" spans="1:3" ht="15.75" customHeight="1" x14ac:dyDescent="0.25">
      <c r="A38" s="31">
        <v>45961</v>
      </c>
      <c r="B38" s="33">
        <v>567998</v>
      </c>
    </row>
    <row r="39" spans="1:3" ht="15.75" customHeight="1" x14ac:dyDescent="0.25">
      <c r="A39" s="31">
        <v>45974</v>
      </c>
      <c r="C39" s="33">
        <v>567998</v>
      </c>
    </row>
    <row r="40" spans="1:3" ht="15.75" customHeight="1" x14ac:dyDescent="0.25">
      <c r="A40" s="31">
        <v>45991</v>
      </c>
      <c r="B40" s="33">
        <v>485592</v>
      </c>
    </row>
    <row r="41" spans="1:3" ht="15.75" customHeight="1" x14ac:dyDescent="0.25">
      <c r="A41" s="31">
        <v>45976</v>
      </c>
      <c r="C41" s="33">
        <v>485592</v>
      </c>
    </row>
    <row r="42" spans="1:3" ht="15.75" customHeight="1" x14ac:dyDescent="0.25">
      <c r="A42" s="31">
        <v>46022</v>
      </c>
      <c r="B42" s="33">
        <v>541981</v>
      </c>
    </row>
    <row r="43" spans="1:3" ht="15.75" customHeight="1" x14ac:dyDescent="0.25">
      <c r="A43" s="31">
        <v>46030</v>
      </c>
      <c r="C43" s="33">
        <v>541981</v>
      </c>
    </row>
    <row r="44" spans="1:3" ht="15.75" customHeight="1" x14ac:dyDescent="0.25">
      <c r="A44" s="31">
        <v>46053</v>
      </c>
      <c r="B44" s="33">
        <v>1305868</v>
      </c>
    </row>
    <row r="45" spans="1:3" ht="15.75" customHeight="1" x14ac:dyDescent="0.25">
      <c r="A45" s="31">
        <v>46062</v>
      </c>
      <c r="C45" s="33">
        <v>1305868</v>
      </c>
    </row>
    <row r="46" spans="1:3" ht="15.75" customHeight="1" x14ac:dyDescent="0.25">
      <c r="A46" s="31">
        <v>46081</v>
      </c>
      <c r="B46" s="33">
        <v>1128835</v>
      </c>
    </row>
    <row r="47" spans="1:3" ht="15.75" customHeight="1" x14ac:dyDescent="0.25">
      <c r="A47" s="31">
        <v>46092</v>
      </c>
      <c r="C47" s="33">
        <v>1230000</v>
      </c>
    </row>
    <row r="48" spans="1: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conditionalFormatting sqref="G2">
    <cfRule type="cellIs" dxfId="83" priority="1" operator="lessThan">
      <formula>0</formula>
    </cfRule>
    <cfRule type="cellIs" dxfId="82" priority="2" operator="greaterThan">
      <formula>0</formula>
    </cfRule>
  </conditionalFormatting>
  <hyperlinks>
    <hyperlink ref="D1" location="CLIENTES!A1" display="volver" xr:uid="{00000000-0004-0000-1600-000000000000}"/>
  </hyperlink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002"/>
  <sheetViews>
    <sheetView workbookViewId="0">
      <selection activeCell="D1" sqref="D1"/>
    </sheetView>
  </sheetViews>
  <sheetFormatPr baseColWidth="10" defaultColWidth="14.42578125" defaultRowHeight="15" customHeight="1" x14ac:dyDescent="0.25"/>
  <cols>
    <col min="1" max="1" width="14.28515625" customWidth="1"/>
    <col min="2" max="2" width="19.5703125" customWidth="1"/>
    <col min="3" max="3" width="14.28515625" customWidth="1"/>
    <col min="4" max="4" width="17.140625" customWidth="1"/>
    <col min="5" max="7" width="14.28515625" customWidth="1"/>
    <col min="8" max="26" width="10.7109375" customWidth="1"/>
  </cols>
  <sheetData>
    <row r="1" spans="1:7" ht="18.75" x14ac:dyDescent="0.3">
      <c r="A1" s="12" t="s">
        <v>17</v>
      </c>
      <c r="D1" s="101" t="s">
        <v>52</v>
      </c>
    </row>
    <row r="2" spans="1:7" s="37" customFormat="1" ht="17.25" customHeight="1" x14ac:dyDescent="0.25">
      <c r="A2" s="37" t="s">
        <v>53</v>
      </c>
      <c r="B2" s="38" t="s">
        <v>54</v>
      </c>
      <c r="C2" s="38" t="s">
        <v>55</v>
      </c>
      <c r="D2" s="37" t="s">
        <v>56</v>
      </c>
      <c r="E2" s="37" t="s">
        <v>57</v>
      </c>
      <c r="F2" s="39" t="s">
        <v>58</v>
      </c>
      <c r="G2" s="40">
        <f>SUM(C3:C1048576) - SUM(B3:B1048576)</f>
        <v>0</v>
      </c>
    </row>
    <row r="3" spans="1:7" ht="15" customHeight="1" x14ac:dyDescent="0.25">
      <c r="B3" s="33"/>
      <c r="C3" s="33"/>
    </row>
    <row r="4" spans="1:7" ht="15" customHeight="1" x14ac:dyDescent="0.25">
      <c r="A4" s="31">
        <v>45443</v>
      </c>
      <c r="B4" s="33">
        <v>1113691</v>
      </c>
      <c r="C4" s="33"/>
    </row>
    <row r="5" spans="1:7" ht="15" customHeight="1" x14ac:dyDescent="0.25">
      <c r="A5" s="31">
        <v>45451</v>
      </c>
      <c r="B5" s="33"/>
      <c r="C5" s="33">
        <v>1113691</v>
      </c>
    </row>
    <row r="6" spans="1:7" ht="15" customHeight="1" x14ac:dyDescent="0.25">
      <c r="A6" s="31">
        <v>45473</v>
      </c>
      <c r="B6" s="33">
        <v>1770428</v>
      </c>
      <c r="C6" s="33"/>
    </row>
    <row r="7" spans="1:7" ht="15" customHeight="1" x14ac:dyDescent="0.25">
      <c r="A7" s="31">
        <v>45479</v>
      </c>
      <c r="B7" s="33"/>
      <c r="C7" s="33">
        <v>1770428</v>
      </c>
    </row>
    <row r="8" spans="1:7" ht="15" customHeight="1" x14ac:dyDescent="0.25">
      <c r="A8" s="31">
        <v>45504</v>
      </c>
      <c r="B8" s="33">
        <v>2950541</v>
      </c>
      <c r="C8" s="33"/>
    </row>
    <row r="9" spans="1:7" ht="15" customHeight="1" x14ac:dyDescent="0.25">
      <c r="A9" s="31">
        <v>45481</v>
      </c>
      <c r="B9" s="33"/>
      <c r="C9" s="33">
        <v>2950541</v>
      </c>
    </row>
    <row r="10" spans="1:7" ht="15" customHeight="1" x14ac:dyDescent="0.25">
      <c r="A10" s="31">
        <v>45535</v>
      </c>
      <c r="B10" s="33">
        <v>1424981</v>
      </c>
      <c r="C10" s="33"/>
    </row>
    <row r="11" spans="1:7" ht="15" customHeight="1" x14ac:dyDescent="0.25">
      <c r="A11" s="31">
        <v>45540</v>
      </c>
      <c r="B11" s="33"/>
      <c r="C11" s="33">
        <v>1424981</v>
      </c>
    </row>
    <row r="12" spans="1:7" ht="15" customHeight="1" x14ac:dyDescent="0.25">
      <c r="A12" s="31">
        <v>45565</v>
      </c>
      <c r="B12" s="33">
        <v>1967934</v>
      </c>
      <c r="C12" s="33"/>
    </row>
    <row r="13" spans="1:7" ht="15" customHeight="1" x14ac:dyDescent="0.25">
      <c r="A13" s="31">
        <v>45568</v>
      </c>
      <c r="B13" s="33"/>
      <c r="C13" s="33">
        <v>1967934</v>
      </c>
    </row>
    <row r="14" spans="1:7" ht="15" customHeight="1" x14ac:dyDescent="0.25">
      <c r="A14" s="31">
        <v>45626</v>
      </c>
      <c r="B14" s="33">
        <v>1762356</v>
      </c>
      <c r="C14" s="33"/>
    </row>
    <row r="15" spans="1:7" ht="15" customHeight="1" x14ac:dyDescent="0.25">
      <c r="A15" s="31">
        <v>45601</v>
      </c>
      <c r="B15" s="33"/>
      <c r="C15" s="33">
        <v>1762356</v>
      </c>
    </row>
    <row r="16" spans="1:7" ht="15" customHeight="1" x14ac:dyDescent="0.25">
      <c r="A16" s="31">
        <v>45626</v>
      </c>
      <c r="B16" s="33">
        <v>3176043</v>
      </c>
      <c r="C16" s="33"/>
    </row>
    <row r="17" spans="1:3" ht="15" customHeight="1" x14ac:dyDescent="0.25">
      <c r="A17" s="31">
        <v>45631</v>
      </c>
      <c r="B17" s="33"/>
      <c r="C17" s="33">
        <v>3176043</v>
      </c>
    </row>
    <row r="18" spans="1:3" ht="15" customHeight="1" x14ac:dyDescent="0.25">
      <c r="A18" s="31">
        <v>45657</v>
      </c>
      <c r="B18" s="33">
        <v>1741724</v>
      </c>
      <c r="C18" s="33"/>
    </row>
    <row r="19" spans="1:3" ht="15" customHeight="1" x14ac:dyDescent="0.25">
      <c r="A19" s="31">
        <v>45672</v>
      </c>
      <c r="B19" s="33"/>
      <c r="C19" s="33">
        <v>1741724</v>
      </c>
    </row>
    <row r="20" spans="1:3" ht="15" customHeight="1" x14ac:dyDescent="0.25">
      <c r="A20" s="31">
        <v>45688</v>
      </c>
      <c r="B20" s="33">
        <v>5114395</v>
      </c>
      <c r="C20" s="33"/>
    </row>
    <row r="21" spans="1:3" ht="15" customHeight="1" x14ac:dyDescent="0.25">
      <c r="A21" s="31">
        <v>45693</v>
      </c>
      <c r="B21" s="33"/>
      <c r="C21" s="33">
        <v>5114395</v>
      </c>
    </row>
    <row r="22" spans="1:3" ht="15" customHeight="1" x14ac:dyDescent="0.25">
      <c r="A22" s="31">
        <v>45716</v>
      </c>
      <c r="B22" s="33">
        <v>4977802</v>
      </c>
      <c r="C22" s="33"/>
    </row>
    <row r="23" spans="1:3" ht="15.75" customHeight="1" x14ac:dyDescent="0.25">
      <c r="A23" s="31">
        <v>45737</v>
      </c>
      <c r="B23" s="33"/>
      <c r="C23" s="33">
        <v>4977802</v>
      </c>
    </row>
    <row r="24" spans="1:3" ht="15.75" customHeight="1" x14ac:dyDescent="0.25">
      <c r="A24" s="31">
        <v>45747</v>
      </c>
      <c r="B24" s="33">
        <v>2780440</v>
      </c>
      <c r="C24" s="33"/>
    </row>
    <row r="25" spans="1:3" ht="15.75" customHeight="1" x14ac:dyDescent="0.25">
      <c r="A25" s="31">
        <v>45750</v>
      </c>
      <c r="B25" s="33"/>
      <c r="C25" s="33">
        <v>2780440</v>
      </c>
    </row>
    <row r="26" spans="1:3" ht="15.75" customHeight="1" x14ac:dyDescent="0.25">
      <c r="A26" s="31">
        <v>45777</v>
      </c>
      <c r="B26" s="33">
        <v>2774357</v>
      </c>
      <c r="C26" s="33"/>
    </row>
    <row r="27" spans="1:3" ht="15.75" customHeight="1" x14ac:dyDescent="0.25">
      <c r="A27" s="31">
        <v>45786</v>
      </c>
      <c r="B27" s="33"/>
      <c r="C27" s="33">
        <v>2774357</v>
      </c>
    </row>
    <row r="28" spans="1:3" ht="15.75" customHeight="1" x14ac:dyDescent="0.25">
      <c r="A28" s="31">
        <v>45807</v>
      </c>
      <c r="B28" s="33">
        <v>2485793</v>
      </c>
      <c r="C28" s="33"/>
    </row>
    <row r="29" spans="1:3" ht="15.75" customHeight="1" x14ac:dyDescent="0.25">
      <c r="A29" s="31">
        <v>45823</v>
      </c>
      <c r="B29" s="33"/>
      <c r="C29" s="33">
        <v>2485793</v>
      </c>
    </row>
    <row r="30" spans="1:3" ht="15.75" customHeight="1" x14ac:dyDescent="0.25">
      <c r="A30" s="31">
        <v>45838</v>
      </c>
      <c r="B30" s="33">
        <v>1947231</v>
      </c>
      <c r="C30" s="33"/>
    </row>
    <row r="31" spans="1:3" ht="15.75" customHeight="1" x14ac:dyDescent="0.25">
      <c r="A31" s="31">
        <v>45843</v>
      </c>
      <c r="B31" s="33"/>
      <c r="C31" s="33">
        <v>1947231</v>
      </c>
    </row>
    <row r="32" spans="1:3" ht="15.75" customHeight="1" x14ac:dyDescent="0.25">
      <c r="A32" s="107">
        <v>45869</v>
      </c>
      <c r="B32" s="33">
        <v>4426003</v>
      </c>
      <c r="C32" s="33"/>
    </row>
    <row r="33" spans="1:3" ht="15.75" customHeight="1" x14ac:dyDescent="0.25">
      <c r="A33" s="31">
        <v>45876</v>
      </c>
      <c r="B33" s="33"/>
      <c r="C33" s="33">
        <v>4426003</v>
      </c>
    </row>
    <row r="34" spans="1:3" ht="15.75" customHeight="1" x14ac:dyDescent="0.25">
      <c r="A34" s="31">
        <v>45900</v>
      </c>
      <c r="B34" s="33">
        <v>3377484</v>
      </c>
      <c r="C34" s="33"/>
    </row>
    <row r="35" spans="1:3" ht="15.75" customHeight="1" x14ac:dyDescent="0.25">
      <c r="A35" s="31">
        <v>45908</v>
      </c>
      <c r="B35" s="33"/>
      <c r="C35" s="33">
        <v>3377484</v>
      </c>
    </row>
    <row r="36" spans="1:3" ht="15.75" customHeight="1" x14ac:dyDescent="0.25">
      <c r="A36" s="31">
        <v>45930</v>
      </c>
      <c r="B36" s="33">
        <v>4585926</v>
      </c>
      <c r="C36" s="33"/>
    </row>
    <row r="37" spans="1:3" ht="15.75" customHeight="1" x14ac:dyDescent="0.25">
      <c r="A37" s="31">
        <v>45937</v>
      </c>
      <c r="B37" s="33"/>
      <c r="C37" s="33">
        <v>4585926</v>
      </c>
    </row>
    <row r="38" spans="1:3" ht="15.75" customHeight="1" x14ac:dyDescent="0.25">
      <c r="A38" s="31">
        <v>45961</v>
      </c>
      <c r="B38" s="33">
        <v>4425854</v>
      </c>
      <c r="C38" s="33"/>
    </row>
    <row r="39" spans="1:3" ht="15.75" customHeight="1" x14ac:dyDescent="0.25">
      <c r="A39" s="31">
        <v>45966</v>
      </c>
      <c r="B39" s="33"/>
      <c r="C39" s="33">
        <v>4425854</v>
      </c>
    </row>
    <row r="40" spans="1:3" ht="15.75" customHeight="1" x14ac:dyDescent="0.25">
      <c r="A40" s="31">
        <v>45991</v>
      </c>
      <c r="B40" s="33">
        <v>4661690</v>
      </c>
      <c r="C40" s="33"/>
    </row>
    <row r="41" spans="1:3" ht="15.75" customHeight="1" x14ac:dyDescent="0.25">
      <c r="A41" s="31">
        <v>46000</v>
      </c>
      <c r="B41" s="33"/>
      <c r="C41" s="33">
        <v>4661690</v>
      </c>
    </row>
    <row r="42" spans="1:3" ht="15.75" customHeight="1" x14ac:dyDescent="0.25">
      <c r="A42" s="31">
        <v>46022</v>
      </c>
      <c r="B42" s="33">
        <v>2453130</v>
      </c>
      <c r="C42" s="33"/>
    </row>
    <row r="43" spans="1:3" ht="15.75" customHeight="1" x14ac:dyDescent="0.25">
      <c r="A43" s="31">
        <v>46028</v>
      </c>
      <c r="B43" s="33"/>
      <c r="C43" s="33">
        <v>2453130</v>
      </c>
    </row>
    <row r="44" spans="1:3" ht="15.75" customHeight="1" x14ac:dyDescent="0.25">
      <c r="A44" s="31">
        <v>46053</v>
      </c>
      <c r="B44" s="33">
        <v>6980993</v>
      </c>
      <c r="C44" s="33"/>
    </row>
    <row r="45" spans="1:3" ht="15.75" customHeight="1" x14ac:dyDescent="0.25">
      <c r="A45" s="31">
        <v>46058</v>
      </c>
      <c r="B45" s="33"/>
      <c r="C45" s="33">
        <v>6980993</v>
      </c>
    </row>
    <row r="46" spans="1:3" ht="15.75" customHeight="1" x14ac:dyDescent="0.25">
      <c r="A46" s="31">
        <v>46081</v>
      </c>
      <c r="B46" s="33">
        <v>7443468</v>
      </c>
      <c r="C46" s="33"/>
    </row>
    <row r="47" spans="1:3" ht="15.75" customHeight="1" x14ac:dyDescent="0.25">
      <c r="A47" s="31">
        <v>46084</v>
      </c>
      <c r="B47" s="33"/>
      <c r="C47" s="33">
        <v>7443468</v>
      </c>
    </row>
    <row r="48" spans="1:3" ht="15.75" customHeight="1" x14ac:dyDescent="0.25">
      <c r="B48" s="33"/>
      <c r="C48" s="33"/>
    </row>
    <row r="49" spans="2:3" ht="15.75" customHeight="1" x14ac:dyDescent="0.25">
      <c r="B49" s="33"/>
      <c r="C49" s="33"/>
    </row>
    <row r="50" spans="2:3" ht="15.75" customHeight="1" x14ac:dyDescent="0.25">
      <c r="B50" s="33"/>
      <c r="C50" s="33"/>
    </row>
    <row r="51" spans="2:3" ht="15.75" customHeight="1" x14ac:dyDescent="0.25">
      <c r="B51" s="33"/>
      <c r="C51" s="33"/>
    </row>
    <row r="52" spans="2:3" ht="15.75" customHeight="1" x14ac:dyDescent="0.25">
      <c r="B52" s="33"/>
      <c r="C52" s="33"/>
    </row>
    <row r="53" spans="2:3" ht="15.75" customHeight="1" x14ac:dyDescent="0.25">
      <c r="B53" s="33"/>
      <c r="C53" s="33"/>
    </row>
    <row r="54" spans="2:3" ht="15.75" customHeight="1" x14ac:dyDescent="0.25">
      <c r="B54" s="33"/>
      <c r="C54" s="33"/>
    </row>
    <row r="55" spans="2:3" ht="15.75" customHeight="1" x14ac:dyDescent="0.25">
      <c r="B55" s="33"/>
      <c r="C55" s="33"/>
    </row>
    <row r="56" spans="2:3" ht="15.75" customHeight="1" x14ac:dyDescent="0.25">
      <c r="B56" s="33"/>
      <c r="C56" s="33"/>
    </row>
    <row r="57" spans="2:3" ht="15.75" customHeight="1" x14ac:dyDescent="0.25">
      <c r="B57" s="33"/>
      <c r="C57" s="33"/>
    </row>
    <row r="58" spans="2:3" ht="15.75" customHeight="1" x14ac:dyDescent="0.25">
      <c r="B58" s="33"/>
      <c r="C58" s="33"/>
    </row>
    <row r="59" spans="2:3" ht="15.75" customHeight="1" x14ac:dyDescent="0.25">
      <c r="B59" s="33"/>
      <c r="C59" s="33"/>
    </row>
    <row r="60" spans="2:3" ht="15.75" customHeight="1" x14ac:dyDescent="0.25">
      <c r="B60" s="33"/>
      <c r="C60" s="33"/>
    </row>
    <row r="61" spans="2:3" ht="15.75" customHeight="1" x14ac:dyDescent="0.25">
      <c r="B61" s="33"/>
      <c r="C61" s="33"/>
    </row>
    <row r="62" spans="2:3" ht="15.75" customHeight="1" x14ac:dyDescent="0.25">
      <c r="B62" s="33"/>
      <c r="C62" s="33"/>
    </row>
    <row r="63" spans="2:3" ht="15.75" customHeight="1" x14ac:dyDescent="0.25">
      <c r="B63" s="33"/>
      <c r="C63" s="33"/>
    </row>
    <row r="64" spans="2:3" ht="15.75" customHeight="1" x14ac:dyDescent="0.25">
      <c r="B64" s="33"/>
      <c r="C64" s="33"/>
    </row>
    <row r="65" spans="2:3" ht="15.75" customHeight="1" x14ac:dyDescent="0.25">
      <c r="B65" s="33"/>
      <c r="C65" s="33"/>
    </row>
    <row r="66" spans="2:3" ht="15.75" customHeight="1" x14ac:dyDescent="0.25">
      <c r="B66" s="33"/>
      <c r="C66" s="33"/>
    </row>
    <row r="67" spans="2:3" ht="15.75" customHeight="1" x14ac:dyDescent="0.25">
      <c r="B67" s="33"/>
      <c r="C67" s="33"/>
    </row>
    <row r="68" spans="2:3" ht="15.75" customHeight="1" x14ac:dyDescent="0.25">
      <c r="B68" s="33"/>
      <c r="C68" s="33"/>
    </row>
    <row r="69" spans="2:3" ht="15.75" customHeight="1" x14ac:dyDescent="0.25">
      <c r="B69" s="33"/>
      <c r="C69" s="33"/>
    </row>
    <row r="70" spans="2:3" ht="15.75" customHeight="1" x14ac:dyDescent="0.25">
      <c r="B70" s="33"/>
      <c r="C70" s="33"/>
    </row>
    <row r="71" spans="2:3" ht="15.75" customHeight="1" x14ac:dyDescent="0.25">
      <c r="B71" s="33"/>
      <c r="C71" s="33"/>
    </row>
    <row r="72" spans="2:3" ht="15.75" customHeight="1" x14ac:dyDescent="0.25">
      <c r="B72" s="33"/>
      <c r="C72" s="33"/>
    </row>
    <row r="73" spans="2:3" ht="15.75" customHeight="1" x14ac:dyDescent="0.25">
      <c r="B73" s="33"/>
      <c r="C73" s="33"/>
    </row>
    <row r="74" spans="2:3" ht="15.75" customHeight="1" x14ac:dyDescent="0.25">
      <c r="B74" s="33"/>
      <c r="C74" s="33"/>
    </row>
    <row r="75" spans="2:3" ht="15.75" customHeight="1" x14ac:dyDescent="0.25">
      <c r="B75" s="33"/>
      <c r="C75" s="33"/>
    </row>
    <row r="76" spans="2:3" ht="15.75" customHeight="1" x14ac:dyDescent="0.25">
      <c r="B76" s="33"/>
      <c r="C76" s="33"/>
    </row>
    <row r="77" spans="2:3" ht="15.75" customHeight="1" x14ac:dyDescent="0.25">
      <c r="B77" s="33"/>
      <c r="C77" s="33"/>
    </row>
    <row r="78" spans="2:3" ht="15.75" customHeight="1" x14ac:dyDescent="0.25">
      <c r="B78" s="33"/>
      <c r="C78" s="33"/>
    </row>
    <row r="79" spans="2:3" ht="15.75" customHeight="1" x14ac:dyDescent="0.25">
      <c r="B79" s="33"/>
      <c r="C79" s="33"/>
    </row>
    <row r="80" spans="2:3" ht="15.75" customHeight="1" x14ac:dyDescent="0.25">
      <c r="B80" s="33"/>
      <c r="C80" s="33"/>
    </row>
    <row r="81" spans="2:3" ht="15.75" customHeight="1" x14ac:dyDescent="0.25">
      <c r="B81" s="33"/>
      <c r="C81" s="33"/>
    </row>
    <row r="82" spans="2:3" ht="15.75" customHeight="1" x14ac:dyDescent="0.25">
      <c r="B82" s="33"/>
      <c r="C82" s="33"/>
    </row>
    <row r="83" spans="2:3" ht="15.75" customHeight="1" x14ac:dyDescent="0.25">
      <c r="B83" s="33"/>
      <c r="C83" s="33"/>
    </row>
    <row r="84" spans="2:3" ht="15.75" customHeight="1" x14ac:dyDescent="0.25">
      <c r="B84" s="33"/>
      <c r="C84" s="33"/>
    </row>
    <row r="85" spans="2:3" ht="15.75" customHeight="1" x14ac:dyDescent="0.25">
      <c r="B85" s="33"/>
      <c r="C85" s="33"/>
    </row>
    <row r="86" spans="2:3" ht="15.75" customHeight="1" x14ac:dyDescent="0.25">
      <c r="B86" s="33"/>
      <c r="C86" s="33"/>
    </row>
    <row r="87" spans="2:3" ht="15.75" customHeight="1" x14ac:dyDescent="0.25">
      <c r="B87" s="33"/>
      <c r="C87" s="33"/>
    </row>
    <row r="88" spans="2:3" ht="15.75" customHeight="1" x14ac:dyDescent="0.25">
      <c r="B88" s="33"/>
      <c r="C88" s="33"/>
    </row>
    <row r="89" spans="2:3" ht="15.75" customHeight="1" x14ac:dyDescent="0.25">
      <c r="B89" s="33"/>
      <c r="C89" s="33"/>
    </row>
    <row r="90" spans="2:3" ht="15.75" customHeight="1" x14ac:dyDescent="0.25">
      <c r="B90" s="33"/>
      <c r="C90" s="33"/>
    </row>
    <row r="91" spans="2:3" ht="15.75" customHeight="1" x14ac:dyDescent="0.25">
      <c r="B91" s="33"/>
      <c r="C91" s="33"/>
    </row>
    <row r="92" spans="2:3" ht="15.75" customHeight="1" x14ac:dyDescent="0.25">
      <c r="B92" s="33"/>
      <c r="C92" s="33"/>
    </row>
    <row r="93" spans="2:3" ht="15.75" customHeight="1" x14ac:dyDescent="0.25">
      <c r="B93" s="33"/>
      <c r="C93" s="33"/>
    </row>
    <row r="94" spans="2:3" ht="15.75" customHeight="1" x14ac:dyDescent="0.25">
      <c r="B94" s="33"/>
      <c r="C94" s="33"/>
    </row>
    <row r="95" spans="2:3" ht="15.75" customHeight="1" x14ac:dyDescent="0.25">
      <c r="B95" s="33"/>
      <c r="C95" s="33"/>
    </row>
    <row r="96" spans="2:3" ht="15.75" customHeight="1" x14ac:dyDescent="0.25">
      <c r="B96" s="33"/>
      <c r="C96" s="33"/>
    </row>
    <row r="97" spans="2:3" ht="15.75" customHeight="1" x14ac:dyDescent="0.25">
      <c r="B97" s="33"/>
      <c r="C97" s="33"/>
    </row>
    <row r="98" spans="2:3" ht="15.75" customHeight="1" x14ac:dyDescent="0.25">
      <c r="B98" s="33"/>
      <c r="C98" s="33"/>
    </row>
    <row r="99" spans="2:3" ht="15.75" customHeight="1" x14ac:dyDescent="0.25">
      <c r="B99" s="33"/>
      <c r="C99" s="33"/>
    </row>
    <row r="100" spans="2:3" ht="15.75" customHeight="1" x14ac:dyDescent="0.25">
      <c r="B100" s="33"/>
      <c r="C100" s="33"/>
    </row>
    <row r="101" spans="2:3" ht="15.75" customHeight="1" x14ac:dyDescent="0.25">
      <c r="B101" s="33"/>
      <c r="C101" s="33"/>
    </row>
    <row r="102" spans="2:3" ht="15.75" customHeight="1" x14ac:dyDescent="0.25">
      <c r="B102" s="33"/>
      <c r="C102" s="33"/>
    </row>
    <row r="103" spans="2:3" ht="15.75" customHeight="1" x14ac:dyDescent="0.25">
      <c r="B103" s="33"/>
      <c r="C103" s="33"/>
    </row>
    <row r="104" spans="2:3" ht="15.75" customHeight="1" x14ac:dyDescent="0.25">
      <c r="B104" s="33"/>
      <c r="C104" s="33"/>
    </row>
    <row r="105" spans="2:3" ht="15.75" customHeight="1" x14ac:dyDescent="0.25">
      <c r="B105" s="33"/>
      <c r="C105" s="33"/>
    </row>
    <row r="106" spans="2:3" ht="15.75" customHeight="1" x14ac:dyDescent="0.25">
      <c r="B106" s="33"/>
      <c r="C106" s="33"/>
    </row>
    <row r="107" spans="2:3" ht="15.75" customHeight="1" x14ac:dyDescent="0.25">
      <c r="B107" s="33"/>
      <c r="C107" s="33"/>
    </row>
    <row r="108" spans="2:3" ht="15.75" customHeight="1" x14ac:dyDescent="0.25">
      <c r="B108" s="33"/>
      <c r="C108" s="33"/>
    </row>
    <row r="109" spans="2:3" ht="15.75" customHeight="1" x14ac:dyDescent="0.25">
      <c r="B109" s="33"/>
      <c r="C109" s="33"/>
    </row>
    <row r="110" spans="2:3" ht="15.75" customHeight="1" x14ac:dyDescent="0.25">
      <c r="B110" s="33"/>
      <c r="C110" s="33"/>
    </row>
    <row r="111" spans="2:3" ht="15.75" customHeight="1" x14ac:dyDescent="0.25">
      <c r="B111" s="33"/>
      <c r="C111" s="33"/>
    </row>
    <row r="112" spans="2:3" ht="15.75" customHeight="1" x14ac:dyDescent="0.25">
      <c r="B112" s="33"/>
      <c r="C112" s="33"/>
    </row>
    <row r="113" spans="2:3" ht="15.75" customHeight="1" x14ac:dyDescent="0.25">
      <c r="B113" s="33"/>
      <c r="C113" s="33"/>
    </row>
    <row r="114" spans="2:3" ht="15.75" customHeight="1" x14ac:dyDescent="0.25">
      <c r="B114" s="33"/>
      <c r="C114" s="33"/>
    </row>
    <row r="115" spans="2:3" ht="15.75" customHeight="1" x14ac:dyDescent="0.25">
      <c r="B115" s="33"/>
      <c r="C115" s="33"/>
    </row>
    <row r="116" spans="2:3" ht="15.75" customHeight="1" x14ac:dyDescent="0.25">
      <c r="B116" s="33"/>
      <c r="C116" s="33"/>
    </row>
    <row r="117" spans="2:3" ht="15.75" customHeight="1" x14ac:dyDescent="0.25">
      <c r="B117" s="33"/>
      <c r="C117" s="33"/>
    </row>
    <row r="118" spans="2:3" ht="15.75" customHeight="1" x14ac:dyDescent="0.25">
      <c r="B118" s="33"/>
      <c r="C118" s="33"/>
    </row>
    <row r="119" spans="2:3" ht="15.75" customHeight="1" x14ac:dyDescent="0.25">
      <c r="B119" s="33"/>
      <c r="C119" s="33"/>
    </row>
    <row r="120" spans="2:3" ht="15.75" customHeight="1" x14ac:dyDescent="0.25">
      <c r="B120" s="33"/>
      <c r="C120" s="33"/>
    </row>
    <row r="121" spans="2:3" ht="15.75" customHeight="1" x14ac:dyDescent="0.25">
      <c r="B121" s="33"/>
      <c r="C121" s="33"/>
    </row>
    <row r="122" spans="2:3" ht="15.75" customHeight="1" x14ac:dyDescent="0.25">
      <c r="B122" s="33"/>
      <c r="C122" s="33"/>
    </row>
    <row r="123" spans="2:3" ht="15.75" customHeight="1" x14ac:dyDescent="0.25">
      <c r="B123" s="33"/>
      <c r="C123" s="33"/>
    </row>
    <row r="124" spans="2:3" ht="15.75" customHeight="1" x14ac:dyDescent="0.25">
      <c r="B124" s="33"/>
      <c r="C124" s="33"/>
    </row>
    <row r="125" spans="2:3" ht="15.75" customHeight="1" x14ac:dyDescent="0.25">
      <c r="B125" s="33"/>
      <c r="C125" s="33"/>
    </row>
    <row r="126" spans="2:3" ht="15.75" customHeight="1" x14ac:dyDescent="0.25">
      <c r="B126" s="33"/>
      <c r="C126" s="33"/>
    </row>
    <row r="127" spans="2:3" ht="15.75" customHeight="1" x14ac:dyDescent="0.25">
      <c r="B127" s="33"/>
      <c r="C127" s="33"/>
    </row>
    <row r="128" spans="2:3" ht="15.75" customHeight="1" x14ac:dyDescent="0.25">
      <c r="B128" s="33"/>
      <c r="C128" s="33"/>
    </row>
    <row r="129" spans="2:3" ht="15.75" customHeight="1" x14ac:dyDescent="0.25">
      <c r="B129" s="33"/>
      <c r="C129" s="33"/>
    </row>
    <row r="130" spans="2:3" ht="15.75" customHeight="1" x14ac:dyDescent="0.25">
      <c r="B130" s="33"/>
      <c r="C130" s="33"/>
    </row>
    <row r="131" spans="2:3" ht="15.75" customHeight="1" x14ac:dyDescent="0.25">
      <c r="B131" s="33"/>
      <c r="C131" s="33"/>
    </row>
    <row r="132" spans="2:3" ht="15.75" customHeight="1" x14ac:dyDescent="0.25">
      <c r="B132" s="33"/>
      <c r="C132" s="33"/>
    </row>
    <row r="133" spans="2:3" ht="15.75" customHeight="1" x14ac:dyDescent="0.25">
      <c r="B133" s="33"/>
      <c r="C133" s="33"/>
    </row>
    <row r="134" spans="2:3" ht="15.75" customHeight="1" x14ac:dyDescent="0.25">
      <c r="B134" s="33"/>
      <c r="C134" s="33"/>
    </row>
    <row r="135" spans="2:3" ht="15.75" customHeight="1" x14ac:dyDescent="0.25">
      <c r="B135" s="33"/>
      <c r="C135" s="33"/>
    </row>
    <row r="136" spans="2:3" ht="15.75" customHeight="1" x14ac:dyDescent="0.25">
      <c r="B136" s="33"/>
      <c r="C136" s="33"/>
    </row>
    <row r="137" spans="2:3" ht="15.75" customHeight="1" x14ac:dyDescent="0.25">
      <c r="B137" s="33"/>
      <c r="C137" s="33"/>
    </row>
    <row r="138" spans="2:3" ht="15.75" customHeight="1" x14ac:dyDescent="0.25">
      <c r="B138" s="33"/>
      <c r="C138" s="33"/>
    </row>
    <row r="139" spans="2:3" ht="15.75" customHeight="1" x14ac:dyDescent="0.25">
      <c r="B139" s="33"/>
      <c r="C139" s="33"/>
    </row>
    <row r="140" spans="2:3" ht="15.75" customHeight="1" x14ac:dyDescent="0.25">
      <c r="B140" s="33"/>
      <c r="C140" s="33"/>
    </row>
    <row r="141" spans="2:3" ht="15.75" customHeight="1" x14ac:dyDescent="0.25">
      <c r="B141" s="33"/>
      <c r="C141" s="33"/>
    </row>
    <row r="142" spans="2:3" ht="15.75" customHeight="1" x14ac:dyDescent="0.25">
      <c r="B142" s="33"/>
      <c r="C142" s="33"/>
    </row>
    <row r="143" spans="2:3" ht="15.75" customHeight="1" x14ac:dyDescent="0.25">
      <c r="B143" s="33"/>
      <c r="C143" s="33"/>
    </row>
    <row r="144" spans="2:3" ht="15.75" customHeight="1" x14ac:dyDescent="0.25">
      <c r="B144" s="33"/>
      <c r="C144" s="33"/>
    </row>
    <row r="145" spans="2:3" ht="15.75" customHeight="1" x14ac:dyDescent="0.25">
      <c r="B145" s="33"/>
      <c r="C145" s="33"/>
    </row>
    <row r="146" spans="2:3" ht="15.75" customHeight="1" x14ac:dyDescent="0.25">
      <c r="B146" s="33"/>
      <c r="C146" s="33"/>
    </row>
    <row r="147" spans="2:3" ht="15.75" customHeight="1" x14ac:dyDescent="0.25">
      <c r="B147" s="33"/>
      <c r="C147" s="33"/>
    </row>
    <row r="148" spans="2:3" ht="15.75" customHeight="1" x14ac:dyDescent="0.25">
      <c r="B148" s="33"/>
      <c r="C148" s="33"/>
    </row>
    <row r="149" spans="2:3" ht="15.75" customHeight="1" x14ac:dyDescent="0.25">
      <c r="B149" s="33"/>
      <c r="C149" s="33"/>
    </row>
    <row r="150" spans="2:3" ht="15.75" customHeight="1" x14ac:dyDescent="0.25">
      <c r="B150" s="33"/>
      <c r="C150" s="33"/>
    </row>
    <row r="151" spans="2:3" ht="15.75" customHeight="1" x14ac:dyDescent="0.25">
      <c r="B151" s="33"/>
      <c r="C151" s="33"/>
    </row>
    <row r="152" spans="2:3" ht="15.75" customHeight="1" x14ac:dyDescent="0.25">
      <c r="B152" s="33"/>
      <c r="C152" s="33"/>
    </row>
    <row r="153" spans="2:3" ht="15.75" customHeight="1" x14ac:dyDescent="0.25">
      <c r="B153" s="33"/>
      <c r="C153" s="33"/>
    </row>
    <row r="154" spans="2:3" ht="15.75" customHeight="1" x14ac:dyDescent="0.25">
      <c r="B154" s="33"/>
      <c r="C154" s="33"/>
    </row>
    <row r="155" spans="2:3" ht="15.75" customHeight="1" x14ac:dyDescent="0.25">
      <c r="B155" s="33"/>
      <c r="C155" s="33"/>
    </row>
    <row r="156" spans="2:3" ht="15.75" customHeight="1" x14ac:dyDescent="0.25">
      <c r="B156" s="33"/>
      <c r="C156" s="33"/>
    </row>
    <row r="157" spans="2:3" ht="15.75" customHeight="1" x14ac:dyDescent="0.25">
      <c r="B157" s="33"/>
      <c r="C157" s="33"/>
    </row>
    <row r="158" spans="2:3" ht="15.75" customHeight="1" x14ac:dyDescent="0.25">
      <c r="B158" s="33"/>
      <c r="C158" s="33"/>
    </row>
    <row r="159" spans="2:3" ht="15.75" customHeight="1" x14ac:dyDescent="0.25">
      <c r="B159" s="33"/>
      <c r="C159" s="33"/>
    </row>
    <row r="160" spans="2:3" ht="15.75" customHeight="1" x14ac:dyDescent="0.25">
      <c r="B160" s="33"/>
      <c r="C160" s="33"/>
    </row>
    <row r="161" spans="2:3" ht="15.75" customHeight="1" x14ac:dyDescent="0.25">
      <c r="B161" s="33"/>
      <c r="C161" s="33"/>
    </row>
    <row r="162" spans="2:3" ht="15.75" customHeight="1" x14ac:dyDescent="0.25">
      <c r="B162" s="33"/>
      <c r="C162" s="33"/>
    </row>
    <row r="163" spans="2:3" ht="15.75" customHeight="1" x14ac:dyDescent="0.25">
      <c r="B163" s="33"/>
      <c r="C163" s="33"/>
    </row>
    <row r="164" spans="2:3" ht="15.75" customHeight="1" x14ac:dyDescent="0.25">
      <c r="B164" s="33"/>
      <c r="C164" s="33"/>
    </row>
    <row r="165" spans="2:3" ht="15.75" customHeight="1" x14ac:dyDescent="0.25">
      <c r="B165" s="33"/>
      <c r="C165" s="33"/>
    </row>
    <row r="166" spans="2:3" ht="15.75" customHeight="1" x14ac:dyDescent="0.25">
      <c r="B166" s="33"/>
      <c r="C166" s="33"/>
    </row>
    <row r="167" spans="2:3" ht="15.75" customHeight="1" x14ac:dyDescent="0.25">
      <c r="B167" s="33"/>
      <c r="C167" s="33"/>
    </row>
    <row r="168" spans="2:3" ht="15.75" customHeight="1" x14ac:dyDescent="0.25">
      <c r="B168" s="33"/>
      <c r="C168" s="33"/>
    </row>
    <row r="169" spans="2:3" ht="15.75" customHeight="1" x14ac:dyDescent="0.25">
      <c r="B169" s="33"/>
      <c r="C169" s="33"/>
    </row>
    <row r="170" spans="2:3" ht="15.75" customHeight="1" x14ac:dyDescent="0.25">
      <c r="B170" s="33"/>
      <c r="C170" s="33"/>
    </row>
    <row r="171" spans="2:3" ht="15.75" customHeight="1" x14ac:dyDescent="0.25">
      <c r="B171" s="33"/>
      <c r="C171" s="33"/>
    </row>
    <row r="172" spans="2:3" ht="15.75" customHeight="1" x14ac:dyDescent="0.25">
      <c r="B172" s="33"/>
      <c r="C172" s="33"/>
    </row>
    <row r="173" spans="2:3" ht="15.75" customHeight="1" x14ac:dyDescent="0.25">
      <c r="B173" s="33"/>
      <c r="C173" s="33"/>
    </row>
    <row r="174" spans="2:3" ht="15.75" customHeight="1" x14ac:dyDescent="0.25">
      <c r="B174" s="33"/>
      <c r="C174" s="33"/>
    </row>
    <row r="175" spans="2:3" ht="15.75" customHeight="1" x14ac:dyDescent="0.25">
      <c r="B175" s="33"/>
      <c r="C175" s="33"/>
    </row>
    <row r="176" spans="2:3" ht="15.75" customHeight="1" x14ac:dyDescent="0.25">
      <c r="B176" s="33"/>
      <c r="C176" s="33"/>
    </row>
    <row r="177" spans="2:3" ht="15.75" customHeight="1" x14ac:dyDescent="0.25">
      <c r="B177" s="33"/>
      <c r="C177" s="33"/>
    </row>
    <row r="178" spans="2:3" ht="15.75" customHeight="1" x14ac:dyDescent="0.25">
      <c r="B178" s="33"/>
      <c r="C178" s="33"/>
    </row>
    <row r="179" spans="2:3" ht="15.75" customHeight="1" x14ac:dyDescent="0.25">
      <c r="B179" s="33"/>
      <c r="C179" s="33"/>
    </row>
    <row r="180" spans="2:3" ht="15.75" customHeight="1" x14ac:dyDescent="0.25">
      <c r="B180" s="33"/>
      <c r="C180" s="33"/>
    </row>
    <row r="181" spans="2:3" ht="15.75" customHeight="1" x14ac:dyDescent="0.25">
      <c r="B181" s="33"/>
      <c r="C181" s="33"/>
    </row>
    <row r="182" spans="2:3" ht="15.75" customHeight="1" x14ac:dyDescent="0.25">
      <c r="B182" s="33"/>
      <c r="C182" s="33"/>
    </row>
    <row r="183" spans="2:3" ht="15.75" customHeight="1" x14ac:dyDescent="0.25">
      <c r="B183" s="33"/>
      <c r="C183" s="33"/>
    </row>
    <row r="184" spans="2:3" ht="15.75" customHeight="1" x14ac:dyDescent="0.25">
      <c r="B184" s="33"/>
      <c r="C184" s="33"/>
    </row>
    <row r="185" spans="2:3" ht="15.75" customHeight="1" x14ac:dyDescent="0.25">
      <c r="B185" s="33"/>
      <c r="C185" s="33"/>
    </row>
    <row r="186" spans="2:3" ht="15.75" customHeight="1" x14ac:dyDescent="0.25">
      <c r="B186" s="33"/>
      <c r="C186" s="33"/>
    </row>
    <row r="187" spans="2:3" ht="15.75" customHeight="1" x14ac:dyDescent="0.25">
      <c r="B187" s="33"/>
      <c r="C187" s="33"/>
    </row>
    <row r="188" spans="2:3" ht="15.75" customHeight="1" x14ac:dyDescent="0.25">
      <c r="B188" s="33"/>
      <c r="C188" s="33"/>
    </row>
    <row r="189" spans="2:3" ht="15.75" customHeight="1" x14ac:dyDescent="0.25">
      <c r="B189" s="33"/>
      <c r="C189" s="33"/>
    </row>
    <row r="190" spans="2:3" ht="15.75" customHeight="1" x14ac:dyDescent="0.25">
      <c r="B190" s="33"/>
      <c r="C190" s="33"/>
    </row>
    <row r="191" spans="2:3" ht="15.75" customHeight="1" x14ac:dyDescent="0.25">
      <c r="B191" s="33"/>
      <c r="C191" s="33"/>
    </row>
    <row r="192" spans="2:3" ht="15.75" customHeight="1" x14ac:dyDescent="0.25">
      <c r="B192" s="33"/>
      <c r="C192" s="33"/>
    </row>
    <row r="193" spans="2:3" ht="15.75" customHeight="1" x14ac:dyDescent="0.25">
      <c r="B193" s="33"/>
      <c r="C193" s="33"/>
    </row>
    <row r="194" spans="2:3" ht="15.75" customHeight="1" x14ac:dyDescent="0.25">
      <c r="B194" s="33"/>
      <c r="C194" s="33"/>
    </row>
    <row r="195" spans="2:3" ht="15.75" customHeight="1" x14ac:dyDescent="0.25">
      <c r="B195" s="33"/>
      <c r="C195" s="33"/>
    </row>
    <row r="196" spans="2:3" ht="15.75" customHeight="1" x14ac:dyDescent="0.25">
      <c r="B196" s="33"/>
      <c r="C196" s="33"/>
    </row>
    <row r="197" spans="2:3" ht="15.75" customHeight="1" x14ac:dyDescent="0.25">
      <c r="B197" s="33"/>
      <c r="C197" s="33"/>
    </row>
    <row r="198" spans="2:3" ht="15.75" customHeight="1" x14ac:dyDescent="0.25">
      <c r="B198" s="33"/>
      <c r="C198" s="33"/>
    </row>
    <row r="199" spans="2:3" ht="15.75" customHeight="1" x14ac:dyDescent="0.25">
      <c r="B199" s="33"/>
      <c r="C199" s="33"/>
    </row>
    <row r="200" spans="2:3" ht="15.75" customHeight="1" x14ac:dyDescent="0.25">
      <c r="B200" s="33"/>
      <c r="C200" s="33"/>
    </row>
    <row r="201" spans="2:3" ht="15.75" customHeight="1" x14ac:dyDescent="0.25">
      <c r="B201" s="33"/>
      <c r="C201" s="33"/>
    </row>
    <row r="202" spans="2:3" ht="15.75" customHeight="1" x14ac:dyDescent="0.25">
      <c r="B202" s="33"/>
      <c r="C202" s="33"/>
    </row>
    <row r="203" spans="2:3" ht="15.75" customHeight="1" x14ac:dyDescent="0.25">
      <c r="B203" s="33"/>
      <c r="C203" s="33"/>
    </row>
    <row r="204" spans="2:3" ht="15.75" customHeight="1" x14ac:dyDescent="0.25">
      <c r="B204" s="33"/>
      <c r="C204" s="33"/>
    </row>
    <row r="205" spans="2:3" ht="15.75" customHeight="1" x14ac:dyDescent="0.25">
      <c r="B205" s="33"/>
      <c r="C205" s="33"/>
    </row>
    <row r="206" spans="2:3" ht="15.75" customHeight="1" x14ac:dyDescent="0.25">
      <c r="B206" s="33"/>
      <c r="C206" s="33"/>
    </row>
    <row r="207" spans="2:3" ht="15.75" customHeight="1" x14ac:dyDescent="0.25">
      <c r="B207" s="33"/>
      <c r="C207" s="33"/>
    </row>
    <row r="208" spans="2:3" ht="15.75" customHeight="1" x14ac:dyDescent="0.25">
      <c r="B208" s="33"/>
      <c r="C208" s="33"/>
    </row>
    <row r="209" spans="2:3" ht="15.75" customHeight="1" x14ac:dyDescent="0.25">
      <c r="B209" s="33"/>
      <c r="C209" s="33"/>
    </row>
    <row r="210" spans="2:3" ht="15.75" customHeight="1" x14ac:dyDescent="0.25">
      <c r="B210" s="33"/>
      <c r="C210" s="33"/>
    </row>
    <row r="211" spans="2:3" ht="15.75" customHeight="1" x14ac:dyDescent="0.25">
      <c r="B211" s="33"/>
      <c r="C211" s="33"/>
    </row>
    <row r="212" spans="2:3" ht="15.75" customHeight="1" x14ac:dyDescent="0.25">
      <c r="B212" s="33"/>
      <c r="C212" s="33"/>
    </row>
    <row r="213" spans="2:3" ht="15.75" customHeight="1" x14ac:dyDescent="0.25">
      <c r="B213" s="33"/>
      <c r="C213" s="33"/>
    </row>
    <row r="214" spans="2:3" ht="15.75" customHeight="1" x14ac:dyDescent="0.25">
      <c r="B214" s="33"/>
      <c r="C214" s="33"/>
    </row>
    <row r="215" spans="2:3" ht="15.75" customHeight="1" x14ac:dyDescent="0.25">
      <c r="B215" s="33"/>
      <c r="C215" s="33"/>
    </row>
    <row r="216" spans="2:3" ht="15.75" customHeight="1" x14ac:dyDescent="0.25">
      <c r="B216" s="33"/>
      <c r="C216" s="33"/>
    </row>
    <row r="217" spans="2:3" ht="15.75" customHeight="1" x14ac:dyDescent="0.25">
      <c r="B217" s="33"/>
      <c r="C217" s="33"/>
    </row>
    <row r="218" spans="2:3" ht="15.75" customHeight="1" x14ac:dyDescent="0.25">
      <c r="B218" s="33"/>
      <c r="C218" s="33"/>
    </row>
    <row r="219" spans="2:3" ht="15.75" customHeight="1" x14ac:dyDescent="0.25">
      <c r="B219" s="33"/>
      <c r="C219" s="33"/>
    </row>
    <row r="220" spans="2:3" ht="15.75" customHeight="1" x14ac:dyDescent="0.25">
      <c r="B220" s="33"/>
      <c r="C220" s="33"/>
    </row>
    <row r="221" spans="2:3" ht="15.75" customHeight="1" x14ac:dyDescent="0.25">
      <c r="B221" s="33"/>
      <c r="C221" s="33"/>
    </row>
    <row r="222" spans="2:3" ht="15.75" customHeight="1" x14ac:dyDescent="0.25">
      <c r="B222" s="33"/>
      <c r="C222" s="33"/>
    </row>
    <row r="223" spans="2:3" ht="15.75" customHeight="1" x14ac:dyDescent="0.25">
      <c r="B223" s="33"/>
      <c r="C223" s="33"/>
    </row>
    <row r="224" spans="2:3" ht="15.75" customHeight="1" x14ac:dyDescent="0.25">
      <c r="B224" s="33"/>
      <c r="C224" s="33"/>
    </row>
    <row r="225" spans="2:3" ht="15.75" customHeight="1" x14ac:dyDescent="0.25">
      <c r="B225" s="33"/>
      <c r="C225" s="33"/>
    </row>
    <row r="226" spans="2:3" ht="15.75" customHeight="1" x14ac:dyDescent="0.25">
      <c r="B226" s="33"/>
      <c r="C226" s="33"/>
    </row>
    <row r="227" spans="2:3" ht="15.75" customHeight="1" x14ac:dyDescent="0.25">
      <c r="B227" s="33"/>
      <c r="C227" s="33"/>
    </row>
    <row r="228" spans="2:3" ht="15.75" customHeight="1" x14ac:dyDescent="0.25">
      <c r="B228" s="33"/>
      <c r="C228" s="33"/>
    </row>
    <row r="229" spans="2:3" ht="15.75" customHeight="1" x14ac:dyDescent="0.25">
      <c r="B229" s="33"/>
      <c r="C229" s="33"/>
    </row>
    <row r="230" spans="2:3" ht="15.75" customHeight="1" x14ac:dyDescent="0.25">
      <c r="B230" s="33"/>
      <c r="C230" s="33"/>
    </row>
    <row r="231" spans="2:3" ht="15.75" customHeight="1" x14ac:dyDescent="0.25">
      <c r="B231" s="33"/>
      <c r="C231" s="33"/>
    </row>
    <row r="232" spans="2:3" ht="15.75" customHeight="1" x14ac:dyDescent="0.25">
      <c r="B232" s="33"/>
      <c r="C232" s="33"/>
    </row>
    <row r="233" spans="2:3" ht="15.75" customHeight="1" x14ac:dyDescent="0.25">
      <c r="B233" s="33"/>
      <c r="C233" s="33"/>
    </row>
    <row r="234" spans="2:3" ht="15.75" customHeight="1" x14ac:dyDescent="0.25">
      <c r="B234" s="33"/>
      <c r="C234" s="33"/>
    </row>
    <row r="235" spans="2:3" ht="15.75" customHeight="1" x14ac:dyDescent="0.25">
      <c r="B235" s="33"/>
      <c r="C235" s="33"/>
    </row>
    <row r="236" spans="2:3" ht="15.75" customHeight="1" x14ac:dyDescent="0.25">
      <c r="B236" s="33"/>
      <c r="C236" s="33"/>
    </row>
    <row r="237" spans="2:3" ht="15.75" customHeight="1" x14ac:dyDescent="0.25">
      <c r="B237" s="33"/>
      <c r="C237" s="33"/>
    </row>
    <row r="238" spans="2:3" ht="15.75" customHeight="1" x14ac:dyDescent="0.25">
      <c r="B238" s="33"/>
      <c r="C238" s="33"/>
    </row>
    <row r="239" spans="2:3" ht="15.75" customHeight="1" x14ac:dyDescent="0.25">
      <c r="B239" s="33"/>
      <c r="C239" s="33"/>
    </row>
    <row r="240" spans="2:3" ht="15.75" customHeight="1" x14ac:dyDescent="0.25">
      <c r="B240" s="33"/>
      <c r="C240" s="33"/>
    </row>
    <row r="241" spans="2:3" ht="15.75" customHeight="1" x14ac:dyDescent="0.25">
      <c r="B241" s="33"/>
      <c r="C241" s="33"/>
    </row>
    <row r="242" spans="2:3" ht="15.75" customHeight="1" x14ac:dyDescent="0.25">
      <c r="B242" s="33"/>
      <c r="C242" s="33"/>
    </row>
    <row r="243" spans="2:3" ht="15.75" customHeight="1" x14ac:dyDescent="0.25">
      <c r="B243" s="33"/>
      <c r="C243" s="33"/>
    </row>
    <row r="244" spans="2:3" ht="15.75" customHeight="1" x14ac:dyDescent="0.25">
      <c r="B244" s="33"/>
      <c r="C244" s="33"/>
    </row>
    <row r="245" spans="2:3" ht="15.75" customHeight="1" x14ac:dyDescent="0.25">
      <c r="B245" s="33"/>
      <c r="C245" s="33"/>
    </row>
    <row r="246" spans="2:3" ht="15.75" customHeight="1" x14ac:dyDescent="0.25">
      <c r="B246" s="33"/>
      <c r="C246" s="33"/>
    </row>
    <row r="247" spans="2:3" ht="15.75" customHeight="1" x14ac:dyDescent="0.25">
      <c r="B247" s="33"/>
      <c r="C247" s="33"/>
    </row>
    <row r="248" spans="2:3" ht="15.75" customHeight="1" x14ac:dyDescent="0.25">
      <c r="B248" s="33"/>
      <c r="C248" s="33"/>
    </row>
    <row r="249" spans="2:3" ht="15.75" customHeight="1" x14ac:dyDescent="0.25">
      <c r="B249" s="33"/>
      <c r="C249" s="33"/>
    </row>
    <row r="250" spans="2:3" ht="15.75" customHeight="1" x14ac:dyDescent="0.25">
      <c r="B250" s="33"/>
      <c r="C250" s="33"/>
    </row>
    <row r="251" spans="2:3" ht="15.75" customHeight="1" x14ac:dyDescent="0.25"/>
    <row r="252" spans="2:3" ht="15.75" customHeight="1" x14ac:dyDescent="0.25"/>
    <row r="253" spans="2:3" ht="15.75" customHeight="1" x14ac:dyDescent="0.25"/>
    <row r="254" spans="2:3" ht="15.75" customHeight="1" x14ac:dyDescent="0.25"/>
    <row r="255" spans="2:3" ht="15.75" customHeight="1" x14ac:dyDescent="0.25"/>
    <row r="256" spans="2:3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conditionalFormatting sqref="G2">
    <cfRule type="cellIs" dxfId="81" priority="1" operator="lessThan">
      <formula>0</formula>
    </cfRule>
    <cfRule type="cellIs" dxfId="80" priority="2" operator="greaterThan">
      <formula>0</formula>
    </cfRule>
  </conditionalFormatting>
  <hyperlinks>
    <hyperlink ref="D1" location="CLIENTES!A1" display="volver" xr:uid="{00000000-0004-0000-1500-000000000000}"/>
  </hyperlink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003"/>
  <sheetViews>
    <sheetView zoomScaleNormal="100" workbookViewId="0">
      <selection activeCell="D1" sqref="D1"/>
    </sheetView>
  </sheetViews>
  <sheetFormatPr baseColWidth="10" defaultColWidth="14.42578125" defaultRowHeight="15" customHeight="1" x14ac:dyDescent="0.25"/>
  <cols>
    <col min="1" max="1" width="13.5703125" customWidth="1"/>
    <col min="2" max="2" width="21.140625" style="33" customWidth="1"/>
    <col min="3" max="3" width="13.5703125" style="33" customWidth="1"/>
    <col min="4" max="4" width="22.7109375" customWidth="1"/>
    <col min="5" max="7" width="13.5703125" customWidth="1"/>
    <col min="8" max="26" width="10.7109375" customWidth="1"/>
  </cols>
  <sheetData>
    <row r="1" spans="1:7" ht="18.75" x14ac:dyDescent="0.3">
      <c r="A1" s="12" t="s">
        <v>211</v>
      </c>
      <c r="B1"/>
      <c r="C1"/>
      <c r="D1" s="101" t="s">
        <v>52</v>
      </c>
    </row>
    <row r="2" spans="1:7" s="37" customFormat="1" ht="19.5" customHeight="1" x14ac:dyDescent="0.25">
      <c r="A2" s="37" t="s">
        <v>53</v>
      </c>
      <c r="B2" s="38" t="s">
        <v>54</v>
      </c>
      <c r="C2" s="38" t="s">
        <v>55</v>
      </c>
      <c r="D2" s="37" t="s">
        <v>56</v>
      </c>
      <c r="E2" s="37" t="s">
        <v>57</v>
      </c>
      <c r="F2" s="39" t="s">
        <v>58</v>
      </c>
      <c r="G2" s="40">
        <f>SUM(C3:C1048576) - SUM(B3:B1048576)</f>
        <v>0</v>
      </c>
    </row>
    <row r="4" spans="1:7" ht="15" customHeight="1" x14ac:dyDescent="0.25">
      <c r="A4" s="31">
        <v>46022</v>
      </c>
      <c r="B4" s="33">
        <v>5125320</v>
      </c>
    </row>
    <row r="5" spans="1:7" ht="15" customHeight="1" x14ac:dyDescent="0.25">
      <c r="A5" s="31">
        <v>46031</v>
      </c>
      <c r="C5" s="33">
        <v>5125320</v>
      </c>
    </row>
    <row r="6" spans="1:7" ht="15" customHeight="1" x14ac:dyDescent="0.25">
      <c r="A6" s="31">
        <v>46053</v>
      </c>
      <c r="B6" s="33">
        <v>5960481</v>
      </c>
    </row>
    <row r="7" spans="1:7" ht="15" customHeight="1" x14ac:dyDescent="0.25">
      <c r="A7" s="31">
        <v>46066</v>
      </c>
      <c r="C7" s="33">
        <v>5960481</v>
      </c>
    </row>
    <row r="8" spans="1:7" ht="15" customHeight="1" x14ac:dyDescent="0.25">
      <c r="A8" s="31">
        <v>46081</v>
      </c>
      <c r="B8" s="33">
        <v>7111334</v>
      </c>
    </row>
    <row r="9" spans="1:7" ht="15" customHeight="1" x14ac:dyDescent="0.25">
      <c r="A9" s="31">
        <v>46097</v>
      </c>
      <c r="C9" s="33">
        <v>7111334</v>
      </c>
    </row>
    <row r="10" spans="1:7" ht="15" customHeight="1" x14ac:dyDescent="0.25">
      <c r="A10" s="31"/>
    </row>
    <row r="11" spans="1:7" ht="15" customHeight="1" x14ac:dyDescent="0.25">
      <c r="A11" s="31"/>
    </row>
    <row r="12" spans="1:7" ht="15" customHeight="1" x14ac:dyDescent="0.25">
      <c r="A12" s="31"/>
    </row>
    <row r="13" spans="1:7" ht="15" customHeight="1" x14ac:dyDescent="0.25">
      <c r="A13" s="31"/>
    </row>
    <row r="14" spans="1:7" ht="15" customHeight="1" x14ac:dyDescent="0.25">
      <c r="A14" s="31"/>
    </row>
    <row r="15" spans="1:7" ht="15" customHeight="1" x14ac:dyDescent="0.25">
      <c r="A15" s="31"/>
    </row>
    <row r="16" spans="1:7" ht="15" customHeight="1" x14ac:dyDescent="0.25">
      <c r="A16" s="31"/>
    </row>
    <row r="17" spans="1:1" ht="15" customHeight="1" x14ac:dyDescent="0.25">
      <c r="A17" s="31"/>
    </row>
    <row r="18" spans="1:1" ht="15" customHeight="1" x14ac:dyDescent="0.25">
      <c r="A18" s="31"/>
    </row>
    <row r="19" spans="1:1" ht="15" customHeight="1" x14ac:dyDescent="0.25">
      <c r="A19" s="31"/>
    </row>
    <row r="20" spans="1:1" ht="15" customHeight="1" x14ac:dyDescent="0.25">
      <c r="A20" s="31"/>
    </row>
    <row r="21" spans="1:1" ht="15" customHeight="1" x14ac:dyDescent="0.25">
      <c r="A21" s="31"/>
    </row>
    <row r="22" spans="1:1" ht="15" customHeight="1" x14ac:dyDescent="0.25">
      <c r="A22" s="31"/>
    </row>
    <row r="23" spans="1:1" ht="15" customHeight="1" x14ac:dyDescent="0.25">
      <c r="A23" s="31"/>
    </row>
    <row r="24" spans="1:1" ht="15.75" customHeight="1" x14ac:dyDescent="0.25">
      <c r="A24" s="31"/>
    </row>
    <row r="25" spans="1:1" ht="15.75" customHeight="1" x14ac:dyDescent="0.25">
      <c r="A25" s="31"/>
    </row>
    <row r="26" spans="1:1" ht="15.75" customHeight="1" x14ac:dyDescent="0.25">
      <c r="A26" s="31"/>
    </row>
    <row r="27" spans="1:1" ht="15.75" customHeight="1" x14ac:dyDescent="0.25">
      <c r="A27" s="31"/>
    </row>
    <row r="28" spans="1:1" ht="15.75" customHeight="1" x14ac:dyDescent="0.25">
      <c r="A28" s="31"/>
    </row>
    <row r="29" spans="1:1" ht="15.75" customHeight="1" x14ac:dyDescent="0.25">
      <c r="A29" s="31"/>
    </row>
    <row r="30" spans="1:1" ht="15.75" customHeight="1" x14ac:dyDescent="0.25">
      <c r="A30" s="31"/>
    </row>
    <row r="31" spans="1:1" ht="15.75" customHeight="1" x14ac:dyDescent="0.25">
      <c r="A31" s="31"/>
    </row>
    <row r="32" spans="1:1" ht="15.75" customHeight="1" x14ac:dyDescent="0.25">
      <c r="A32" s="31"/>
    </row>
    <row r="33" spans="1:1" ht="15.75" customHeight="1" x14ac:dyDescent="0.25">
      <c r="A33" s="31"/>
    </row>
    <row r="34" spans="1:1" ht="15.75" customHeight="1" x14ac:dyDescent="0.25">
      <c r="A34" s="31"/>
    </row>
    <row r="35" spans="1:1" ht="15.75" customHeight="1" x14ac:dyDescent="0.25">
      <c r="A35" s="31"/>
    </row>
    <row r="36" spans="1:1" ht="15.75" customHeight="1" x14ac:dyDescent="0.25">
      <c r="A36" s="31"/>
    </row>
    <row r="37" spans="1:1" ht="15.75" customHeight="1" x14ac:dyDescent="0.25">
      <c r="A37" s="31"/>
    </row>
    <row r="38" spans="1:1" ht="15.75" customHeight="1" x14ac:dyDescent="0.25">
      <c r="A38" s="31"/>
    </row>
    <row r="39" spans="1:1" ht="15.75" customHeight="1" x14ac:dyDescent="0.25"/>
    <row r="40" spans="1:1" ht="15.75" customHeight="1" x14ac:dyDescent="0.25"/>
    <row r="41" spans="1:1" ht="15.75" customHeight="1" x14ac:dyDescent="0.25"/>
    <row r="42" spans="1:1" ht="15.75" customHeight="1" x14ac:dyDescent="0.25"/>
    <row r="43" spans="1:1" ht="15.75" customHeight="1" x14ac:dyDescent="0.25"/>
    <row r="44" spans="1:1" ht="15.75" customHeight="1" x14ac:dyDescent="0.25"/>
    <row r="45" spans="1:1" ht="15.75" customHeight="1" x14ac:dyDescent="0.25"/>
    <row r="46" spans="1:1" ht="15.75" customHeight="1" x14ac:dyDescent="0.25"/>
    <row r="47" spans="1:1" ht="15.75" customHeight="1" x14ac:dyDescent="0.25"/>
    <row r="48" spans="1: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conditionalFormatting sqref="G2">
    <cfRule type="cellIs" dxfId="79" priority="1" operator="lessThan">
      <formula>0</formula>
    </cfRule>
    <cfRule type="cellIs" dxfId="78" priority="2" operator="greaterThan">
      <formula>0</formula>
    </cfRule>
  </conditionalFormatting>
  <hyperlinks>
    <hyperlink ref="D1" location="CLIENTES!A1" display="volver" xr:uid="{00000000-0004-0000-1700-000000000000}"/>
  </hyperlinks>
  <pageMargins left="0.7" right="0.7" top="0.75" bottom="0.75" header="0" footer="0"/>
  <pageSetup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1003"/>
  <sheetViews>
    <sheetView workbookViewId="0">
      <selection activeCell="D1" sqref="D1"/>
    </sheetView>
  </sheetViews>
  <sheetFormatPr baseColWidth="10" defaultColWidth="14.42578125" defaultRowHeight="15" customHeight="1" x14ac:dyDescent="0.25"/>
  <cols>
    <col min="1" max="1" width="15.42578125" customWidth="1"/>
    <col min="2" max="2" width="22.42578125" style="33" customWidth="1"/>
    <col min="3" max="3" width="15.42578125" style="33" customWidth="1"/>
    <col min="4" max="4" width="22.7109375" customWidth="1"/>
    <col min="5" max="7" width="15.42578125" customWidth="1"/>
    <col min="8" max="26" width="10.7109375" customWidth="1"/>
  </cols>
  <sheetData>
    <row r="1" spans="1:7" ht="18.75" x14ac:dyDescent="0.3">
      <c r="A1" s="12" t="s">
        <v>19</v>
      </c>
      <c r="B1"/>
      <c r="C1"/>
      <c r="D1" s="101" t="s">
        <v>52</v>
      </c>
    </row>
    <row r="2" spans="1:7" s="43" customFormat="1" ht="27" customHeight="1" x14ac:dyDescent="0.25">
      <c r="A2" s="43" t="s">
        <v>53</v>
      </c>
      <c r="B2" s="44" t="s">
        <v>54</v>
      </c>
      <c r="C2" s="44" t="s">
        <v>55</v>
      </c>
      <c r="D2" s="43" t="s">
        <v>56</v>
      </c>
      <c r="E2" s="43" t="s">
        <v>57</v>
      </c>
      <c r="F2" s="45" t="s">
        <v>58</v>
      </c>
      <c r="G2" s="46">
        <f>SUM(C3:C1048576) - SUM(B3:B1048576)</f>
        <v>-2769039</v>
      </c>
    </row>
    <row r="4" spans="1:7" ht="15" customHeight="1" x14ac:dyDescent="0.25">
      <c r="A4" s="31">
        <v>45412</v>
      </c>
      <c r="B4" s="33">
        <v>809757</v>
      </c>
    </row>
    <row r="5" spans="1:7" ht="15" customHeight="1" x14ac:dyDescent="0.25">
      <c r="A5" s="31">
        <v>45427</v>
      </c>
      <c r="C5" s="33">
        <v>809757</v>
      </c>
      <c r="D5" s="34" t="s">
        <v>76</v>
      </c>
    </row>
    <row r="6" spans="1:7" ht="15" customHeight="1" x14ac:dyDescent="0.25">
      <c r="A6" s="31">
        <v>45443</v>
      </c>
      <c r="B6" s="33">
        <v>530194</v>
      </c>
    </row>
    <row r="7" spans="1:7" ht="15" customHeight="1" x14ac:dyDescent="0.25">
      <c r="A7" s="31">
        <v>45452</v>
      </c>
      <c r="C7" s="33">
        <v>530194</v>
      </c>
      <c r="D7" s="34" t="s">
        <v>76</v>
      </c>
    </row>
    <row r="8" spans="1:7" ht="15" customHeight="1" x14ac:dyDescent="0.25">
      <c r="A8" s="31">
        <v>45473</v>
      </c>
      <c r="B8" s="33">
        <v>1420739</v>
      </c>
    </row>
    <row r="9" spans="1:7" ht="15" customHeight="1" x14ac:dyDescent="0.25">
      <c r="A9" s="31">
        <v>45488</v>
      </c>
      <c r="C9" s="33">
        <v>1420739</v>
      </c>
      <c r="D9" s="34" t="s">
        <v>77</v>
      </c>
    </row>
    <row r="10" spans="1:7" ht="15" customHeight="1" x14ac:dyDescent="0.25">
      <c r="A10" s="31">
        <v>45504</v>
      </c>
      <c r="B10" s="33">
        <v>3869104</v>
      </c>
    </row>
    <row r="11" spans="1:7" ht="15" customHeight="1" x14ac:dyDescent="0.25">
      <c r="A11" s="31">
        <v>45535</v>
      </c>
      <c r="B11" s="33">
        <v>1126619</v>
      </c>
    </row>
    <row r="12" spans="1:7" ht="15" customHeight="1" x14ac:dyDescent="0.25">
      <c r="A12" s="31">
        <v>45538</v>
      </c>
      <c r="C12" s="33">
        <v>3325000</v>
      </c>
      <c r="D12" t="s">
        <v>119</v>
      </c>
    </row>
    <row r="13" spans="1:7" ht="15" customHeight="1" x14ac:dyDescent="0.25">
      <c r="A13" s="31">
        <v>45565</v>
      </c>
      <c r="B13" s="33">
        <v>2393148</v>
      </c>
    </row>
    <row r="14" spans="1:7" ht="15" customHeight="1" x14ac:dyDescent="0.25">
      <c r="A14" s="31">
        <v>45626</v>
      </c>
      <c r="B14" s="33">
        <v>1762356</v>
      </c>
      <c r="C14" s="33">
        <v>500000</v>
      </c>
      <c r="D14" t="s">
        <v>131</v>
      </c>
    </row>
    <row r="15" spans="1:7" ht="15" customHeight="1" x14ac:dyDescent="0.25">
      <c r="A15" s="31">
        <v>45576</v>
      </c>
      <c r="C15" s="33">
        <v>3200000</v>
      </c>
      <c r="D15" t="s">
        <v>119</v>
      </c>
    </row>
    <row r="16" spans="1:7" ht="15" customHeight="1" x14ac:dyDescent="0.25">
      <c r="A16" s="31">
        <v>45596</v>
      </c>
      <c r="B16" s="33">
        <v>2510871</v>
      </c>
    </row>
    <row r="17" spans="1:4" ht="15" customHeight="1" x14ac:dyDescent="0.25">
      <c r="A17" s="31">
        <v>45616</v>
      </c>
      <c r="C17" s="33">
        <v>1920500</v>
      </c>
    </row>
    <row r="18" spans="1:4" ht="15" customHeight="1" x14ac:dyDescent="0.25">
      <c r="A18" s="31">
        <v>45626</v>
      </c>
      <c r="B18" s="33">
        <v>4024512</v>
      </c>
    </row>
    <row r="19" spans="1:4" ht="15" customHeight="1" x14ac:dyDescent="0.25">
      <c r="A19" s="31">
        <v>45632</v>
      </c>
      <c r="C19" s="33">
        <v>3000000</v>
      </c>
      <c r="D19" t="s">
        <v>117</v>
      </c>
    </row>
    <row r="20" spans="1:4" ht="15" customHeight="1" x14ac:dyDescent="0.25">
      <c r="A20" s="31">
        <v>45647</v>
      </c>
      <c r="C20" s="33">
        <v>4727272</v>
      </c>
      <c r="D20" t="s">
        <v>59</v>
      </c>
    </row>
    <row r="21" spans="1:4" ht="15" customHeight="1" x14ac:dyDescent="0.25">
      <c r="A21" s="31">
        <v>45657</v>
      </c>
      <c r="B21" s="33">
        <v>3368395</v>
      </c>
    </row>
    <row r="22" spans="1:4" ht="15" customHeight="1" x14ac:dyDescent="0.25">
      <c r="A22" s="31">
        <v>45659</v>
      </c>
      <c r="C22" s="33">
        <v>2275073</v>
      </c>
    </row>
    <row r="23" spans="1:4" ht="15.75" customHeight="1" x14ac:dyDescent="0.25">
      <c r="A23" s="31">
        <v>45688</v>
      </c>
      <c r="B23" s="33">
        <v>3543132</v>
      </c>
    </row>
    <row r="24" spans="1:4" ht="15.75" customHeight="1" x14ac:dyDescent="0.25">
      <c r="A24" s="31">
        <v>45710</v>
      </c>
      <c r="C24" s="33">
        <v>3550000</v>
      </c>
    </row>
    <row r="25" spans="1:4" ht="15.75" customHeight="1" x14ac:dyDescent="0.25">
      <c r="A25" s="31">
        <v>45716</v>
      </c>
      <c r="B25" s="33">
        <v>2941523</v>
      </c>
    </row>
    <row r="26" spans="1:4" ht="15.75" customHeight="1" x14ac:dyDescent="0.25">
      <c r="A26" s="31">
        <v>45727</v>
      </c>
      <c r="C26" s="33">
        <v>1000000</v>
      </c>
    </row>
    <row r="27" spans="1:4" ht="15.75" customHeight="1" x14ac:dyDescent="0.25">
      <c r="A27" s="31">
        <v>45747</v>
      </c>
      <c r="B27" s="33">
        <v>1920048</v>
      </c>
    </row>
    <row r="28" spans="1:4" ht="15.75" customHeight="1" x14ac:dyDescent="0.25">
      <c r="A28" s="31">
        <v>45751</v>
      </c>
      <c r="C28" s="33">
        <v>700000</v>
      </c>
      <c r="D28" t="s">
        <v>59</v>
      </c>
    </row>
    <row r="29" spans="1:4" ht="15.75" customHeight="1" x14ac:dyDescent="0.25">
      <c r="A29" s="31">
        <v>45751</v>
      </c>
      <c r="C29" s="33">
        <v>1127000</v>
      </c>
      <c r="D29" t="s">
        <v>63</v>
      </c>
    </row>
    <row r="30" spans="1:4" ht="15.75" customHeight="1" x14ac:dyDescent="0.25">
      <c r="A30" s="31">
        <v>45777</v>
      </c>
      <c r="B30" s="33">
        <v>1798911</v>
      </c>
    </row>
    <row r="31" spans="1:4" ht="15.75" customHeight="1" x14ac:dyDescent="0.25">
      <c r="A31" s="31">
        <v>45783</v>
      </c>
      <c r="C31" s="33">
        <v>2000000</v>
      </c>
    </row>
    <row r="32" spans="1:4" ht="15.75" customHeight="1" x14ac:dyDescent="0.25">
      <c r="A32" s="31">
        <v>45804</v>
      </c>
      <c r="C32" s="33">
        <v>2300000</v>
      </c>
    </row>
    <row r="33" spans="1:4" ht="15.75" customHeight="1" x14ac:dyDescent="0.25">
      <c r="A33" s="31">
        <v>45807</v>
      </c>
      <c r="B33" s="33">
        <v>1171885</v>
      </c>
    </row>
    <row r="34" spans="1:4" ht="15.75" customHeight="1" x14ac:dyDescent="0.25">
      <c r="A34" s="31">
        <v>45838</v>
      </c>
      <c r="B34" s="33">
        <v>1640380</v>
      </c>
    </row>
    <row r="35" spans="1:4" ht="15.75" customHeight="1" x14ac:dyDescent="0.25">
      <c r="A35" s="31">
        <v>45839</v>
      </c>
      <c r="C35" s="33">
        <v>2300000</v>
      </c>
    </row>
    <row r="36" spans="1:4" ht="15.75" customHeight="1" x14ac:dyDescent="0.25">
      <c r="A36" s="31">
        <v>45869</v>
      </c>
      <c r="B36" s="33">
        <v>3863469</v>
      </c>
    </row>
    <row r="37" spans="1:4" ht="15.75" customHeight="1" x14ac:dyDescent="0.25">
      <c r="A37" s="31">
        <v>45875</v>
      </c>
      <c r="C37" s="33">
        <v>3033200</v>
      </c>
      <c r="D37" t="s">
        <v>109</v>
      </c>
    </row>
    <row r="38" spans="1:4" ht="15.75" customHeight="1" x14ac:dyDescent="0.25">
      <c r="A38" s="31">
        <v>45875</v>
      </c>
      <c r="C38" s="33">
        <v>717952</v>
      </c>
      <c r="D38" t="s">
        <v>109</v>
      </c>
    </row>
    <row r="39" spans="1:4" ht="15.75" customHeight="1" x14ac:dyDescent="0.25">
      <c r="A39" s="31">
        <v>45900</v>
      </c>
      <c r="B39" s="33">
        <v>1148213</v>
      </c>
    </row>
    <row r="40" spans="1:4" ht="15.75" customHeight="1" x14ac:dyDescent="0.25">
      <c r="A40" s="31">
        <v>45924</v>
      </c>
      <c r="C40" s="33">
        <v>2600000</v>
      </c>
    </row>
    <row r="41" spans="1:4" ht="15.75" customHeight="1" x14ac:dyDescent="0.25">
      <c r="A41" s="31">
        <v>45930</v>
      </c>
      <c r="B41" s="33">
        <v>2829088</v>
      </c>
    </row>
    <row r="42" spans="1:4" ht="15.75" customHeight="1" x14ac:dyDescent="0.25">
      <c r="A42" s="31">
        <v>45952</v>
      </c>
      <c r="C42" s="33">
        <v>3033200</v>
      </c>
      <c r="D42" t="s">
        <v>59</v>
      </c>
    </row>
    <row r="43" spans="1:4" ht="15.75" customHeight="1" x14ac:dyDescent="0.25">
      <c r="A43" s="31">
        <v>45961</v>
      </c>
      <c r="B43" s="33">
        <v>4853536</v>
      </c>
    </row>
    <row r="44" spans="1:4" ht="15.75" customHeight="1" x14ac:dyDescent="0.25">
      <c r="A44" s="31">
        <v>45973</v>
      </c>
      <c r="C44" s="33">
        <v>2500000</v>
      </c>
      <c r="D44" t="s">
        <v>109</v>
      </c>
    </row>
    <row r="45" spans="1:4" ht="15.75" customHeight="1" x14ac:dyDescent="0.25">
      <c r="A45" s="31">
        <v>45991</v>
      </c>
      <c r="B45" s="33">
        <v>6009049</v>
      </c>
    </row>
    <row r="46" spans="1:4" ht="15.75" customHeight="1" x14ac:dyDescent="0.25">
      <c r="A46" s="31">
        <v>46007</v>
      </c>
      <c r="C46" s="33">
        <v>8525000</v>
      </c>
      <c r="D46" t="s">
        <v>109</v>
      </c>
    </row>
    <row r="47" spans="1:4" ht="15.75" customHeight="1" x14ac:dyDescent="0.25">
      <c r="A47" s="31">
        <v>46022</v>
      </c>
      <c r="B47" s="33">
        <v>4481599</v>
      </c>
    </row>
    <row r="48" spans="1:4" ht="15.75" customHeight="1" x14ac:dyDescent="0.25">
      <c r="A48" s="31">
        <v>46053</v>
      </c>
      <c r="B48" s="33">
        <v>5329619</v>
      </c>
    </row>
    <row r="49" spans="1:4" ht="15.75" customHeight="1" x14ac:dyDescent="0.25">
      <c r="A49" s="31">
        <v>46066</v>
      </c>
      <c r="C49" s="33">
        <v>8151535</v>
      </c>
      <c r="D49" t="s">
        <v>109</v>
      </c>
    </row>
    <row r="50" spans="1:4" ht="15.75" customHeight="1" x14ac:dyDescent="0.25">
      <c r="A50" s="31">
        <v>46081</v>
      </c>
      <c r="B50" s="33">
        <v>4669314</v>
      </c>
    </row>
    <row r="51" spans="1:4" ht="15.75" customHeight="1" x14ac:dyDescent="0.25">
      <c r="A51" s="31">
        <v>46085</v>
      </c>
      <c r="C51" s="33">
        <v>2000000</v>
      </c>
    </row>
    <row r="52" spans="1:4" ht="15.75" customHeight="1" x14ac:dyDescent="0.25"/>
    <row r="53" spans="1:4" ht="15.75" customHeight="1" x14ac:dyDescent="0.25"/>
    <row r="54" spans="1:4" ht="15.75" customHeight="1" x14ac:dyDescent="0.25"/>
    <row r="55" spans="1:4" ht="15.75" customHeight="1" x14ac:dyDescent="0.25"/>
    <row r="56" spans="1:4" ht="15.75" customHeight="1" x14ac:dyDescent="0.25"/>
    <row r="57" spans="1:4" ht="15.75" customHeight="1" x14ac:dyDescent="0.25"/>
    <row r="58" spans="1:4" ht="15.75" customHeight="1" x14ac:dyDescent="0.25"/>
    <row r="59" spans="1:4" ht="15.75" customHeight="1" x14ac:dyDescent="0.25"/>
    <row r="60" spans="1:4" ht="15.75" customHeight="1" x14ac:dyDescent="0.25"/>
    <row r="61" spans="1:4" ht="15.75" customHeight="1" x14ac:dyDescent="0.25"/>
    <row r="62" spans="1:4" ht="15.75" customHeight="1" x14ac:dyDescent="0.25"/>
    <row r="63" spans="1:4" ht="15.75" customHeight="1" x14ac:dyDescent="0.25"/>
    <row r="64" spans="1: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conditionalFormatting sqref="G2">
    <cfRule type="cellIs" dxfId="77" priority="1" operator="lessThan">
      <formula>0</formula>
    </cfRule>
    <cfRule type="cellIs" dxfId="76" priority="2" operator="greaterThan">
      <formula>0</formula>
    </cfRule>
  </conditionalFormatting>
  <hyperlinks>
    <hyperlink ref="D1" location="CLIENTES!A1" display="volver" xr:uid="{00000000-0004-0000-1800-000000000000}"/>
  </hyperlinks>
  <pageMargins left="0.7" right="0.7" top="0.75" bottom="0.75" header="0" footer="0"/>
  <pageSetup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998"/>
  <sheetViews>
    <sheetView workbookViewId="0">
      <selection activeCell="D1" sqref="D1"/>
    </sheetView>
  </sheetViews>
  <sheetFormatPr baseColWidth="10" defaultColWidth="14.42578125" defaultRowHeight="15" customHeight="1" x14ac:dyDescent="0.25"/>
  <cols>
    <col min="1" max="1" width="15.140625" customWidth="1"/>
    <col min="2" max="2" width="20.140625" style="33" customWidth="1"/>
    <col min="3" max="3" width="15.140625" style="33" customWidth="1"/>
    <col min="4" max="4" width="19.28515625" customWidth="1"/>
    <col min="5" max="7" width="15.140625" customWidth="1"/>
    <col min="8" max="26" width="10.7109375" customWidth="1"/>
  </cols>
  <sheetData>
    <row r="1" spans="1:7" ht="18.75" x14ac:dyDescent="0.3">
      <c r="A1" s="12" t="s">
        <v>20</v>
      </c>
      <c r="B1"/>
      <c r="C1"/>
      <c r="D1" s="101" t="s">
        <v>52</v>
      </c>
    </row>
    <row r="2" spans="1:7" s="37" customFormat="1" ht="22.5" customHeight="1" x14ac:dyDescent="0.25">
      <c r="A2" s="37" t="s">
        <v>53</v>
      </c>
      <c r="B2" s="38" t="s">
        <v>54</v>
      </c>
      <c r="C2" s="38" t="s">
        <v>55</v>
      </c>
      <c r="D2" s="37" t="s">
        <v>56</v>
      </c>
      <c r="E2" s="37" t="s">
        <v>57</v>
      </c>
      <c r="F2" s="39" t="s">
        <v>58</v>
      </c>
      <c r="G2" s="40">
        <f>SUM(C3:C1048576) - SUM(B3:B1048576)</f>
        <v>-64227</v>
      </c>
    </row>
    <row r="5" spans="1:7" ht="15" customHeight="1" x14ac:dyDescent="0.25">
      <c r="A5" s="31">
        <v>45504</v>
      </c>
      <c r="B5" s="33">
        <v>400915</v>
      </c>
    </row>
    <row r="6" spans="1:7" ht="15" customHeight="1" x14ac:dyDescent="0.25">
      <c r="A6" s="31">
        <v>45525</v>
      </c>
      <c r="C6" s="33">
        <v>400915</v>
      </c>
    </row>
    <row r="7" spans="1:7" ht="15" customHeight="1" x14ac:dyDescent="0.25">
      <c r="A7" s="31">
        <v>45684</v>
      </c>
      <c r="B7" s="33">
        <v>521392</v>
      </c>
    </row>
    <row r="8" spans="1:7" ht="15" customHeight="1" x14ac:dyDescent="0.25">
      <c r="A8" s="31">
        <v>45700</v>
      </c>
      <c r="C8" s="33">
        <v>521392</v>
      </c>
    </row>
    <row r="9" spans="1:7" ht="15" customHeight="1" x14ac:dyDescent="0.25">
      <c r="A9" s="31">
        <v>45716</v>
      </c>
      <c r="B9" s="33">
        <v>246337</v>
      </c>
    </row>
    <row r="10" spans="1:7" ht="15" customHeight="1" x14ac:dyDescent="0.25">
      <c r="A10" s="31">
        <v>45742</v>
      </c>
      <c r="C10" s="33">
        <v>246337</v>
      </c>
    </row>
    <row r="11" spans="1:7" ht="15" customHeight="1" x14ac:dyDescent="0.25">
      <c r="A11" s="31">
        <v>45747</v>
      </c>
      <c r="B11" s="33">
        <v>1047840</v>
      </c>
    </row>
    <row r="12" spans="1:7" ht="15" customHeight="1" x14ac:dyDescent="0.25">
      <c r="A12" s="31">
        <v>45777</v>
      </c>
      <c r="C12" s="33">
        <v>1200485</v>
      </c>
      <c r="D12" t="s">
        <v>165</v>
      </c>
    </row>
    <row r="13" spans="1:7" ht="15" customHeight="1" x14ac:dyDescent="0.25">
      <c r="A13" s="31">
        <v>45777</v>
      </c>
      <c r="B13" s="33">
        <v>152645</v>
      </c>
    </row>
    <row r="14" spans="1:7" ht="15" customHeight="1" x14ac:dyDescent="0.25">
      <c r="A14" s="31">
        <v>46022</v>
      </c>
      <c r="B14" s="33">
        <v>64227</v>
      </c>
    </row>
    <row r="15" spans="1:7" ht="15" customHeight="1" x14ac:dyDescent="0.25">
      <c r="A15" s="31">
        <v>46038</v>
      </c>
      <c r="B15" s="33">
        <v>601862</v>
      </c>
    </row>
    <row r="16" spans="1:7" ht="15" customHeight="1" x14ac:dyDescent="0.25">
      <c r="A16" s="31">
        <v>46049</v>
      </c>
      <c r="C16" s="33">
        <v>601862</v>
      </c>
    </row>
    <row r="17" spans="1:3" ht="15" customHeight="1" x14ac:dyDescent="0.25">
      <c r="A17" s="31">
        <v>46053</v>
      </c>
      <c r="B17" s="33">
        <v>469412</v>
      </c>
    </row>
    <row r="18" spans="1:3" ht="15" customHeight="1" x14ac:dyDescent="0.25">
      <c r="A18" s="31">
        <v>46063</v>
      </c>
      <c r="C18" s="33">
        <v>469412</v>
      </c>
    </row>
    <row r="19" spans="1:3" ht="15.75" customHeight="1" x14ac:dyDescent="0.25">
      <c r="A19" s="31">
        <v>46068</v>
      </c>
      <c r="B19" s="33">
        <v>665678</v>
      </c>
    </row>
    <row r="20" spans="1:3" ht="15.75" customHeight="1" x14ac:dyDescent="0.25">
      <c r="A20" s="31">
        <v>46081</v>
      </c>
      <c r="B20" s="33">
        <v>422421</v>
      </c>
    </row>
    <row r="21" spans="1:3" ht="15.75" customHeight="1" x14ac:dyDescent="0.25">
      <c r="A21" s="31">
        <v>46073</v>
      </c>
      <c r="C21" s="33">
        <v>665678</v>
      </c>
    </row>
    <row r="22" spans="1:3" ht="15.75" customHeight="1" x14ac:dyDescent="0.25">
      <c r="A22" s="31">
        <v>46092</v>
      </c>
      <c r="C22" s="33">
        <v>422421</v>
      </c>
    </row>
    <row r="23" spans="1:3" ht="15.75" customHeight="1" x14ac:dyDescent="0.25"/>
    <row r="24" spans="1:3" ht="15.75" customHeight="1" x14ac:dyDescent="0.25"/>
    <row r="25" spans="1:3" ht="15.75" customHeight="1" x14ac:dyDescent="0.25"/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conditionalFormatting sqref="G2">
    <cfRule type="cellIs" dxfId="75" priority="1" operator="lessThan">
      <formula>0</formula>
    </cfRule>
    <cfRule type="cellIs" dxfId="74" priority="2" operator="greaterThan">
      <formula>0</formula>
    </cfRule>
  </conditionalFormatting>
  <hyperlinks>
    <hyperlink ref="D1" location="CLIENTES!A1" display="volver" xr:uid="{00000000-0004-0000-1900-000000000000}"/>
  </hyperlinks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1001"/>
  <sheetViews>
    <sheetView zoomScale="95" zoomScaleNormal="95" workbookViewId="0">
      <selection activeCell="D1" sqref="D1"/>
    </sheetView>
  </sheetViews>
  <sheetFormatPr baseColWidth="10" defaultColWidth="14.42578125" defaultRowHeight="15" customHeight="1" x14ac:dyDescent="0.25"/>
  <cols>
    <col min="1" max="1" width="15.7109375" customWidth="1"/>
    <col min="2" max="2" width="21.28515625" style="33" customWidth="1"/>
    <col min="3" max="3" width="15.7109375" style="33" customWidth="1"/>
    <col min="4" max="4" width="19.7109375" customWidth="1"/>
    <col min="5" max="7" width="15.7109375" customWidth="1"/>
    <col min="8" max="26" width="10.7109375" customWidth="1"/>
  </cols>
  <sheetData>
    <row r="1" spans="1:7" ht="18.75" x14ac:dyDescent="0.3">
      <c r="A1" s="12" t="s">
        <v>21</v>
      </c>
      <c r="B1"/>
      <c r="C1"/>
      <c r="D1" s="101" t="s">
        <v>52</v>
      </c>
    </row>
    <row r="2" spans="1:7" s="37" customFormat="1" ht="24.75" customHeight="1" x14ac:dyDescent="0.25">
      <c r="A2" s="37" t="s">
        <v>53</v>
      </c>
      <c r="B2" s="38" t="s">
        <v>54</v>
      </c>
      <c r="C2" s="38" t="s">
        <v>55</v>
      </c>
      <c r="D2" s="37" t="s">
        <v>56</v>
      </c>
      <c r="E2" s="37" t="s">
        <v>57</v>
      </c>
      <c r="F2" s="39" t="s">
        <v>58</v>
      </c>
      <c r="G2" s="40">
        <f>SUM(C3:C1048576) - SUM(B3:B1048576)</f>
        <v>-5189294</v>
      </c>
    </row>
    <row r="4" spans="1:7" ht="15" customHeight="1" x14ac:dyDescent="0.25">
      <c r="A4" s="31">
        <v>45443</v>
      </c>
      <c r="B4" s="33">
        <v>224579</v>
      </c>
    </row>
    <row r="5" spans="1:7" ht="15" customHeight="1" x14ac:dyDescent="0.25">
      <c r="A5" s="31">
        <v>45473</v>
      </c>
      <c r="B5" s="33">
        <v>492396</v>
      </c>
    </row>
    <row r="6" spans="1:7" ht="15" customHeight="1" x14ac:dyDescent="0.25">
      <c r="A6" s="31">
        <v>45504</v>
      </c>
      <c r="B6" s="33">
        <v>1026558</v>
      </c>
    </row>
    <row r="7" spans="1:7" ht="15" customHeight="1" x14ac:dyDescent="0.25">
      <c r="A7" s="31">
        <v>45517</v>
      </c>
      <c r="C7" s="33">
        <v>1000000</v>
      </c>
    </row>
    <row r="8" spans="1:7" ht="15" customHeight="1" x14ac:dyDescent="0.25">
      <c r="A8" s="31">
        <v>45531</v>
      </c>
      <c r="C8" s="33">
        <v>300000</v>
      </c>
    </row>
    <row r="9" spans="1:7" ht="15" customHeight="1" x14ac:dyDescent="0.25">
      <c r="A9" s="31">
        <v>45535</v>
      </c>
      <c r="B9" s="33">
        <v>882957</v>
      </c>
    </row>
    <row r="10" spans="1:7" ht="15" customHeight="1" x14ac:dyDescent="0.25">
      <c r="A10" s="31">
        <v>45565</v>
      </c>
      <c r="B10" s="33">
        <v>1759822</v>
      </c>
    </row>
    <row r="11" spans="1:7" ht="15" customHeight="1" x14ac:dyDescent="0.25">
      <c r="A11" s="31">
        <v>45588</v>
      </c>
      <c r="C11" s="33">
        <v>1000000</v>
      </c>
    </row>
    <row r="12" spans="1:7" ht="15" customHeight="1" x14ac:dyDescent="0.25">
      <c r="A12" s="31">
        <v>45596</v>
      </c>
      <c r="B12" s="33">
        <v>1669846</v>
      </c>
    </row>
    <row r="13" spans="1:7" ht="15" customHeight="1" x14ac:dyDescent="0.25">
      <c r="A13" s="31">
        <v>45602</v>
      </c>
      <c r="C13" s="33">
        <v>1000000</v>
      </c>
    </row>
    <row r="14" spans="1:7" ht="15" customHeight="1" x14ac:dyDescent="0.25">
      <c r="A14" s="31">
        <v>45624</v>
      </c>
      <c r="C14" s="33">
        <v>1000000</v>
      </c>
    </row>
    <row r="15" spans="1:7" ht="15" customHeight="1" x14ac:dyDescent="0.25">
      <c r="A15" s="31">
        <v>45626</v>
      </c>
      <c r="B15" s="33">
        <v>1762356</v>
      </c>
    </row>
    <row r="16" spans="1:7" ht="15" customHeight="1" x14ac:dyDescent="0.25">
      <c r="A16" s="31">
        <v>45648</v>
      </c>
      <c r="C16" s="33">
        <v>500000</v>
      </c>
    </row>
    <row r="17" spans="1:4" ht="15" customHeight="1" x14ac:dyDescent="0.25">
      <c r="A17" s="31">
        <v>45657</v>
      </c>
      <c r="B17" s="33">
        <v>2458214</v>
      </c>
    </row>
    <row r="18" spans="1:4" ht="15" customHeight="1" x14ac:dyDescent="0.25">
      <c r="A18" s="31">
        <v>45293</v>
      </c>
      <c r="C18" s="33">
        <v>1500000</v>
      </c>
    </row>
    <row r="19" spans="1:4" ht="15" customHeight="1" x14ac:dyDescent="0.25">
      <c r="A19" s="31">
        <v>45674</v>
      </c>
      <c r="C19" s="33">
        <v>2000000</v>
      </c>
    </row>
    <row r="20" spans="1:4" ht="15" customHeight="1" x14ac:dyDescent="0.25">
      <c r="A20" s="31">
        <v>45679</v>
      </c>
      <c r="C20" s="33">
        <v>700000</v>
      </c>
    </row>
    <row r="21" spans="1:4" ht="15" customHeight="1" x14ac:dyDescent="0.25">
      <c r="A21" s="31">
        <v>45688</v>
      </c>
      <c r="B21" s="33">
        <v>2299995</v>
      </c>
    </row>
    <row r="22" spans="1:4" ht="15.75" customHeight="1" x14ac:dyDescent="0.25">
      <c r="A22" s="31">
        <v>45716</v>
      </c>
      <c r="B22" s="33">
        <v>2337809</v>
      </c>
    </row>
    <row r="23" spans="1:4" ht="15.75" customHeight="1" x14ac:dyDescent="0.25">
      <c r="A23" s="31">
        <v>45721</v>
      </c>
      <c r="C23" s="33">
        <v>2470000</v>
      </c>
    </row>
    <row r="24" spans="1:4" ht="15.75" customHeight="1" x14ac:dyDescent="0.25">
      <c r="A24" s="31">
        <v>45742</v>
      </c>
      <c r="C24" s="33">
        <v>1723150</v>
      </c>
      <c r="D24" t="s">
        <v>165</v>
      </c>
    </row>
    <row r="25" spans="1:4" ht="15.75" customHeight="1" x14ac:dyDescent="0.25">
      <c r="A25" s="31">
        <v>45747</v>
      </c>
      <c r="B25" s="33">
        <v>1073783</v>
      </c>
    </row>
    <row r="26" spans="1:4" ht="15.75" customHeight="1" x14ac:dyDescent="0.25">
      <c r="A26" s="31">
        <v>45777</v>
      </c>
      <c r="B26" s="33">
        <v>1220988</v>
      </c>
    </row>
    <row r="27" spans="1:4" ht="15.75" customHeight="1" x14ac:dyDescent="0.25">
      <c r="A27" s="31">
        <v>45782</v>
      </c>
      <c r="C27" s="33">
        <v>1000000</v>
      </c>
      <c r="D27" t="s">
        <v>166</v>
      </c>
    </row>
    <row r="28" spans="1:4" ht="15.75" customHeight="1" x14ac:dyDescent="0.25">
      <c r="A28" s="31">
        <v>45782</v>
      </c>
      <c r="C28" s="33">
        <v>500000</v>
      </c>
      <c r="D28" t="s">
        <v>165</v>
      </c>
    </row>
    <row r="29" spans="1:4" ht="15.75" customHeight="1" x14ac:dyDescent="0.25">
      <c r="A29" s="31">
        <v>45807</v>
      </c>
      <c r="B29" s="33">
        <v>194872</v>
      </c>
    </row>
    <row r="30" spans="1:4" ht="15.75" customHeight="1" x14ac:dyDescent="0.25">
      <c r="A30" s="31">
        <v>45812</v>
      </c>
      <c r="C30" s="33">
        <v>1000000</v>
      </c>
      <c r="D30" t="s">
        <v>170</v>
      </c>
    </row>
    <row r="31" spans="1:4" ht="15.75" customHeight="1" x14ac:dyDescent="0.25">
      <c r="A31" s="31">
        <v>45833</v>
      </c>
      <c r="C31" s="33">
        <v>1500000</v>
      </c>
    </row>
    <row r="32" spans="1:4" ht="15.75" customHeight="1" x14ac:dyDescent="0.25">
      <c r="A32" s="31">
        <v>45838</v>
      </c>
      <c r="B32" s="33">
        <v>1518216</v>
      </c>
    </row>
    <row r="33" spans="1:4" ht="15.75" customHeight="1" x14ac:dyDescent="0.25">
      <c r="A33" s="31">
        <v>45854</v>
      </c>
      <c r="C33" s="33">
        <v>1000000</v>
      </c>
    </row>
    <row r="34" spans="1:4" ht="15.75" customHeight="1" x14ac:dyDescent="0.25">
      <c r="A34" s="31">
        <v>45869</v>
      </c>
      <c r="B34" s="33">
        <v>1997044</v>
      </c>
    </row>
    <row r="35" spans="1:4" ht="15.75" customHeight="1" x14ac:dyDescent="0.25">
      <c r="A35" s="31">
        <v>45875</v>
      </c>
      <c r="C35" s="33">
        <v>1000000</v>
      </c>
    </row>
    <row r="36" spans="1:4" ht="15.75" customHeight="1" x14ac:dyDescent="0.25">
      <c r="A36" s="31">
        <v>45889</v>
      </c>
      <c r="C36" s="33">
        <v>1000000</v>
      </c>
    </row>
    <row r="37" spans="1:4" ht="15.75" customHeight="1" x14ac:dyDescent="0.25">
      <c r="A37" s="31">
        <v>45900</v>
      </c>
      <c r="B37" s="33">
        <v>2016024</v>
      </c>
    </row>
    <row r="38" spans="1:4" ht="15.75" customHeight="1" x14ac:dyDescent="0.25">
      <c r="A38" s="31">
        <v>45917</v>
      </c>
      <c r="C38" s="33">
        <v>1000000</v>
      </c>
    </row>
    <row r="39" spans="1:4" ht="15.75" customHeight="1" x14ac:dyDescent="0.25">
      <c r="A39" s="31">
        <v>45930</v>
      </c>
      <c r="B39" s="33">
        <v>2736161</v>
      </c>
    </row>
    <row r="40" spans="1:4" ht="15.75" customHeight="1" x14ac:dyDescent="0.25">
      <c r="A40" s="31">
        <v>45950</v>
      </c>
      <c r="C40" s="33">
        <v>1000000</v>
      </c>
    </row>
    <row r="41" spans="1:4" ht="15.75" customHeight="1" x14ac:dyDescent="0.25">
      <c r="A41" s="31">
        <v>45957</v>
      </c>
      <c r="C41" s="33">
        <v>1000000</v>
      </c>
    </row>
    <row r="42" spans="1:4" ht="15.75" customHeight="1" x14ac:dyDescent="0.25">
      <c r="A42" s="31">
        <v>45961</v>
      </c>
      <c r="B42" s="33">
        <v>2395939</v>
      </c>
      <c r="D42" t="s">
        <v>206</v>
      </c>
    </row>
    <row r="43" spans="1:4" ht="15.75" customHeight="1" x14ac:dyDescent="0.25">
      <c r="A43" s="31">
        <v>45961</v>
      </c>
      <c r="B43" s="33">
        <v>425330</v>
      </c>
      <c r="D43" t="s">
        <v>205</v>
      </c>
    </row>
    <row r="44" spans="1:4" ht="15.75" customHeight="1" x14ac:dyDescent="0.25">
      <c r="A44" s="31">
        <v>45971</v>
      </c>
      <c r="C44" s="33">
        <v>980000</v>
      </c>
      <c r="D44" t="s">
        <v>206</v>
      </c>
    </row>
    <row r="45" spans="1:4" ht="15.75" customHeight="1" x14ac:dyDescent="0.25">
      <c r="A45" s="31">
        <v>45973</v>
      </c>
      <c r="C45" s="33">
        <v>500000</v>
      </c>
      <c r="D45" t="s">
        <v>214</v>
      </c>
    </row>
    <row r="46" spans="1:4" ht="15.75" customHeight="1" x14ac:dyDescent="0.25">
      <c r="A46" s="31">
        <v>45974</v>
      </c>
      <c r="C46" s="33">
        <v>425330</v>
      </c>
      <c r="D46" t="s">
        <v>205</v>
      </c>
    </row>
    <row r="47" spans="1:4" ht="15.75" customHeight="1" x14ac:dyDescent="0.25">
      <c r="A47" s="31">
        <v>45991</v>
      </c>
      <c r="B47" s="33">
        <v>3011941</v>
      </c>
      <c r="D47" t="s">
        <v>206</v>
      </c>
    </row>
    <row r="48" spans="1:4" ht="15.75" customHeight="1" x14ac:dyDescent="0.25">
      <c r="A48" s="31">
        <v>45992</v>
      </c>
      <c r="C48" s="33">
        <v>1000000</v>
      </c>
    </row>
    <row r="49" spans="1:3" ht="15.75" customHeight="1" x14ac:dyDescent="0.25">
      <c r="A49" s="31">
        <v>45995</v>
      </c>
      <c r="C49" s="33">
        <v>1585000</v>
      </c>
    </row>
    <row r="50" spans="1:3" ht="15.75" customHeight="1" x14ac:dyDescent="0.25">
      <c r="A50" s="31">
        <v>46022</v>
      </c>
      <c r="B50" s="33">
        <v>3206313</v>
      </c>
    </row>
    <row r="51" spans="1:3" ht="15.75" customHeight="1" x14ac:dyDescent="0.25">
      <c r="A51" s="31">
        <v>46041</v>
      </c>
      <c r="C51" s="33">
        <v>2000000</v>
      </c>
    </row>
    <row r="52" spans="1:3" ht="15.75" customHeight="1" x14ac:dyDescent="0.25">
      <c r="A52" s="31">
        <v>46053</v>
      </c>
      <c r="B52" s="33">
        <v>3089607</v>
      </c>
    </row>
    <row r="53" spans="1:3" ht="15.75" customHeight="1" x14ac:dyDescent="0.25">
      <c r="A53" s="31">
        <v>46055</v>
      </c>
      <c r="C53" s="33">
        <v>2000000</v>
      </c>
    </row>
    <row r="54" spans="1:3" ht="15.75" customHeight="1" x14ac:dyDescent="0.25">
      <c r="A54" s="31">
        <v>46069</v>
      </c>
      <c r="C54" s="33">
        <v>2000000</v>
      </c>
    </row>
    <row r="55" spans="1:3" ht="15.75" customHeight="1" x14ac:dyDescent="0.25">
      <c r="A55" s="31">
        <v>46080</v>
      </c>
      <c r="C55" s="33">
        <v>2000000</v>
      </c>
    </row>
    <row r="56" spans="1:3" ht="15.75" customHeight="1" x14ac:dyDescent="0.25">
      <c r="A56" s="31">
        <v>46081</v>
      </c>
      <c r="B56" s="33">
        <v>3072024</v>
      </c>
    </row>
    <row r="57" spans="1:3" ht="15.75" customHeight="1" x14ac:dyDescent="0.25"/>
    <row r="58" spans="1:3" ht="15.75" customHeight="1" x14ac:dyDescent="0.25"/>
    <row r="59" spans="1:3" ht="15.75" customHeight="1" x14ac:dyDescent="0.25"/>
    <row r="60" spans="1:3" ht="15.75" customHeight="1" x14ac:dyDescent="0.25"/>
    <row r="61" spans="1:3" ht="15.75" customHeight="1" x14ac:dyDescent="0.25"/>
    <row r="62" spans="1:3" ht="15.75" customHeight="1" x14ac:dyDescent="0.25"/>
    <row r="63" spans="1:3" ht="15.75" customHeight="1" x14ac:dyDescent="0.25"/>
    <row r="64" spans="1: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conditionalFormatting sqref="G2">
    <cfRule type="cellIs" dxfId="73" priority="1" operator="lessThan">
      <formula>0</formula>
    </cfRule>
    <cfRule type="cellIs" dxfId="72" priority="2" operator="greaterThan">
      <formula>0</formula>
    </cfRule>
  </conditionalFormatting>
  <hyperlinks>
    <hyperlink ref="D1" location="CLIENTES!A1" display="volver" xr:uid="{00000000-0004-0000-1A00-000000000000}"/>
  </hyperlinks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1002"/>
  <sheetViews>
    <sheetView zoomScale="80" zoomScaleNormal="80" workbookViewId="0">
      <selection activeCell="D1" sqref="D1"/>
    </sheetView>
  </sheetViews>
  <sheetFormatPr baseColWidth="10" defaultColWidth="14.42578125" defaultRowHeight="15" customHeight="1" x14ac:dyDescent="0.25"/>
  <cols>
    <col min="1" max="1" width="16.28515625" customWidth="1"/>
    <col min="2" max="2" width="26.42578125" style="33" customWidth="1"/>
    <col min="3" max="3" width="16.28515625" style="33" customWidth="1"/>
    <col min="4" max="4" width="23" customWidth="1"/>
    <col min="5" max="7" width="16.28515625" customWidth="1"/>
    <col min="8" max="26" width="10.7109375" customWidth="1"/>
  </cols>
  <sheetData>
    <row r="1" spans="1:7" ht="18.75" x14ac:dyDescent="0.3">
      <c r="A1" s="12" t="s">
        <v>80</v>
      </c>
      <c r="B1"/>
      <c r="C1"/>
      <c r="D1" s="101" t="s">
        <v>52</v>
      </c>
    </row>
    <row r="2" spans="1:7" s="37" customFormat="1" ht="19.5" customHeight="1" x14ac:dyDescent="0.25">
      <c r="A2" s="37" t="s">
        <v>53</v>
      </c>
      <c r="B2" s="38" t="s">
        <v>54</v>
      </c>
      <c r="C2" s="38" t="s">
        <v>55</v>
      </c>
      <c r="D2" s="37" t="s">
        <v>56</v>
      </c>
      <c r="E2" s="37" t="s">
        <v>57</v>
      </c>
      <c r="F2" s="39" t="s">
        <v>58</v>
      </c>
      <c r="G2" s="40">
        <f>SUM(C3:C1048576) - SUM(B3:B1048576)</f>
        <v>-35059823</v>
      </c>
    </row>
    <row r="4" spans="1:7" ht="15" customHeight="1" x14ac:dyDescent="0.25">
      <c r="A4" s="34" t="s">
        <v>82</v>
      </c>
      <c r="B4" s="33">
        <v>1375032</v>
      </c>
      <c r="C4" s="33">
        <v>136595</v>
      </c>
      <c r="E4" s="34" t="s">
        <v>10</v>
      </c>
    </row>
    <row r="5" spans="1:7" ht="15" customHeight="1" x14ac:dyDescent="0.25">
      <c r="A5" s="34" t="s">
        <v>82</v>
      </c>
      <c r="B5" s="33">
        <v>1150164</v>
      </c>
      <c r="C5" s="33">
        <v>1000000</v>
      </c>
      <c r="E5" s="34" t="s">
        <v>83</v>
      </c>
    </row>
    <row r="6" spans="1:7" ht="15" customHeight="1" x14ac:dyDescent="0.25">
      <c r="A6" s="34" t="s">
        <v>82</v>
      </c>
      <c r="B6" s="33">
        <v>1025692</v>
      </c>
      <c r="C6" s="33">
        <v>1830000</v>
      </c>
      <c r="D6" s="34" t="s">
        <v>85</v>
      </c>
      <c r="E6" s="34" t="s">
        <v>23</v>
      </c>
    </row>
    <row r="7" spans="1:7" ht="15" customHeight="1" x14ac:dyDescent="0.25">
      <c r="A7" s="34" t="s">
        <v>82</v>
      </c>
      <c r="B7" s="33">
        <v>147328</v>
      </c>
      <c r="E7" s="34" t="s">
        <v>22</v>
      </c>
    </row>
    <row r="8" spans="1:7" ht="15" customHeight="1" x14ac:dyDescent="0.25">
      <c r="C8" s="33">
        <v>510000</v>
      </c>
      <c r="D8" s="34" t="s">
        <v>84</v>
      </c>
    </row>
    <row r="9" spans="1:7" ht="15" customHeight="1" x14ac:dyDescent="0.25">
      <c r="C9" s="33">
        <v>0</v>
      </c>
      <c r="D9" s="34" t="s">
        <v>86</v>
      </c>
    </row>
    <row r="10" spans="1:7" ht="15" customHeight="1" x14ac:dyDescent="0.25">
      <c r="C10" s="33">
        <v>1500000</v>
      </c>
      <c r="D10" s="34" t="s">
        <v>87</v>
      </c>
    </row>
    <row r="11" spans="1:7" ht="15" customHeight="1" x14ac:dyDescent="0.25">
      <c r="A11" s="34" t="s">
        <v>88</v>
      </c>
      <c r="B11" s="33">
        <v>553083</v>
      </c>
      <c r="E11" s="34" t="s">
        <v>10</v>
      </c>
    </row>
    <row r="12" spans="1:7" ht="15" customHeight="1" x14ac:dyDescent="0.25">
      <c r="A12" s="34" t="s">
        <v>88</v>
      </c>
      <c r="B12" s="33">
        <v>2635727</v>
      </c>
      <c r="E12" s="34" t="s">
        <v>83</v>
      </c>
    </row>
    <row r="13" spans="1:7" ht="15" customHeight="1" x14ac:dyDescent="0.25">
      <c r="A13" s="34" t="s">
        <v>88</v>
      </c>
      <c r="B13" s="33">
        <v>2076870</v>
      </c>
      <c r="E13" s="34" t="s">
        <v>23</v>
      </c>
    </row>
    <row r="14" spans="1:7" ht="15" customHeight="1" x14ac:dyDescent="0.25">
      <c r="A14" s="34" t="s">
        <v>88</v>
      </c>
      <c r="B14" s="33">
        <v>453505</v>
      </c>
      <c r="E14" s="34" t="s">
        <v>22</v>
      </c>
    </row>
    <row r="15" spans="1:7" ht="15" customHeight="1" x14ac:dyDescent="0.25">
      <c r="A15" s="35">
        <v>45545</v>
      </c>
      <c r="C15" s="33">
        <v>900000</v>
      </c>
      <c r="D15" t="s">
        <v>124</v>
      </c>
      <c r="E15" s="34"/>
    </row>
    <row r="16" spans="1:7" ht="15" customHeight="1" x14ac:dyDescent="0.25">
      <c r="A16" s="31">
        <v>45553</v>
      </c>
      <c r="C16" s="33">
        <v>3000000</v>
      </c>
      <c r="D16" t="s">
        <v>123</v>
      </c>
    </row>
    <row r="17" spans="1:5" ht="15" customHeight="1" x14ac:dyDescent="0.25">
      <c r="A17" s="31" t="s">
        <v>141</v>
      </c>
      <c r="B17" s="33">
        <v>1177142</v>
      </c>
      <c r="E17" s="34" t="s">
        <v>83</v>
      </c>
    </row>
    <row r="18" spans="1:5" ht="15" customHeight="1" x14ac:dyDescent="0.25">
      <c r="A18" s="31" t="s">
        <v>141</v>
      </c>
      <c r="B18" s="33">
        <v>895244</v>
      </c>
      <c r="E18" s="34" t="s">
        <v>23</v>
      </c>
    </row>
    <row r="19" spans="1:5" ht="15" customHeight="1" x14ac:dyDescent="0.25">
      <c r="A19" s="31" t="s">
        <v>141</v>
      </c>
      <c r="B19" s="33">
        <v>257856</v>
      </c>
      <c r="E19" s="34" t="s">
        <v>22</v>
      </c>
    </row>
    <row r="20" spans="1:5" ht="15" customHeight="1" x14ac:dyDescent="0.25">
      <c r="A20" s="31">
        <v>45536</v>
      </c>
      <c r="C20" s="33">
        <v>1200000</v>
      </c>
      <c r="D20" t="s">
        <v>158</v>
      </c>
      <c r="E20" s="34"/>
    </row>
    <row r="21" spans="1:5" ht="15" customHeight="1" x14ac:dyDescent="0.25">
      <c r="A21" s="31">
        <v>45566</v>
      </c>
      <c r="C21" s="33">
        <v>1800000</v>
      </c>
      <c r="D21" t="s">
        <v>159</v>
      </c>
      <c r="E21" s="34"/>
    </row>
    <row r="22" spans="1:5" ht="15.75" customHeight="1" x14ac:dyDescent="0.25">
      <c r="A22" s="31" t="s">
        <v>155</v>
      </c>
      <c r="B22" s="33">
        <v>1157562</v>
      </c>
      <c r="E22" s="86" t="s">
        <v>23</v>
      </c>
    </row>
    <row r="23" spans="1:5" ht="15.75" customHeight="1" x14ac:dyDescent="0.25">
      <c r="A23" s="31" t="s">
        <v>155</v>
      </c>
      <c r="B23" s="33">
        <v>460974</v>
      </c>
      <c r="E23" s="86" t="s">
        <v>22</v>
      </c>
    </row>
    <row r="24" spans="1:5" ht="15.75" customHeight="1" x14ac:dyDescent="0.25">
      <c r="A24" s="31" t="s">
        <v>157</v>
      </c>
      <c r="B24" s="33">
        <v>3768000</v>
      </c>
      <c r="E24" s="86" t="s">
        <v>156</v>
      </c>
    </row>
    <row r="25" spans="1:5" ht="15.75" customHeight="1" x14ac:dyDescent="0.25">
      <c r="A25" s="31">
        <v>45332</v>
      </c>
      <c r="C25" s="33">
        <v>4000000</v>
      </c>
      <c r="D25" t="s">
        <v>66</v>
      </c>
    </row>
    <row r="26" spans="1:5" ht="15.75" customHeight="1" x14ac:dyDescent="0.25">
      <c r="A26" s="31">
        <v>45698</v>
      </c>
      <c r="C26" s="33">
        <v>415000</v>
      </c>
      <c r="D26" t="s">
        <v>66</v>
      </c>
    </row>
    <row r="27" spans="1:5" ht="15.75" customHeight="1" x14ac:dyDescent="0.25">
      <c r="A27" s="31">
        <v>45701</v>
      </c>
      <c r="C27" s="33">
        <v>1500000</v>
      </c>
      <c r="D27" t="s">
        <v>162</v>
      </c>
    </row>
    <row r="28" spans="1:5" ht="15.75" customHeight="1" x14ac:dyDescent="0.25">
      <c r="A28" s="31"/>
      <c r="C28" s="33">
        <v>1500000</v>
      </c>
      <c r="D28" t="s">
        <v>177</v>
      </c>
    </row>
    <row r="29" spans="1:5" ht="15.75" customHeight="1" x14ac:dyDescent="0.25">
      <c r="A29" s="31"/>
      <c r="C29" s="33">
        <v>0</v>
      </c>
      <c r="D29" t="s">
        <v>178</v>
      </c>
    </row>
    <row r="30" spans="1:5" ht="15.75" customHeight="1" x14ac:dyDescent="0.25">
      <c r="A30" s="31"/>
      <c r="C30" s="33">
        <v>0</v>
      </c>
      <c r="D30" t="s">
        <v>179</v>
      </c>
    </row>
    <row r="31" spans="1:5" ht="15.75" customHeight="1" x14ac:dyDescent="0.25">
      <c r="C31" s="33">
        <v>900000</v>
      </c>
      <c r="D31" t="s">
        <v>84</v>
      </c>
    </row>
    <row r="32" spans="1:5" ht="15.75" customHeight="1" x14ac:dyDescent="0.25">
      <c r="C32" s="33">
        <v>600000</v>
      </c>
      <c r="D32" t="s">
        <v>86</v>
      </c>
    </row>
    <row r="33" spans="1:5" ht="15.75" customHeight="1" x14ac:dyDescent="0.25">
      <c r="A33" t="s">
        <v>180</v>
      </c>
      <c r="B33" s="33">
        <v>582445</v>
      </c>
      <c r="E33" t="s">
        <v>22</v>
      </c>
    </row>
    <row r="34" spans="1:5" ht="15.75" customHeight="1" x14ac:dyDescent="0.25">
      <c r="A34" t="s">
        <v>180</v>
      </c>
      <c r="B34" s="33">
        <v>228244</v>
      </c>
      <c r="E34" t="s">
        <v>83</v>
      </c>
    </row>
    <row r="35" spans="1:5" ht="15.75" customHeight="1" x14ac:dyDescent="0.25">
      <c r="A35" t="s">
        <v>180</v>
      </c>
      <c r="B35" s="33">
        <v>1616796</v>
      </c>
      <c r="E35" t="s">
        <v>23</v>
      </c>
    </row>
    <row r="36" spans="1:5" ht="15.75" customHeight="1" x14ac:dyDescent="0.25">
      <c r="A36" s="85" t="s">
        <v>180</v>
      </c>
      <c r="B36" s="33">
        <v>4823009</v>
      </c>
      <c r="E36" t="s">
        <v>156</v>
      </c>
    </row>
    <row r="37" spans="1:5" ht="15.75" customHeight="1" x14ac:dyDescent="0.25">
      <c r="A37" s="85" t="s">
        <v>202</v>
      </c>
      <c r="B37" s="33">
        <v>112193</v>
      </c>
      <c r="E37" t="s">
        <v>83</v>
      </c>
    </row>
    <row r="38" spans="1:5" ht="15.75" customHeight="1" x14ac:dyDescent="0.25">
      <c r="C38" s="33">
        <v>1200000</v>
      </c>
      <c r="D38" t="s">
        <v>124</v>
      </c>
    </row>
    <row r="39" spans="1:5" ht="15.75" customHeight="1" x14ac:dyDescent="0.25">
      <c r="C39" s="33">
        <v>1200000</v>
      </c>
      <c r="D39" s="124" t="s">
        <v>158</v>
      </c>
    </row>
    <row r="40" spans="1:5" ht="15.75" customHeight="1" x14ac:dyDescent="0.25">
      <c r="A40" s="143" t="s">
        <v>217</v>
      </c>
      <c r="B40" s="33">
        <v>992852</v>
      </c>
      <c r="E40" s="143" t="s">
        <v>23</v>
      </c>
    </row>
    <row r="41" spans="1:5" ht="15.75" customHeight="1" x14ac:dyDescent="0.25">
      <c r="A41" s="143" t="s">
        <v>217</v>
      </c>
      <c r="B41" s="33">
        <v>8951157</v>
      </c>
      <c r="E41" s="143" t="s">
        <v>156</v>
      </c>
    </row>
    <row r="42" spans="1:5" ht="15.75" customHeight="1" x14ac:dyDescent="0.25">
      <c r="A42" s="143" t="s">
        <v>218</v>
      </c>
      <c r="B42" s="33">
        <v>1346481</v>
      </c>
      <c r="E42" s="143" t="s">
        <v>83</v>
      </c>
    </row>
    <row r="43" spans="1:5" ht="15.75" customHeight="1" x14ac:dyDescent="0.25">
      <c r="A43" s="87">
        <v>46029</v>
      </c>
      <c r="C43" s="33">
        <v>11570000</v>
      </c>
    </row>
    <row r="44" spans="1:5" ht="15.75" customHeight="1" x14ac:dyDescent="0.25">
      <c r="A44" s="87"/>
    </row>
    <row r="45" spans="1:5" ht="15.75" customHeight="1" x14ac:dyDescent="0.25">
      <c r="A45" s="151" t="s">
        <v>233</v>
      </c>
      <c r="B45" s="33">
        <v>2351128</v>
      </c>
      <c r="E45" s="151" t="s">
        <v>83</v>
      </c>
    </row>
    <row r="46" spans="1:5" ht="15.75" customHeight="1" x14ac:dyDescent="0.25">
      <c r="A46" s="151" t="s">
        <v>233</v>
      </c>
      <c r="B46" s="33">
        <v>10144694</v>
      </c>
      <c r="E46" s="151" t="s">
        <v>156</v>
      </c>
    </row>
    <row r="47" spans="1:5" ht="15.75" customHeight="1" x14ac:dyDescent="0.25">
      <c r="A47" s="151" t="s">
        <v>233</v>
      </c>
      <c r="B47" s="33">
        <v>3538240</v>
      </c>
      <c r="E47" s="151" t="s">
        <v>23</v>
      </c>
    </row>
    <row r="48" spans="1:5" ht="15.75" customHeight="1" x14ac:dyDescent="0.25">
      <c r="B48" s="33">
        <v>18000000</v>
      </c>
      <c r="E48" s="151" t="s">
        <v>225</v>
      </c>
    </row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phoneticPr fontId="36" type="noConversion"/>
  <conditionalFormatting sqref="G2">
    <cfRule type="cellIs" dxfId="71" priority="1" operator="lessThan">
      <formula>0</formula>
    </cfRule>
    <cfRule type="cellIs" dxfId="70" priority="2" operator="greaterThan">
      <formula>0</formula>
    </cfRule>
  </conditionalFormatting>
  <hyperlinks>
    <hyperlink ref="D1" location="CLIENTES!A1" display="volver" xr:uid="{00000000-0004-0000-1B00-000000000000}"/>
  </hyperlinks>
  <pageMargins left="0.7" right="0.7" top="0.75" bottom="0.75" header="0" footer="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7" ht="18.75" x14ac:dyDescent="0.3">
      <c r="A1" s="12" t="s">
        <v>23</v>
      </c>
      <c r="D1" s="2" t="s">
        <v>52</v>
      </c>
    </row>
    <row r="2" spans="1:7" x14ac:dyDescent="0.25">
      <c r="A2" s="1" t="s">
        <v>53</v>
      </c>
      <c r="B2" s="3" t="s">
        <v>54</v>
      </c>
      <c r="C2" s="3" t="s">
        <v>55</v>
      </c>
      <c r="D2" s="1" t="s">
        <v>56</v>
      </c>
      <c r="E2" s="1" t="s">
        <v>57</v>
      </c>
      <c r="F2" s="22" t="s">
        <v>58</v>
      </c>
      <c r="G2" s="23">
        <f>SUM(C3:C1048576) - SUM(B3:B1048576)</f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G2">
    <cfRule type="cellIs" dxfId="69" priority="1" operator="lessThan">
      <formula>0</formula>
    </cfRule>
    <cfRule type="cellIs" dxfId="68" priority="2" operator="greaterThan">
      <formula>0</formula>
    </cfRule>
  </conditionalFormatting>
  <hyperlinks>
    <hyperlink ref="D1" location="Hoja1!A1" display="volver" xr:uid="{00000000-0004-0000-1C00-000000000000}"/>
  </hyperlinks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1001"/>
  <sheetViews>
    <sheetView workbookViewId="0">
      <selection activeCell="D1" sqref="D1"/>
    </sheetView>
  </sheetViews>
  <sheetFormatPr baseColWidth="10" defaultColWidth="14.42578125" defaultRowHeight="15" customHeight="1" x14ac:dyDescent="0.25"/>
  <cols>
    <col min="1" max="1" width="15.5703125" customWidth="1"/>
    <col min="2" max="2" width="19.85546875" style="33" customWidth="1"/>
    <col min="3" max="3" width="15.5703125" style="33" customWidth="1"/>
    <col min="4" max="4" width="16.42578125" customWidth="1"/>
    <col min="5" max="7" width="15.5703125" customWidth="1"/>
    <col min="8" max="26" width="10.7109375" customWidth="1"/>
  </cols>
  <sheetData>
    <row r="1" spans="1:7" ht="18.75" x14ac:dyDescent="0.3">
      <c r="A1" s="153" t="s">
        <v>24</v>
      </c>
      <c r="B1" s="153"/>
      <c r="C1"/>
      <c r="D1" s="101" t="s">
        <v>52</v>
      </c>
    </row>
    <row r="2" spans="1:7" s="37" customFormat="1" ht="24" customHeight="1" x14ac:dyDescent="0.25">
      <c r="A2" s="37" t="s">
        <v>53</v>
      </c>
      <c r="B2" s="38" t="s">
        <v>54</v>
      </c>
      <c r="C2" s="38" t="s">
        <v>55</v>
      </c>
      <c r="D2" s="37" t="s">
        <v>56</v>
      </c>
      <c r="E2" s="37" t="s">
        <v>57</v>
      </c>
      <c r="F2" s="39" t="s">
        <v>58</v>
      </c>
      <c r="G2" s="40">
        <f>SUM(C3:C1048576) - SUM(B3:B1048576)</f>
        <v>0</v>
      </c>
    </row>
    <row r="4" spans="1:7" ht="15" customHeight="1" x14ac:dyDescent="0.25">
      <c r="A4" s="31">
        <v>45473</v>
      </c>
      <c r="B4" s="33">
        <v>1093120</v>
      </c>
    </row>
    <row r="5" spans="1:7" ht="15" customHeight="1" x14ac:dyDescent="0.25">
      <c r="A5" s="31">
        <v>45504</v>
      </c>
      <c r="B5" s="33">
        <v>1677690</v>
      </c>
    </row>
    <row r="6" spans="1:7" ht="15" customHeight="1" x14ac:dyDescent="0.25">
      <c r="A6" s="31">
        <v>45533</v>
      </c>
      <c r="C6" s="33">
        <v>2770810</v>
      </c>
    </row>
    <row r="7" spans="1:7" ht="15" customHeight="1" x14ac:dyDescent="0.25">
      <c r="A7" s="31">
        <v>45535</v>
      </c>
      <c r="B7" s="33">
        <v>1632720</v>
      </c>
    </row>
    <row r="8" spans="1:7" ht="15" customHeight="1" x14ac:dyDescent="0.25">
      <c r="A8" s="31">
        <v>45565</v>
      </c>
      <c r="B8" s="33">
        <v>1823658</v>
      </c>
    </row>
    <row r="9" spans="1:7" ht="15" customHeight="1" x14ac:dyDescent="0.25">
      <c r="A9" s="31">
        <v>45596</v>
      </c>
      <c r="B9" s="33">
        <v>2681519</v>
      </c>
    </row>
    <row r="10" spans="1:7" ht="15" customHeight="1" x14ac:dyDescent="0.25">
      <c r="A10" s="31">
        <v>45607</v>
      </c>
      <c r="C10" s="33">
        <v>6137897</v>
      </c>
    </row>
    <row r="11" spans="1:7" ht="15" customHeight="1" x14ac:dyDescent="0.25">
      <c r="A11" s="31">
        <v>45626</v>
      </c>
      <c r="B11" s="33">
        <v>5630224</v>
      </c>
    </row>
    <row r="12" spans="1:7" ht="15" customHeight="1" x14ac:dyDescent="0.25">
      <c r="A12" s="31">
        <v>45649</v>
      </c>
      <c r="C12" s="33">
        <v>2500000</v>
      </c>
      <c r="D12" t="s">
        <v>149</v>
      </c>
    </row>
    <row r="13" spans="1:7" ht="15" customHeight="1" x14ac:dyDescent="0.25">
      <c r="A13" s="31">
        <v>45657</v>
      </c>
      <c r="B13" s="33">
        <v>6548333</v>
      </c>
    </row>
    <row r="14" spans="1:7" ht="15" customHeight="1" x14ac:dyDescent="0.25">
      <c r="A14" s="31">
        <v>45664</v>
      </c>
      <c r="C14" s="33">
        <v>9678557</v>
      </c>
    </row>
    <row r="15" spans="1:7" ht="15" customHeight="1" x14ac:dyDescent="0.25">
      <c r="A15" s="31">
        <v>45688</v>
      </c>
      <c r="B15" s="33">
        <v>4564202</v>
      </c>
    </row>
    <row r="16" spans="1:7" ht="15" customHeight="1" x14ac:dyDescent="0.25">
      <c r="A16" s="31">
        <v>45716</v>
      </c>
      <c r="B16" s="33">
        <v>4943754</v>
      </c>
    </row>
    <row r="17" spans="1:4" ht="15" customHeight="1" x14ac:dyDescent="0.25">
      <c r="A17" s="31">
        <v>45738</v>
      </c>
      <c r="C17" s="33">
        <v>9507956</v>
      </c>
    </row>
    <row r="18" spans="1:4" ht="15" customHeight="1" x14ac:dyDescent="0.25">
      <c r="A18" s="31">
        <v>45747</v>
      </c>
      <c r="B18" s="33">
        <v>2664145</v>
      </c>
    </row>
    <row r="19" spans="1:4" ht="15" customHeight="1" x14ac:dyDescent="0.25">
      <c r="A19" s="31">
        <v>45770</v>
      </c>
      <c r="C19" s="33">
        <v>2664145</v>
      </c>
      <c r="D19" t="s">
        <v>67</v>
      </c>
    </row>
    <row r="20" spans="1:4" ht="15" customHeight="1" x14ac:dyDescent="0.25">
      <c r="A20" s="31">
        <v>45777</v>
      </c>
      <c r="B20" s="33">
        <v>2938412</v>
      </c>
    </row>
    <row r="21" spans="1:4" ht="15" customHeight="1" x14ac:dyDescent="0.25">
      <c r="A21" s="31">
        <v>45807</v>
      </c>
      <c r="B21" s="33">
        <v>1810524</v>
      </c>
    </row>
    <row r="22" spans="1:4" ht="15.75" customHeight="1" x14ac:dyDescent="0.25">
      <c r="A22" s="31">
        <v>45818</v>
      </c>
      <c r="C22" s="33">
        <v>4748937</v>
      </c>
    </row>
    <row r="23" spans="1:4" ht="15.75" customHeight="1" x14ac:dyDescent="0.25">
      <c r="A23" s="31">
        <v>45838</v>
      </c>
      <c r="B23" s="33">
        <v>1435000</v>
      </c>
    </row>
    <row r="24" spans="1:4" ht="15.75" customHeight="1" x14ac:dyDescent="0.25">
      <c r="A24" s="31">
        <v>45855</v>
      </c>
      <c r="C24" s="33">
        <v>1434999</v>
      </c>
    </row>
    <row r="25" spans="1:4" ht="15.75" customHeight="1" x14ac:dyDescent="0.25">
      <c r="A25" s="31">
        <v>45869</v>
      </c>
      <c r="B25" s="33">
        <v>2593187</v>
      </c>
    </row>
    <row r="26" spans="1:4" ht="15.75" customHeight="1" x14ac:dyDescent="0.25">
      <c r="A26" s="31">
        <v>45880</v>
      </c>
      <c r="C26" s="33">
        <v>3000000</v>
      </c>
      <c r="D26" t="s">
        <v>165</v>
      </c>
    </row>
    <row r="27" spans="1:4" ht="15.75" customHeight="1" x14ac:dyDescent="0.25">
      <c r="A27" s="31">
        <v>45900</v>
      </c>
      <c r="B27" s="33">
        <v>2917664</v>
      </c>
    </row>
    <row r="28" spans="1:4" ht="15.75" customHeight="1" x14ac:dyDescent="0.25">
      <c r="A28" s="31">
        <v>45929</v>
      </c>
      <c r="C28" s="33">
        <v>2510851</v>
      </c>
      <c r="D28" t="s">
        <v>67</v>
      </c>
    </row>
    <row r="29" spans="1:4" ht="15.75" customHeight="1" x14ac:dyDescent="0.25">
      <c r="A29" s="31">
        <v>45930</v>
      </c>
      <c r="B29" s="33">
        <v>4223908</v>
      </c>
    </row>
    <row r="30" spans="1:4" ht="15.75" customHeight="1" x14ac:dyDescent="0.25">
      <c r="A30" s="31">
        <v>45945</v>
      </c>
      <c r="C30" s="33">
        <v>4223908</v>
      </c>
      <c r="D30" t="s">
        <v>67</v>
      </c>
    </row>
    <row r="31" spans="1:4" ht="15.75" customHeight="1" x14ac:dyDescent="0.25">
      <c r="A31" s="31">
        <v>45961</v>
      </c>
      <c r="B31" s="33">
        <v>4419926</v>
      </c>
    </row>
    <row r="32" spans="1:4" ht="15.75" customHeight="1" x14ac:dyDescent="0.25">
      <c r="A32" s="31">
        <v>45972</v>
      </c>
      <c r="C32" s="33">
        <v>4419926</v>
      </c>
      <c r="D32" t="s">
        <v>165</v>
      </c>
    </row>
    <row r="33" spans="1:4" ht="15.75" customHeight="1" x14ac:dyDescent="0.25">
      <c r="A33" s="31">
        <v>45991</v>
      </c>
      <c r="B33" s="33">
        <v>8955400</v>
      </c>
    </row>
    <row r="34" spans="1:4" ht="15.75" customHeight="1" x14ac:dyDescent="0.25">
      <c r="A34" s="31">
        <v>46002</v>
      </c>
      <c r="C34" s="33">
        <v>8955400</v>
      </c>
      <c r="D34" t="s">
        <v>165</v>
      </c>
    </row>
    <row r="35" spans="1:4" ht="15.75" customHeight="1" x14ac:dyDescent="0.25">
      <c r="A35" s="31">
        <v>46022</v>
      </c>
      <c r="B35" s="33">
        <v>9039827</v>
      </c>
    </row>
    <row r="36" spans="1:4" ht="15.75" customHeight="1" x14ac:dyDescent="0.25">
      <c r="A36" s="31">
        <v>46036</v>
      </c>
      <c r="C36" s="33">
        <v>9039827</v>
      </c>
      <c r="D36" t="s">
        <v>67</v>
      </c>
    </row>
    <row r="37" spans="1:4" ht="15.75" customHeight="1" x14ac:dyDescent="0.25">
      <c r="A37" s="31">
        <v>46053</v>
      </c>
      <c r="B37" s="33">
        <v>7770251</v>
      </c>
    </row>
    <row r="38" spans="1:4" ht="15.75" customHeight="1" x14ac:dyDescent="0.25">
      <c r="A38" s="31">
        <v>46070</v>
      </c>
      <c r="C38" s="33">
        <v>7770251</v>
      </c>
      <c r="D38" t="s">
        <v>67</v>
      </c>
    </row>
    <row r="39" spans="1:4" ht="15.75" customHeight="1" x14ac:dyDescent="0.25">
      <c r="A39" s="31">
        <v>46081</v>
      </c>
      <c r="B39" s="33">
        <v>5878352</v>
      </c>
    </row>
    <row r="40" spans="1:4" ht="15.75" customHeight="1" x14ac:dyDescent="0.25">
      <c r="A40" s="31">
        <v>46097</v>
      </c>
      <c r="C40" s="33">
        <v>5878352</v>
      </c>
    </row>
    <row r="41" spans="1:4" ht="15.75" customHeight="1" x14ac:dyDescent="0.25"/>
    <row r="42" spans="1:4" ht="15.75" customHeight="1" x14ac:dyDescent="0.25"/>
    <row r="43" spans="1:4" ht="15.75" customHeight="1" x14ac:dyDescent="0.25"/>
    <row r="44" spans="1:4" ht="15.75" customHeight="1" x14ac:dyDescent="0.25"/>
    <row r="45" spans="1:4" ht="15.75" customHeight="1" x14ac:dyDescent="0.25"/>
    <row r="46" spans="1:4" ht="15.75" customHeight="1" x14ac:dyDescent="0.25"/>
    <row r="47" spans="1:4" ht="15.75" customHeight="1" x14ac:dyDescent="0.25"/>
    <row r="48" spans="1: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1">
    <mergeCell ref="A1:B1"/>
  </mergeCells>
  <conditionalFormatting sqref="G2">
    <cfRule type="cellIs" dxfId="67" priority="1" operator="lessThan">
      <formula>0</formula>
    </cfRule>
    <cfRule type="cellIs" dxfId="66" priority="2" operator="greaterThan">
      <formula>0</formula>
    </cfRule>
  </conditionalFormatting>
  <hyperlinks>
    <hyperlink ref="D1" location="CLIENTES!A1" display="volver" xr:uid="{00000000-0004-0000-1D00-000000000000}"/>
  </hyperlinks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1012"/>
  <sheetViews>
    <sheetView tabSelected="1" workbookViewId="0">
      <selection activeCell="C100" sqref="C100"/>
    </sheetView>
  </sheetViews>
  <sheetFormatPr baseColWidth="10" defaultColWidth="14.42578125" defaultRowHeight="15" customHeight="1" x14ac:dyDescent="0.25"/>
  <cols>
    <col min="1" max="1" width="15.7109375" customWidth="1"/>
    <col min="2" max="2" width="19.7109375" style="33" customWidth="1"/>
    <col min="3" max="3" width="14.42578125" style="33" customWidth="1"/>
    <col min="4" max="4" width="16.5703125" customWidth="1"/>
    <col min="5" max="6" width="14.42578125" customWidth="1"/>
    <col min="7" max="7" width="17" customWidth="1"/>
    <col min="8" max="26" width="10.7109375" customWidth="1"/>
  </cols>
  <sheetData>
    <row r="1" spans="1:7" ht="19.5" thickBot="1" x14ac:dyDescent="0.35">
      <c r="A1" s="48" t="s">
        <v>25</v>
      </c>
      <c r="B1"/>
      <c r="C1"/>
      <c r="D1" s="101" t="s">
        <v>52</v>
      </c>
    </row>
    <row r="2" spans="1:7" s="37" customFormat="1" ht="18" customHeight="1" thickBot="1" x14ac:dyDescent="0.3">
      <c r="A2" s="37" t="s">
        <v>53</v>
      </c>
      <c r="B2" s="38" t="s">
        <v>54</v>
      </c>
      <c r="C2" s="38" t="s">
        <v>55</v>
      </c>
      <c r="D2" s="37" t="s">
        <v>56</v>
      </c>
      <c r="E2" s="37" t="s">
        <v>57</v>
      </c>
      <c r="F2" s="84" t="s">
        <v>58</v>
      </c>
      <c r="G2" s="83">
        <f>SUM(C3:C1048576) - SUM(B3:B1048576)</f>
        <v>-2950168</v>
      </c>
    </row>
    <row r="4" spans="1:7" ht="15" customHeight="1" x14ac:dyDescent="0.25">
      <c r="A4" s="31">
        <v>45473</v>
      </c>
      <c r="B4" s="33">
        <v>1679058</v>
      </c>
    </row>
    <row r="5" spans="1:7" ht="15" customHeight="1" x14ac:dyDescent="0.25">
      <c r="A5" s="31">
        <v>45492</v>
      </c>
      <c r="C5" s="33">
        <v>1400000</v>
      </c>
    </row>
    <row r="6" spans="1:7" ht="15" customHeight="1" x14ac:dyDescent="0.25">
      <c r="A6" s="31">
        <v>45504</v>
      </c>
      <c r="B6" s="33">
        <v>2746806</v>
      </c>
    </row>
    <row r="7" spans="1:7" ht="15" customHeight="1" x14ac:dyDescent="0.25">
      <c r="A7" s="31">
        <v>45513</v>
      </c>
      <c r="C7" s="33">
        <v>600000</v>
      </c>
    </row>
    <row r="8" spans="1:7" ht="15" customHeight="1" x14ac:dyDescent="0.25">
      <c r="A8" s="31">
        <v>45520</v>
      </c>
      <c r="C8" s="33">
        <v>800000</v>
      </c>
    </row>
    <row r="9" spans="1:7" ht="15" customHeight="1" x14ac:dyDescent="0.25">
      <c r="A9" s="31">
        <v>45527</v>
      </c>
      <c r="C9" s="33">
        <v>800000</v>
      </c>
    </row>
    <row r="10" spans="1:7" ht="15" customHeight="1" x14ac:dyDescent="0.25">
      <c r="A10" s="31">
        <v>45533</v>
      </c>
      <c r="C10" s="33">
        <v>825864</v>
      </c>
    </row>
    <row r="11" spans="1:7" ht="15" customHeight="1" x14ac:dyDescent="0.25">
      <c r="A11" s="31">
        <v>45535</v>
      </c>
      <c r="B11" s="33">
        <v>1398817</v>
      </c>
    </row>
    <row r="12" spans="1:7" ht="15" customHeight="1" x14ac:dyDescent="0.25">
      <c r="A12" s="31">
        <v>45541</v>
      </c>
      <c r="C12" s="33">
        <v>500000</v>
      </c>
    </row>
    <row r="13" spans="1:7" ht="15" customHeight="1" x14ac:dyDescent="0.25">
      <c r="A13" s="31">
        <v>45548</v>
      </c>
      <c r="C13" s="33">
        <v>500000</v>
      </c>
    </row>
    <row r="14" spans="1:7" ht="15" customHeight="1" x14ac:dyDescent="0.25">
      <c r="A14" s="31">
        <v>45555</v>
      </c>
      <c r="C14" s="33">
        <v>300000</v>
      </c>
    </row>
    <row r="15" spans="1:7" ht="15" customHeight="1" x14ac:dyDescent="0.25">
      <c r="A15" s="31">
        <v>45562</v>
      </c>
      <c r="C15" s="33">
        <v>98817</v>
      </c>
    </row>
    <row r="16" spans="1:7" ht="15" customHeight="1" x14ac:dyDescent="0.25">
      <c r="A16" s="31">
        <v>45565</v>
      </c>
      <c r="B16" s="33">
        <v>1806473</v>
      </c>
    </row>
    <row r="17" spans="1:3" ht="15" customHeight="1" x14ac:dyDescent="0.25">
      <c r="A17" s="31">
        <v>45574</v>
      </c>
      <c r="C17" s="33">
        <v>500000</v>
      </c>
    </row>
    <row r="18" spans="1:3" ht="15" customHeight="1" x14ac:dyDescent="0.25">
      <c r="A18" s="31">
        <v>45582</v>
      </c>
      <c r="C18" s="33">
        <v>500000</v>
      </c>
    </row>
    <row r="19" spans="1:3" ht="15" customHeight="1" x14ac:dyDescent="0.25">
      <c r="A19" s="31">
        <v>45583</v>
      </c>
      <c r="C19" s="33">
        <v>353040</v>
      </c>
    </row>
    <row r="20" spans="1:3" ht="15" customHeight="1" x14ac:dyDescent="0.25">
      <c r="A20" s="31">
        <v>45583</v>
      </c>
      <c r="C20" s="33">
        <v>87120</v>
      </c>
    </row>
    <row r="21" spans="1:3" ht="15" customHeight="1" x14ac:dyDescent="0.25">
      <c r="A21" s="31">
        <v>45596</v>
      </c>
      <c r="B21" s="33">
        <v>2751363</v>
      </c>
    </row>
    <row r="22" spans="1:3" ht="15" customHeight="1" x14ac:dyDescent="0.25">
      <c r="A22" s="31">
        <v>45608</v>
      </c>
      <c r="C22" s="33">
        <v>366314</v>
      </c>
    </row>
    <row r="23" spans="1:3" ht="15" customHeight="1" x14ac:dyDescent="0.25">
      <c r="A23" s="31">
        <v>45618</v>
      </c>
      <c r="C23" s="33">
        <v>500000</v>
      </c>
    </row>
    <row r="24" spans="1:3" ht="15" customHeight="1" x14ac:dyDescent="0.25">
      <c r="A24" s="31">
        <v>45625</v>
      </c>
      <c r="C24" s="33">
        <v>1500000</v>
      </c>
    </row>
    <row r="25" spans="1:3" ht="15" customHeight="1" x14ac:dyDescent="0.25">
      <c r="A25" s="31">
        <v>45626</v>
      </c>
      <c r="B25" s="33">
        <v>2715547</v>
      </c>
    </row>
    <row r="26" spans="1:3" ht="15" customHeight="1" x14ac:dyDescent="0.25">
      <c r="A26" s="31">
        <v>45638</v>
      </c>
      <c r="C26" s="33">
        <v>400000</v>
      </c>
    </row>
    <row r="27" spans="1:3" ht="15" customHeight="1" x14ac:dyDescent="0.25">
      <c r="A27" s="31">
        <v>45632</v>
      </c>
      <c r="C27" s="33">
        <v>400000</v>
      </c>
    </row>
    <row r="28" spans="1:3" ht="15.75" customHeight="1" x14ac:dyDescent="0.25">
      <c r="A28" s="31">
        <v>45643</v>
      </c>
      <c r="C28" s="33">
        <v>500000</v>
      </c>
    </row>
    <row r="29" spans="1:3" ht="15.75" customHeight="1" x14ac:dyDescent="0.25">
      <c r="A29" s="31">
        <v>45652</v>
      </c>
      <c r="C29" s="33">
        <v>1000000</v>
      </c>
    </row>
    <row r="30" spans="1:3" ht="15.75" customHeight="1" x14ac:dyDescent="0.25">
      <c r="A30" s="31">
        <v>45657</v>
      </c>
      <c r="B30" s="33">
        <v>2295858</v>
      </c>
    </row>
    <row r="31" spans="1:3" ht="15.75" customHeight="1" x14ac:dyDescent="0.25">
      <c r="A31" s="31"/>
      <c r="C31" s="33">
        <v>1000000</v>
      </c>
    </row>
    <row r="32" spans="1:3" ht="15.75" customHeight="1" x14ac:dyDescent="0.25">
      <c r="A32" s="31">
        <v>45667</v>
      </c>
      <c r="C32" s="33">
        <v>1000000</v>
      </c>
    </row>
    <row r="33" spans="1:3" ht="15.75" customHeight="1" x14ac:dyDescent="0.25">
      <c r="A33" s="31">
        <v>45674</v>
      </c>
      <c r="C33" s="33">
        <v>500000</v>
      </c>
    </row>
    <row r="34" spans="1:3" ht="15.75" customHeight="1" x14ac:dyDescent="0.25">
      <c r="A34" s="31">
        <v>45685</v>
      </c>
      <c r="C34" s="33">
        <v>500000</v>
      </c>
    </row>
    <row r="35" spans="1:3" ht="15.75" customHeight="1" x14ac:dyDescent="0.25">
      <c r="A35" s="31">
        <v>45688</v>
      </c>
      <c r="B35" s="33">
        <v>3951208</v>
      </c>
    </row>
    <row r="36" spans="1:3" ht="15.75" customHeight="1" x14ac:dyDescent="0.25">
      <c r="A36" s="31">
        <v>45688</v>
      </c>
      <c r="C36" s="33">
        <v>426768</v>
      </c>
    </row>
    <row r="37" spans="1:3" ht="15.75" customHeight="1" x14ac:dyDescent="0.25">
      <c r="A37" s="31">
        <v>45700</v>
      </c>
      <c r="C37" s="33">
        <v>800000</v>
      </c>
    </row>
    <row r="38" spans="1:3" ht="15.75" customHeight="1" x14ac:dyDescent="0.25">
      <c r="A38" s="31">
        <v>45714</v>
      </c>
      <c r="C38" s="33">
        <v>1000000</v>
      </c>
    </row>
    <row r="39" spans="1:3" ht="15.75" customHeight="1" x14ac:dyDescent="0.25">
      <c r="A39" s="31">
        <v>45716</v>
      </c>
      <c r="B39" s="33">
        <v>3049683</v>
      </c>
    </row>
    <row r="40" spans="1:3" ht="15.75" customHeight="1" x14ac:dyDescent="0.25">
      <c r="A40" s="31">
        <v>45721</v>
      </c>
      <c r="C40" s="33">
        <v>1000000</v>
      </c>
    </row>
    <row r="41" spans="1:3" ht="15.75" customHeight="1" x14ac:dyDescent="0.25">
      <c r="A41" s="31">
        <v>45723</v>
      </c>
      <c r="C41" s="33">
        <v>1151208</v>
      </c>
    </row>
    <row r="42" spans="1:3" ht="15.75" customHeight="1" x14ac:dyDescent="0.25">
      <c r="A42" s="31">
        <v>45742</v>
      </c>
      <c r="C42" s="33">
        <v>35999</v>
      </c>
    </row>
    <row r="43" spans="1:3" ht="15.75" customHeight="1" x14ac:dyDescent="0.25">
      <c r="A43" s="31">
        <v>45743</v>
      </c>
      <c r="C43" s="33">
        <v>3049683</v>
      </c>
    </row>
    <row r="44" spans="1:3" ht="15.75" customHeight="1" x14ac:dyDescent="0.25">
      <c r="A44" s="31">
        <v>45747</v>
      </c>
      <c r="B44" s="33">
        <v>2690378</v>
      </c>
    </row>
    <row r="45" spans="1:3" ht="15.75" customHeight="1" x14ac:dyDescent="0.25">
      <c r="A45" s="31">
        <v>45754</v>
      </c>
      <c r="C45" s="33">
        <v>700000</v>
      </c>
    </row>
    <row r="46" spans="1:3" ht="15.75" customHeight="1" x14ac:dyDescent="0.25">
      <c r="A46" s="31">
        <v>45757</v>
      </c>
      <c r="C46" s="33">
        <v>700000</v>
      </c>
    </row>
    <row r="47" spans="1:3" ht="15.75" customHeight="1" x14ac:dyDescent="0.25">
      <c r="A47" s="31">
        <v>45769</v>
      </c>
      <c r="C47" s="33">
        <v>600000</v>
      </c>
    </row>
    <row r="48" spans="1:3" ht="15.75" customHeight="1" x14ac:dyDescent="0.25">
      <c r="A48" s="31">
        <v>45775</v>
      </c>
      <c r="C48" s="33">
        <v>690378</v>
      </c>
    </row>
    <row r="49" spans="1:3" ht="15.75" customHeight="1" x14ac:dyDescent="0.25">
      <c r="A49" s="31">
        <v>45777</v>
      </c>
      <c r="B49" s="33">
        <v>2842618</v>
      </c>
    </row>
    <row r="50" spans="1:3" ht="15.75" customHeight="1" x14ac:dyDescent="0.25">
      <c r="A50" s="31">
        <v>45787</v>
      </c>
      <c r="C50" s="33">
        <v>600000</v>
      </c>
    </row>
    <row r="51" spans="1:3" ht="15.75" customHeight="1" x14ac:dyDescent="0.25">
      <c r="A51" s="31">
        <v>45791</v>
      </c>
      <c r="C51" s="33">
        <v>800000</v>
      </c>
    </row>
    <row r="52" spans="1:3" ht="15.75" customHeight="1" x14ac:dyDescent="0.25">
      <c r="A52" s="31">
        <v>45799</v>
      </c>
      <c r="C52" s="33">
        <v>800000</v>
      </c>
    </row>
    <row r="53" spans="1:3" ht="15.75" customHeight="1" x14ac:dyDescent="0.25">
      <c r="A53" s="31">
        <v>45807</v>
      </c>
      <c r="B53" s="33">
        <v>2307437</v>
      </c>
    </row>
    <row r="54" spans="1:3" ht="15.75" customHeight="1" x14ac:dyDescent="0.25">
      <c r="A54" s="31">
        <v>45807</v>
      </c>
      <c r="C54" s="33">
        <v>642618</v>
      </c>
    </row>
    <row r="55" spans="1:3" ht="15.75" customHeight="1" x14ac:dyDescent="0.25">
      <c r="A55" s="31">
        <v>45819</v>
      </c>
      <c r="C55" s="33">
        <v>800000</v>
      </c>
    </row>
    <row r="56" spans="1:3" ht="15.75" customHeight="1" x14ac:dyDescent="0.25">
      <c r="A56" s="31">
        <v>45827</v>
      </c>
      <c r="C56" s="33">
        <v>600000</v>
      </c>
    </row>
    <row r="57" spans="1:3" ht="15.75" customHeight="1" x14ac:dyDescent="0.25">
      <c r="A57" s="31">
        <v>45834</v>
      </c>
      <c r="C57" s="33">
        <v>907437</v>
      </c>
    </row>
    <row r="58" spans="1:3" ht="15.75" customHeight="1" x14ac:dyDescent="0.25">
      <c r="A58" s="31">
        <v>45838</v>
      </c>
      <c r="B58" s="33">
        <v>1751106</v>
      </c>
    </row>
    <row r="59" spans="1:3" ht="15.75" customHeight="1" x14ac:dyDescent="0.25">
      <c r="A59" s="31">
        <v>45841</v>
      </c>
      <c r="C59" s="33">
        <v>500000</v>
      </c>
    </row>
    <row r="60" spans="1:3" ht="15.75" customHeight="1" x14ac:dyDescent="0.25">
      <c r="A60" s="31">
        <v>45853</v>
      </c>
      <c r="C60" s="33">
        <v>600000</v>
      </c>
    </row>
    <row r="61" spans="1:3" ht="15.75" customHeight="1" x14ac:dyDescent="0.25">
      <c r="A61" s="31">
        <v>45865</v>
      </c>
      <c r="C61" s="33">
        <v>651106</v>
      </c>
    </row>
    <row r="62" spans="1:3" ht="15.75" customHeight="1" x14ac:dyDescent="0.25">
      <c r="A62" s="31">
        <v>45869</v>
      </c>
      <c r="B62" s="33">
        <v>2297047</v>
      </c>
    </row>
    <row r="63" spans="1:3" ht="15.75" customHeight="1" x14ac:dyDescent="0.25">
      <c r="A63" s="31">
        <v>45877</v>
      </c>
      <c r="C63" s="33">
        <v>600000</v>
      </c>
    </row>
    <row r="64" spans="1:3" ht="15.75" customHeight="1" x14ac:dyDescent="0.25">
      <c r="A64" s="31">
        <v>45883</v>
      </c>
      <c r="C64" s="33">
        <v>500000</v>
      </c>
    </row>
    <row r="65" spans="1:3" ht="15.75" customHeight="1" x14ac:dyDescent="0.25">
      <c r="A65" s="31">
        <v>47357</v>
      </c>
      <c r="C65" s="33">
        <v>500000</v>
      </c>
    </row>
    <row r="66" spans="1:3" ht="15.75" customHeight="1" x14ac:dyDescent="0.25">
      <c r="A66" s="31">
        <v>45900</v>
      </c>
      <c r="B66" s="33">
        <v>2529118</v>
      </c>
    </row>
    <row r="67" spans="1:3" ht="15.75" customHeight="1" x14ac:dyDescent="0.25">
      <c r="A67" s="31">
        <v>45908</v>
      </c>
      <c r="C67" s="33">
        <v>697047</v>
      </c>
    </row>
    <row r="68" spans="1:3" ht="15.75" customHeight="1" x14ac:dyDescent="0.25">
      <c r="A68" s="31">
        <v>45910</v>
      </c>
      <c r="C68" s="33">
        <v>600000</v>
      </c>
    </row>
    <row r="69" spans="1:3" ht="15.75" customHeight="1" x14ac:dyDescent="0.25">
      <c r="A69" s="31">
        <v>45919</v>
      </c>
      <c r="C69" s="33">
        <v>500000</v>
      </c>
    </row>
    <row r="70" spans="1:3" ht="15.75" customHeight="1" x14ac:dyDescent="0.25">
      <c r="A70" s="31">
        <v>45926</v>
      </c>
      <c r="C70" s="33">
        <v>500000</v>
      </c>
    </row>
    <row r="71" spans="1:3" ht="15.75" customHeight="1" x14ac:dyDescent="0.25">
      <c r="A71" s="31">
        <v>45930</v>
      </c>
      <c r="C71" s="33">
        <v>500000</v>
      </c>
    </row>
    <row r="72" spans="1:3" ht="15.75" customHeight="1" x14ac:dyDescent="0.25">
      <c r="A72" s="31">
        <v>45930</v>
      </c>
      <c r="B72" s="33">
        <v>3449919</v>
      </c>
    </row>
    <row r="73" spans="1:3" ht="15.75" customHeight="1" x14ac:dyDescent="0.25">
      <c r="A73" s="31">
        <v>45941</v>
      </c>
      <c r="C73" s="33">
        <v>429118</v>
      </c>
    </row>
    <row r="74" spans="1:3" ht="15.75" customHeight="1" x14ac:dyDescent="0.25">
      <c r="A74" s="31">
        <v>45953</v>
      </c>
      <c r="C74" s="33">
        <v>1000000</v>
      </c>
    </row>
    <row r="75" spans="1:3" ht="15.75" customHeight="1" x14ac:dyDescent="0.25">
      <c r="A75" s="31">
        <v>45959</v>
      </c>
      <c r="C75" s="33">
        <v>2449919</v>
      </c>
    </row>
    <row r="76" spans="1:3" ht="15.75" customHeight="1" x14ac:dyDescent="0.25">
      <c r="A76" s="31">
        <v>45961</v>
      </c>
      <c r="B76" s="33">
        <v>3833142</v>
      </c>
    </row>
    <row r="77" spans="1:3" ht="15.75" customHeight="1" x14ac:dyDescent="0.25">
      <c r="A77" s="31">
        <v>45974</v>
      </c>
      <c r="C77" s="33">
        <v>800000</v>
      </c>
    </row>
    <row r="78" spans="1:3" ht="15.75" customHeight="1" x14ac:dyDescent="0.25">
      <c r="A78" s="31">
        <v>45979</v>
      </c>
      <c r="C78" s="33">
        <v>1000000</v>
      </c>
    </row>
    <row r="79" spans="1:3" ht="15.75" customHeight="1" x14ac:dyDescent="0.25">
      <c r="A79" s="31">
        <v>45988</v>
      </c>
      <c r="C79" s="33">
        <v>1000000</v>
      </c>
    </row>
    <row r="80" spans="1:3" ht="15.75" customHeight="1" x14ac:dyDescent="0.25">
      <c r="A80" s="31">
        <v>45991</v>
      </c>
      <c r="B80" s="33">
        <v>3749994</v>
      </c>
    </row>
    <row r="81" spans="1:3" ht="15.75" customHeight="1" x14ac:dyDescent="0.25">
      <c r="A81" s="31">
        <v>45994</v>
      </c>
      <c r="C81" s="33">
        <v>800000</v>
      </c>
    </row>
    <row r="82" spans="1:3" ht="15.75" customHeight="1" x14ac:dyDescent="0.25">
      <c r="A82" s="31">
        <v>46001</v>
      </c>
      <c r="C82" s="33">
        <v>1000000</v>
      </c>
    </row>
    <row r="83" spans="1:3" ht="15.75" customHeight="1" x14ac:dyDescent="0.25">
      <c r="A83" s="31">
        <v>46009</v>
      </c>
      <c r="C83" s="33">
        <v>800000</v>
      </c>
    </row>
    <row r="84" spans="1:3" ht="15.75" customHeight="1" x14ac:dyDescent="0.25">
      <c r="A84" s="31">
        <v>46014</v>
      </c>
      <c r="C84" s="33">
        <v>800000</v>
      </c>
    </row>
    <row r="85" spans="1:3" ht="15.75" customHeight="1" x14ac:dyDescent="0.25">
      <c r="A85" s="31">
        <v>46021</v>
      </c>
      <c r="C85" s="33">
        <v>700000</v>
      </c>
    </row>
    <row r="86" spans="1:3" ht="15.75" customHeight="1" x14ac:dyDescent="0.25">
      <c r="A86" s="31">
        <v>46022</v>
      </c>
      <c r="B86" s="33">
        <v>3755883</v>
      </c>
    </row>
    <row r="87" spans="1:3" ht="15.75" customHeight="1" x14ac:dyDescent="0.25">
      <c r="A87" s="31">
        <v>46030</v>
      </c>
      <c r="C87" s="33">
        <v>683136</v>
      </c>
    </row>
    <row r="88" spans="1:3" ht="15.75" customHeight="1" x14ac:dyDescent="0.25">
      <c r="A88" s="31">
        <v>46038</v>
      </c>
      <c r="C88" s="33">
        <v>1000000</v>
      </c>
    </row>
    <row r="89" spans="1:3" ht="15.75" customHeight="1" x14ac:dyDescent="0.25">
      <c r="A89" s="31">
        <v>46042</v>
      </c>
      <c r="C89" s="33">
        <v>1000000</v>
      </c>
    </row>
    <row r="90" spans="1:3" ht="15.75" customHeight="1" x14ac:dyDescent="0.25">
      <c r="A90" s="31">
        <v>46052</v>
      </c>
      <c r="C90" s="33">
        <v>1755883</v>
      </c>
    </row>
    <row r="91" spans="1:3" ht="15.75" customHeight="1" x14ac:dyDescent="0.25">
      <c r="A91" s="31">
        <v>46053</v>
      </c>
      <c r="B91" s="33">
        <v>5136599</v>
      </c>
    </row>
    <row r="92" spans="1:3" ht="15.75" customHeight="1" x14ac:dyDescent="0.25">
      <c r="A92" s="31">
        <v>46058</v>
      </c>
      <c r="C92" s="33">
        <v>1000000</v>
      </c>
    </row>
    <row r="93" spans="1:3" ht="15.75" customHeight="1" x14ac:dyDescent="0.25">
      <c r="A93" s="31">
        <v>46066</v>
      </c>
      <c r="C93" s="33">
        <v>1000000</v>
      </c>
    </row>
    <row r="94" spans="1:3" ht="15.75" customHeight="1" x14ac:dyDescent="0.25">
      <c r="A94" s="31">
        <v>46073</v>
      </c>
      <c r="C94" s="33">
        <v>800000</v>
      </c>
    </row>
    <row r="95" spans="1:3" ht="15.75" customHeight="1" x14ac:dyDescent="0.25">
      <c r="A95" s="31">
        <v>46077</v>
      </c>
      <c r="C95" s="33">
        <v>1500000</v>
      </c>
    </row>
    <row r="96" spans="1:3" ht="15.75" customHeight="1" x14ac:dyDescent="0.25">
      <c r="A96" s="31">
        <v>46081</v>
      </c>
      <c r="B96" s="33">
        <v>4950168</v>
      </c>
    </row>
    <row r="97" spans="1:3" ht="15.75" customHeight="1" x14ac:dyDescent="0.25">
      <c r="A97" s="31">
        <v>46091</v>
      </c>
      <c r="C97" s="33">
        <v>836599</v>
      </c>
    </row>
    <row r="98" spans="1:3" ht="15.75" customHeight="1" x14ac:dyDescent="0.25">
      <c r="A98" s="31">
        <v>46094</v>
      </c>
      <c r="C98" s="33">
        <v>1000000</v>
      </c>
    </row>
    <row r="99" spans="1:3" ht="15.75" customHeight="1" x14ac:dyDescent="0.25">
      <c r="A99" s="31">
        <v>46101</v>
      </c>
      <c r="C99" s="33">
        <v>1000000</v>
      </c>
    </row>
    <row r="100" spans="1:3" ht="15.75" customHeight="1" x14ac:dyDescent="0.25"/>
    <row r="101" spans="1:3" ht="15.75" customHeight="1" x14ac:dyDescent="0.25"/>
    <row r="102" spans="1:3" ht="15.75" customHeight="1" x14ac:dyDescent="0.25"/>
    <row r="103" spans="1:3" ht="15.75" customHeight="1" x14ac:dyDescent="0.25"/>
    <row r="104" spans="1:3" ht="15.75" customHeight="1" x14ac:dyDescent="0.25"/>
    <row r="105" spans="1:3" ht="15.75" customHeight="1" x14ac:dyDescent="0.25"/>
    <row r="106" spans="1:3" ht="15.75" customHeight="1" x14ac:dyDescent="0.25"/>
    <row r="107" spans="1:3" ht="15.75" customHeight="1" x14ac:dyDescent="0.25"/>
    <row r="108" spans="1:3" ht="15.75" customHeight="1" x14ac:dyDescent="0.25"/>
    <row r="109" spans="1:3" ht="15.75" customHeight="1" x14ac:dyDescent="0.25"/>
    <row r="110" spans="1:3" ht="15.75" customHeight="1" x14ac:dyDescent="0.25"/>
    <row r="111" spans="1:3" ht="15.75" customHeight="1" x14ac:dyDescent="0.25"/>
    <row r="112" spans="1: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</sheetData>
  <conditionalFormatting sqref="G2">
    <cfRule type="cellIs" dxfId="65" priority="1" operator="lessThan">
      <formula>0</formula>
    </cfRule>
    <cfRule type="cellIs" dxfId="64" priority="2" operator="greaterThan">
      <formula>0</formula>
    </cfRule>
  </conditionalFormatting>
  <hyperlinks>
    <hyperlink ref="D1" location="CLIENTES!A1" display="volver" xr:uid="{00000000-0004-0000-1E00-000000000000}"/>
  </hyperlinks>
  <pageMargins left="0.7" right="0.7" top="0.75" bottom="0.75" header="0" footer="0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1001"/>
  <sheetViews>
    <sheetView workbookViewId="0">
      <selection activeCell="D1" sqref="D1"/>
    </sheetView>
  </sheetViews>
  <sheetFormatPr baseColWidth="10" defaultColWidth="14.42578125" defaultRowHeight="15" customHeight="1" x14ac:dyDescent="0.25"/>
  <cols>
    <col min="1" max="1" width="15.28515625" customWidth="1"/>
    <col min="2" max="2" width="20.140625" style="33" customWidth="1"/>
    <col min="3" max="3" width="15.28515625" style="33" customWidth="1"/>
    <col min="4" max="4" width="17.140625" customWidth="1"/>
    <col min="5" max="7" width="15.28515625" customWidth="1"/>
    <col min="8" max="26" width="10.7109375" customWidth="1"/>
  </cols>
  <sheetData>
    <row r="1" spans="1:7" ht="18.75" x14ac:dyDescent="0.3">
      <c r="A1" s="12" t="s">
        <v>212</v>
      </c>
      <c r="B1"/>
      <c r="C1"/>
      <c r="D1" s="101" t="s">
        <v>52</v>
      </c>
    </row>
    <row r="2" spans="1:7" s="37" customFormat="1" ht="21" customHeight="1" x14ac:dyDescent="0.25">
      <c r="A2" s="37" t="s">
        <v>53</v>
      </c>
      <c r="B2" s="38" t="s">
        <v>54</v>
      </c>
      <c r="C2" s="38" t="s">
        <v>55</v>
      </c>
      <c r="D2" s="37" t="s">
        <v>56</v>
      </c>
      <c r="E2" s="37" t="s">
        <v>57</v>
      </c>
      <c r="F2" s="39" t="s">
        <v>58</v>
      </c>
      <c r="G2" s="40">
        <f>SUM(C3:C1048576) - SUM(B3:B1048576)</f>
        <v>0</v>
      </c>
    </row>
    <row r="3" spans="1:7" ht="15" customHeight="1" x14ac:dyDescent="0.25">
      <c r="A3" s="31">
        <v>45991</v>
      </c>
      <c r="B3" s="33">
        <v>217800</v>
      </c>
    </row>
    <row r="4" spans="1:7" ht="15" customHeight="1" x14ac:dyDescent="0.25">
      <c r="A4" s="31">
        <v>46022</v>
      </c>
      <c r="B4" s="33">
        <v>653400</v>
      </c>
    </row>
    <row r="5" spans="1:7" ht="15" customHeight="1" x14ac:dyDescent="0.25">
      <c r="A5" s="31">
        <v>46032</v>
      </c>
      <c r="B5" s="33">
        <v>735354.38</v>
      </c>
    </row>
    <row r="6" spans="1:7" ht="15" customHeight="1" x14ac:dyDescent="0.25">
      <c r="A6" s="56">
        <v>46046</v>
      </c>
      <c r="C6" s="33">
        <v>1606554.38</v>
      </c>
    </row>
    <row r="7" spans="1:7" ht="15" customHeight="1" x14ac:dyDescent="0.25">
      <c r="A7" s="31"/>
    </row>
    <row r="8" spans="1:7" ht="15" customHeight="1" x14ac:dyDescent="0.25">
      <c r="A8" s="31"/>
    </row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conditionalFormatting sqref="G2">
    <cfRule type="cellIs" dxfId="63" priority="1" operator="lessThan">
      <formula>0</formula>
    </cfRule>
    <cfRule type="cellIs" dxfId="62" priority="2" operator="greaterThan">
      <formula>0</formula>
    </cfRule>
  </conditionalFormatting>
  <hyperlinks>
    <hyperlink ref="D1" location="CLIENTES!A1" display="volver" xr:uid="{00000000-0004-0000-1F00-000000000000}"/>
  </hyperlinks>
  <pageMargins left="0.7" right="0.7" top="0.75" bottom="0.75" header="0" footer="0"/>
  <pageSetup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1000"/>
  <sheetViews>
    <sheetView workbookViewId="0">
      <selection activeCell="D1" sqref="D1"/>
    </sheetView>
  </sheetViews>
  <sheetFormatPr baseColWidth="10" defaultColWidth="14.42578125" defaultRowHeight="15" customHeight="1" x14ac:dyDescent="0.25"/>
  <cols>
    <col min="1" max="1" width="15.140625" customWidth="1"/>
    <col min="2" max="2" width="21" customWidth="1"/>
    <col min="3" max="3" width="14.7109375" customWidth="1"/>
    <col min="4" max="4" width="17.42578125" customWidth="1"/>
    <col min="5" max="5" width="12.85546875" customWidth="1"/>
    <col min="6" max="6" width="10.7109375" customWidth="1"/>
    <col min="7" max="7" width="15.7109375" customWidth="1"/>
    <col min="8" max="26" width="10.7109375" customWidth="1"/>
  </cols>
  <sheetData>
    <row r="1" spans="1:7" ht="18.75" x14ac:dyDescent="0.3">
      <c r="A1" s="12" t="s">
        <v>26</v>
      </c>
      <c r="D1" s="101" t="s">
        <v>52</v>
      </c>
    </row>
    <row r="2" spans="1:7" x14ac:dyDescent="0.25">
      <c r="A2" s="130" t="s">
        <v>53</v>
      </c>
      <c r="B2" s="3" t="s">
        <v>54</v>
      </c>
      <c r="C2" s="3" t="s">
        <v>55</v>
      </c>
      <c r="D2" s="1" t="s">
        <v>56</v>
      </c>
      <c r="E2" s="1" t="s">
        <v>57</v>
      </c>
      <c r="F2" s="22" t="s">
        <v>58</v>
      </c>
      <c r="G2" s="23">
        <f>SUM(C3:C1048576) - SUM(B3:B1048576)</f>
        <v>0</v>
      </c>
    </row>
    <row r="3" spans="1:7" ht="15" customHeight="1" x14ac:dyDescent="0.25">
      <c r="A3" s="87">
        <v>45900</v>
      </c>
      <c r="B3" s="33">
        <v>167400</v>
      </c>
    </row>
    <row r="4" spans="1:7" ht="15" customHeight="1" x14ac:dyDescent="0.25">
      <c r="A4" s="87">
        <v>45903</v>
      </c>
      <c r="C4" s="33">
        <v>167400</v>
      </c>
      <c r="E4" s="55"/>
    </row>
    <row r="5" spans="1:7" ht="15" customHeight="1" x14ac:dyDescent="0.25">
      <c r="A5" s="131">
        <v>45930</v>
      </c>
      <c r="B5" s="33">
        <v>214206</v>
      </c>
      <c r="E5" s="55"/>
    </row>
    <row r="6" spans="1:7" ht="15" customHeight="1" x14ac:dyDescent="0.25">
      <c r="A6" s="87">
        <v>45959</v>
      </c>
      <c r="C6" s="33">
        <v>214206</v>
      </c>
      <c r="E6" s="55"/>
    </row>
    <row r="7" spans="1:7" ht="15" customHeight="1" x14ac:dyDescent="0.25">
      <c r="A7" s="87">
        <v>45961</v>
      </c>
      <c r="B7" s="33">
        <v>300716</v>
      </c>
      <c r="C7" s="33"/>
    </row>
    <row r="8" spans="1:7" ht="15" customHeight="1" x14ac:dyDescent="0.25">
      <c r="C8" s="33">
        <v>300716</v>
      </c>
    </row>
    <row r="9" spans="1:7" ht="15" customHeight="1" x14ac:dyDescent="0.25">
      <c r="C9" s="33"/>
    </row>
    <row r="10" spans="1:7" ht="15" customHeight="1" x14ac:dyDescent="0.25">
      <c r="C10" s="33"/>
    </row>
    <row r="11" spans="1:7" ht="15" customHeight="1" x14ac:dyDescent="0.25">
      <c r="C11" s="33"/>
    </row>
    <row r="12" spans="1:7" ht="15" customHeight="1" x14ac:dyDescent="0.25">
      <c r="C12" s="33"/>
    </row>
    <row r="13" spans="1:7" ht="15" customHeight="1" x14ac:dyDescent="0.25">
      <c r="C13" s="33"/>
    </row>
    <row r="14" spans="1:7" ht="15" customHeight="1" x14ac:dyDescent="0.25">
      <c r="C14" s="33"/>
    </row>
    <row r="15" spans="1:7" ht="15" customHeight="1" x14ac:dyDescent="0.25">
      <c r="C15" s="33"/>
    </row>
    <row r="16" spans="1:7" ht="15" customHeight="1" x14ac:dyDescent="0.25">
      <c r="C16" s="33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G2">
    <cfRule type="cellIs" dxfId="61" priority="1" operator="lessThan">
      <formula>0</formula>
    </cfRule>
    <cfRule type="cellIs" dxfId="60" priority="2" operator="greaterThan">
      <formula>0</formula>
    </cfRule>
  </conditionalFormatting>
  <hyperlinks>
    <hyperlink ref="D1" location="CLIENTES!A1" display="volver" xr:uid="{00000000-0004-0000-2000-000000000000}"/>
  </hyperlinks>
  <pageMargins left="0.7" right="0.7" top="0.75" bottom="0.75" header="0" footer="0"/>
  <pageSetup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1000"/>
  <sheetViews>
    <sheetView workbookViewId="0">
      <selection activeCell="D1" sqref="D1"/>
    </sheetView>
  </sheetViews>
  <sheetFormatPr baseColWidth="10" defaultColWidth="14.42578125" defaultRowHeight="15" customHeight="1" x14ac:dyDescent="0.25"/>
  <cols>
    <col min="1" max="1" width="14.85546875" customWidth="1"/>
    <col min="2" max="2" width="19.85546875" customWidth="1"/>
    <col min="3" max="3" width="14.85546875" customWidth="1"/>
    <col min="4" max="4" width="15.85546875" customWidth="1"/>
    <col min="5" max="7" width="14.85546875" customWidth="1"/>
    <col min="8" max="26" width="10.7109375" customWidth="1"/>
  </cols>
  <sheetData>
    <row r="1" spans="1:7" ht="18.75" x14ac:dyDescent="0.3">
      <c r="A1" s="12" t="s">
        <v>228</v>
      </c>
      <c r="D1" s="101" t="s">
        <v>52</v>
      </c>
    </row>
    <row r="2" spans="1:7" s="37" customFormat="1" ht="19.5" customHeight="1" x14ac:dyDescent="0.25">
      <c r="A2" s="37" t="s">
        <v>53</v>
      </c>
      <c r="B2" s="38" t="s">
        <v>54</v>
      </c>
      <c r="C2" s="38" t="s">
        <v>55</v>
      </c>
      <c r="D2" s="37" t="s">
        <v>56</v>
      </c>
      <c r="E2" s="37" t="s">
        <v>57</v>
      </c>
      <c r="F2" s="39" t="s">
        <v>58</v>
      </c>
      <c r="G2" s="40">
        <f>SUM(C3:C1048576) - SUM(B3:B1048576)</f>
        <v>0</v>
      </c>
    </row>
    <row r="3" spans="1:7" ht="15" customHeight="1" x14ac:dyDescent="0.25">
      <c r="A3" s="31">
        <v>46081</v>
      </c>
      <c r="B3" s="33">
        <v>1007214</v>
      </c>
      <c r="C3" s="33"/>
    </row>
    <row r="4" spans="1:7" ht="15" customHeight="1" x14ac:dyDescent="0.25">
      <c r="A4" s="31">
        <v>46092</v>
      </c>
      <c r="B4" s="33"/>
      <c r="C4" s="33">
        <v>1007214</v>
      </c>
    </row>
    <row r="5" spans="1:7" ht="15" customHeight="1" x14ac:dyDescent="0.25">
      <c r="B5" s="33"/>
      <c r="C5" s="33"/>
    </row>
    <row r="6" spans="1:7" ht="15" customHeight="1" x14ac:dyDescent="0.25">
      <c r="B6" s="33"/>
      <c r="C6" s="33"/>
    </row>
    <row r="7" spans="1:7" ht="15" customHeight="1" x14ac:dyDescent="0.25">
      <c r="B7" s="33"/>
      <c r="C7" s="33"/>
    </row>
    <row r="8" spans="1:7" ht="15" customHeight="1" x14ac:dyDescent="0.25">
      <c r="B8" s="33"/>
      <c r="C8" s="33"/>
    </row>
    <row r="9" spans="1:7" ht="15" customHeight="1" x14ac:dyDescent="0.25">
      <c r="B9" s="33"/>
      <c r="C9" s="33"/>
    </row>
    <row r="10" spans="1:7" ht="15" customHeight="1" x14ac:dyDescent="0.25">
      <c r="B10" s="33"/>
      <c r="C10" s="33"/>
    </row>
    <row r="11" spans="1:7" ht="15" customHeight="1" x14ac:dyDescent="0.25">
      <c r="B11" s="33"/>
      <c r="C11" s="33"/>
    </row>
    <row r="12" spans="1:7" ht="15" customHeight="1" x14ac:dyDescent="0.25">
      <c r="B12" s="33"/>
      <c r="C12" s="33"/>
    </row>
    <row r="13" spans="1:7" ht="15" customHeight="1" x14ac:dyDescent="0.25">
      <c r="B13" s="33"/>
      <c r="C13" s="33"/>
    </row>
    <row r="14" spans="1:7" ht="15" customHeight="1" x14ac:dyDescent="0.25">
      <c r="B14" s="33"/>
      <c r="C14" s="33"/>
    </row>
    <row r="15" spans="1:7" ht="15" customHeight="1" x14ac:dyDescent="0.25">
      <c r="B15" s="33"/>
      <c r="C15" s="33"/>
    </row>
    <row r="16" spans="1:7" ht="15" customHeight="1" x14ac:dyDescent="0.25">
      <c r="B16" s="33"/>
      <c r="C16" s="33"/>
    </row>
    <row r="17" spans="2:3" ht="15" customHeight="1" x14ac:dyDescent="0.25">
      <c r="B17" s="33"/>
      <c r="C17" s="33"/>
    </row>
    <row r="18" spans="2:3" ht="15" customHeight="1" x14ac:dyDescent="0.25">
      <c r="B18" s="33"/>
      <c r="C18" s="33"/>
    </row>
    <row r="19" spans="2:3" ht="15" customHeight="1" x14ac:dyDescent="0.25">
      <c r="B19" s="33"/>
      <c r="C19" s="33"/>
    </row>
    <row r="20" spans="2:3" ht="15" customHeight="1" x14ac:dyDescent="0.25">
      <c r="B20" s="33"/>
      <c r="C20" s="33"/>
    </row>
    <row r="21" spans="2:3" ht="15.75" customHeight="1" x14ac:dyDescent="0.25">
      <c r="B21" s="33"/>
      <c r="C21" s="33"/>
    </row>
    <row r="22" spans="2:3" ht="15.75" customHeight="1" x14ac:dyDescent="0.25">
      <c r="B22" s="33"/>
      <c r="C22" s="33"/>
    </row>
    <row r="23" spans="2:3" ht="15.75" customHeight="1" x14ac:dyDescent="0.25">
      <c r="B23" s="33"/>
      <c r="C23" s="33"/>
    </row>
    <row r="24" spans="2:3" ht="15.75" customHeight="1" x14ac:dyDescent="0.25">
      <c r="C24" s="33"/>
    </row>
    <row r="25" spans="2:3" ht="15.75" customHeight="1" x14ac:dyDescent="0.25">
      <c r="C25" s="33"/>
    </row>
    <row r="26" spans="2:3" ht="15.75" customHeight="1" x14ac:dyDescent="0.25">
      <c r="C26" s="33"/>
    </row>
    <row r="27" spans="2:3" ht="15.75" customHeight="1" x14ac:dyDescent="0.25">
      <c r="C27" s="33"/>
    </row>
    <row r="28" spans="2:3" ht="15.75" customHeight="1" x14ac:dyDescent="0.25">
      <c r="C28" s="33"/>
    </row>
    <row r="29" spans="2:3" ht="15.75" customHeight="1" x14ac:dyDescent="0.25">
      <c r="C29" s="33"/>
    </row>
    <row r="30" spans="2:3" ht="15.75" customHeight="1" x14ac:dyDescent="0.25">
      <c r="C30" s="33"/>
    </row>
    <row r="31" spans="2:3" ht="15.75" customHeight="1" x14ac:dyDescent="0.25">
      <c r="C31" s="33"/>
    </row>
    <row r="32" spans="2:3" ht="15.75" customHeight="1" x14ac:dyDescent="0.25">
      <c r="C32" s="33"/>
    </row>
    <row r="33" spans="3:3" ht="15.75" customHeight="1" x14ac:dyDescent="0.25">
      <c r="C33" s="33"/>
    </row>
    <row r="34" spans="3:3" ht="15.75" customHeight="1" x14ac:dyDescent="0.25">
      <c r="C34" s="33"/>
    </row>
    <row r="35" spans="3:3" ht="15.75" customHeight="1" x14ac:dyDescent="0.25">
      <c r="C35" s="33"/>
    </row>
    <row r="36" spans="3:3" ht="15.75" customHeight="1" x14ac:dyDescent="0.25">
      <c r="C36" s="33"/>
    </row>
    <row r="37" spans="3:3" ht="15.75" customHeight="1" x14ac:dyDescent="0.25"/>
    <row r="38" spans="3:3" ht="15.75" customHeight="1" x14ac:dyDescent="0.25"/>
    <row r="39" spans="3:3" ht="15.75" customHeight="1" x14ac:dyDescent="0.25"/>
    <row r="40" spans="3:3" ht="15.75" customHeight="1" x14ac:dyDescent="0.25"/>
    <row r="41" spans="3:3" ht="15.75" customHeight="1" x14ac:dyDescent="0.25"/>
    <row r="42" spans="3:3" ht="15.75" customHeight="1" x14ac:dyDescent="0.25"/>
    <row r="43" spans="3:3" ht="15.75" customHeight="1" x14ac:dyDescent="0.25"/>
    <row r="44" spans="3:3" ht="15.75" customHeight="1" x14ac:dyDescent="0.25"/>
    <row r="45" spans="3:3" ht="15.75" customHeight="1" x14ac:dyDescent="0.25"/>
    <row r="46" spans="3:3" ht="15.75" customHeight="1" x14ac:dyDescent="0.25"/>
    <row r="47" spans="3:3" ht="15.75" customHeight="1" x14ac:dyDescent="0.25"/>
    <row r="48" spans="3: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G2">
    <cfRule type="cellIs" dxfId="59" priority="1" operator="lessThan">
      <formula>0</formula>
    </cfRule>
    <cfRule type="cellIs" dxfId="58" priority="2" operator="greaterThan">
      <formula>0</formula>
    </cfRule>
  </conditionalFormatting>
  <hyperlinks>
    <hyperlink ref="D1" location="CLIENTES!A1" display="volver" xr:uid="{00000000-0004-0000-2100-000000000000}"/>
  </hyperlinks>
  <pageMargins left="0.7" right="0.7" top="0.75" bottom="0.75" header="0" footer="0"/>
  <pageSetup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1004"/>
  <sheetViews>
    <sheetView workbookViewId="0">
      <selection activeCell="D1" sqref="D1"/>
    </sheetView>
  </sheetViews>
  <sheetFormatPr baseColWidth="10" defaultColWidth="14.42578125" defaultRowHeight="15" customHeight="1" x14ac:dyDescent="0.25"/>
  <cols>
    <col min="1" max="1" width="15.42578125" customWidth="1"/>
    <col min="2" max="2" width="21" style="33" customWidth="1"/>
    <col min="3" max="3" width="15.42578125" style="33" customWidth="1"/>
    <col min="4" max="4" width="16.140625" customWidth="1"/>
    <col min="5" max="7" width="15.42578125" customWidth="1"/>
    <col min="8" max="26" width="10.7109375" customWidth="1"/>
  </cols>
  <sheetData>
    <row r="1" spans="1:7" ht="18.75" x14ac:dyDescent="0.3">
      <c r="A1" s="12" t="s">
        <v>27</v>
      </c>
      <c r="B1"/>
      <c r="C1"/>
      <c r="D1" s="101" t="s">
        <v>52</v>
      </c>
    </row>
    <row r="2" spans="1:7" s="37" customFormat="1" ht="20.25" customHeight="1" x14ac:dyDescent="0.25">
      <c r="A2" s="37" t="s">
        <v>53</v>
      </c>
      <c r="B2" s="38" t="s">
        <v>54</v>
      </c>
      <c r="C2" s="38" t="s">
        <v>55</v>
      </c>
      <c r="D2" s="37" t="s">
        <v>56</v>
      </c>
      <c r="E2" s="37" t="s">
        <v>57</v>
      </c>
      <c r="F2" s="39" t="s">
        <v>58</v>
      </c>
      <c r="G2" s="40">
        <f>SUM(C3:C1048576) - SUM(B3:B1048576)</f>
        <v>909967</v>
      </c>
    </row>
    <row r="4" spans="1:7" ht="15" customHeight="1" x14ac:dyDescent="0.25">
      <c r="A4" s="31">
        <v>45443</v>
      </c>
      <c r="B4" s="33">
        <v>74616</v>
      </c>
    </row>
    <row r="5" spans="1:7" ht="15" customHeight="1" x14ac:dyDescent="0.25">
      <c r="A5" s="31">
        <v>45458</v>
      </c>
      <c r="C5" s="33">
        <v>74616</v>
      </c>
    </row>
    <row r="6" spans="1:7" ht="15" customHeight="1" x14ac:dyDescent="0.25">
      <c r="A6" s="31">
        <v>45473</v>
      </c>
      <c r="B6" s="33">
        <v>505860</v>
      </c>
    </row>
    <row r="7" spans="1:7" ht="15" customHeight="1" x14ac:dyDescent="0.25">
      <c r="A7" s="31">
        <v>45486</v>
      </c>
      <c r="C7" s="33">
        <v>505860</v>
      </c>
    </row>
    <row r="8" spans="1:7" ht="15" customHeight="1" x14ac:dyDescent="0.25">
      <c r="A8" s="31">
        <v>45504</v>
      </c>
      <c r="B8" s="33">
        <v>567953</v>
      </c>
    </row>
    <row r="9" spans="1:7" ht="15" customHeight="1" x14ac:dyDescent="0.25">
      <c r="A9" s="31">
        <v>45506</v>
      </c>
      <c r="C9" s="33">
        <v>567953</v>
      </c>
    </row>
    <row r="10" spans="1:7" ht="15" customHeight="1" x14ac:dyDescent="0.25">
      <c r="A10" s="31">
        <v>45535</v>
      </c>
      <c r="B10" s="33">
        <v>157186</v>
      </c>
    </row>
    <row r="11" spans="1:7" ht="15" customHeight="1" x14ac:dyDescent="0.25">
      <c r="A11" s="31">
        <v>45546</v>
      </c>
      <c r="C11" s="33">
        <v>157186</v>
      </c>
    </row>
    <row r="12" spans="1:7" ht="15" customHeight="1" x14ac:dyDescent="0.25">
      <c r="A12" s="31">
        <v>45565</v>
      </c>
      <c r="B12" s="33">
        <v>720984</v>
      </c>
    </row>
    <row r="13" spans="1:7" ht="15" customHeight="1" x14ac:dyDescent="0.25">
      <c r="A13" s="31">
        <v>45573</v>
      </c>
      <c r="C13" s="33">
        <v>720984</v>
      </c>
      <c r="D13" t="s">
        <v>133</v>
      </c>
    </row>
    <row r="14" spans="1:7" ht="15" customHeight="1" x14ac:dyDescent="0.25">
      <c r="A14" s="31">
        <v>45596</v>
      </c>
      <c r="B14" s="33">
        <v>2323088</v>
      </c>
    </row>
    <row r="15" spans="1:7" ht="15" customHeight="1" x14ac:dyDescent="0.25">
      <c r="A15" s="31">
        <v>45598</v>
      </c>
      <c r="C15" s="33">
        <v>2323088</v>
      </c>
    </row>
    <row r="16" spans="1:7" ht="15" customHeight="1" x14ac:dyDescent="0.25">
      <c r="A16" s="31">
        <v>45626</v>
      </c>
      <c r="B16" s="33">
        <v>4547691</v>
      </c>
    </row>
    <row r="17" spans="1:4" ht="15" customHeight="1" x14ac:dyDescent="0.25">
      <c r="A17" s="31">
        <v>45630</v>
      </c>
      <c r="C17" s="33">
        <v>4661000</v>
      </c>
      <c r="D17" t="s">
        <v>144</v>
      </c>
    </row>
    <row r="18" spans="1:4" ht="15" customHeight="1" x14ac:dyDescent="0.25">
      <c r="A18" s="31">
        <v>45657</v>
      </c>
      <c r="B18" s="33">
        <v>3874544</v>
      </c>
    </row>
    <row r="19" spans="1:4" ht="15" customHeight="1" x14ac:dyDescent="0.25">
      <c r="A19" s="31">
        <v>45659</v>
      </c>
      <c r="C19" s="33">
        <v>3761235</v>
      </c>
    </row>
    <row r="20" spans="1:4" ht="15.75" customHeight="1" x14ac:dyDescent="0.25">
      <c r="A20" s="31">
        <v>45688</v>
      </c>
      <c r="B20" s="33">
        <v>4382082</v>
      </c>
    </row>
    <row r="21" spans="1:4" ht="15.75" customHeight="1" x14ac:dyDescent="0.25">
      <c r="A21" s="31">
        <v>45690</v>
      </c>
      <c r="C21" s="33">
        <v>4382082</v>
      </c>
    </row>
    <row r="22" spans="1:4" ht="15.75" customHeight="1" x14ac:dyDescent="0.25">
      <c r="A22" s="31">
        <v>45716</v>
      </c>
      <c r="B22" s="33">
        <v>2154065</v>
      </c>
    </row>
    <row r="23" spans="1:4" ht="15.75" customHeight="1" x14ac:dyDescent="0.25">
      <c r="A23" s="31">
        <v>45728</v>
      </c>
      <c r="C23" s="33">
        <v>2154065</v>
      </c>
    </row>
    <row r="24" spans="1:4" ht="15.75" customHeight="1" x14ac:dyDescent="0.25">
      <c r="A24" s="31">
        <v>45747</v>
      </c>
      <c r="B24" s="33">
        <v>2991353</v>
      </c>
    </row>
    <row r="25" spans="1:4" ht="15.75" customHeight="1" x14ac:dyDescent="0.25">
      <c r="A25" s="31">
        <v>45752</v>
      </c>
      <c r="C25" s="33">
        <v>2991353</v>
      </c>
    </row>
    <row r="26" spans="1:4" ht="15.75" customHeight="1" x14ac:dyDescent="0.25">
      <c r="A26" s="31">
        <v>45762</v>
      </c>
      <c r="C26" s="33">
        <v>500000</v>
      </c>
    </row>
    <row r="27" spans="1:4" ht="15.75" customHeight="1" x14ac:dyDescent="0.25">
      <c r="A27" s="31">
        <v>45766</v>
      </c>
      <c r="C27" s="33">
        <v>500000</v>
      </c>
    </row>
    <row r="28" spans="1:4" ht="15.75" customHeight="1" x14ac:dyDescent="0.25">
      <c r="A28" s="31">
        <v>45769</v>
      </c>
      <c r="C28" s="33">
        <v>500000</v>
      </c>
    </row>
    <row r="29" spans="1:4" ht="15.75" customHeight="1" x14ac:dyDescent="0.25">
      <c r="A29" s="31">
        <v>45772</v>
      </c>
      <c r="C29" s="33">
        <v>400000</v>
      </c>
    </row>
    <row r="30" spans="1:4" ht="15.75" customHeight="1" x14ac:dyDescent="0.25">
      <c r="A30" s="31">
        <v>45777</v>
      </c>
      <c r="B30" s="33">
        <v>2281473</v>
      </c>
    </row>
    <row r="31" spans="1:4" ht="15.75" customHeight="1" x14ac:dyDescent="0.25">
      <c r="A31" s="31">
        <v>45796</v>
      </c>
      <c r="C31" s="33">
        <v>381473</v>
      </c>
    </row>
    <row r="32" spans="1:4" ht="15.75" customHeight="1" x14ac:dyDescent="0.25">
      <c r="A32" s="31">
        <v>45807</v>
      </c>
      <c r="B32" s="33">
        <v>496870</v>
      </c>
    </row>
    <row r="33" spans="1:4" ht="15.75" customHeight="1" x14ac:dyDescent="0.25">
      <c r="A33" s="31">
        <v>45815</v>
      </c>
      <c r="C33" s="33">
        <v>496870</v>
      </c>
    </row>
    <row r="34" spans="1:4" ht="15.75" customHeight="1" x14ac:dyDescent="0.25">
      <c r="A34" s="31">
        <v>45834</v>
      </c>
      <c r="C34" s="33">
        <v>500000</v>
      </c>
    </row>
    <row r="35" spans="1:4" ht="15.75" customHeight="1" x14ac:dyDescent="0.25">
      <c r="A35" s="31">
        <v>45838</v>
      </c>
      <c r="B35" s="33">
        <v>605483</v>
      </c>
    </row>
    <row r="36" spans="1:4" ht="15.75" customHeight="1" x14ac:dyDescent="0.25">
      <c r="A36" s="31">
        <v>45843</v>
      </c>
      <c r="C36" s="33">
        <v>105483</v>
      </c>
    </row>
    <row r="37" spans="1:4" ht="15.75" customHeight="1" x14ac:dyDescent="0.25">
      <c r="A37" s="31">
        <v>45854</v>
      </c>
      <c r="C37" s="33">
        <v>800000</v>
      </c>
    </row>
    <row r="38" spans="1:4" ht="15.75" customHeight="1" x14ac:dyDescent="0.25">
      <c r="A38" s="31">
        <v>45860</v>
      </c>
      <c r="C38" s="33">
        <v>800000</v>
      </c>
    </row>
    <row r="39" spans="1:4" ht="15.75" customHeight="1" x14ac:dyDescent="0.25">
      <c r="A39" s="31">
        <v>45869</v>
      </c>
      <c r="B39" s="33">
        <v>1728263</v>
      </c>
    </row>
    <row r="40" spans="1:4" ht="15.75" customHeight="1" x14ac:dyDescent="0.25">
      <c r="A40" s="31">
        <v>45875</v>
      </c>
      <c r="C40" s="33">
        <v>128263</v>
      </c>
    </row>
    <row r="41" spans="1:4" ht="15.75" customHeight="1" x14ac:dyDescent="0.25">
      <c r="A41" s="31">
        <v>45881</v>
      </c>
      <c r="C41" s="33">
        <v>1000000</v>
      </c>
    </row>
    <row r="42" spans="1:4" ht="15.75" customHeight="1" x14ac:dyDescent="0.25">
      <c r="A42" s="31">
        <v>45890</v>
      </c>
      <c r="C42" s="33">
        <v>1000000</v>
      </c>
    </row>
    <row r="43" spans="1:4" ht="15.75" customHeight="1" x14ac:dyDescent="0.25">
      <c r="A43" s="31">
        <v>45900</v>
      </c>
      <c r="B43" s="33">
        <v>2118891</v>
      </c>
    </row>
    <row r="44" spans="1:4" ht="15.75" customHeight="1" x14ac:dyDescent="0.25">
      <c r="A44" s="31">
        <v>45905</v>
      </c>
      <c r="C44" s="33">
        <v>118000</v>
      </c>
    </row>
    <row r="45" spans="1:4" ht="15.75" customHeight="1" x14ac:dyDescent="0.25">
      <c r="A45" s="31">
        <v>45916</v>
      </c>
      <c r="C45" s="33">
        <v>12500000</v>
      </c>
      <c r="D45" s="123" t="s">
        <v>203</v>
      </c>
    </row>
    <row r="46" spans="1:4" ht="15.75" customHeight="1" x14ac:dyDescent="0.25">
      <c r="A46" s="31">
        <v>45930</v>
      </c>
      <c r="B46" s="33">
        <v>2056748</v>
      </c>
    </row>
    <row r="47" spans="1:4" ht="15.75" customHeight="1" x14ac:dyDescent="0.25">
      <c r="A47" s="31">
        <v>45961</v>
      </c>
      <c r="B47" s="33">
        <v>2749213</v>
      </c>
    </row>
    <row r="48" spans="1:4" ht="15.75" customHeight="1" x14ac:dyDescent="0.25">
      <c r="A48" s="31">
        <v>45991</v>
      </c>
      <c r="B48" s="33">
        <v>3103950</v>
      </c>
    </row>
    <row r="49" spans="1:3" ht="15.75" customHeight="1" x14ac:dyDescent="0.25">
      <c r="A49" s="31">
        <v>46022</v>
      </c>
      <c r="B49" s="33">
        <v>4839392</v>
      </c>
    </row>
    <row r="50" spans="1:3" ht="15.75" customHeight="1" x14ac:dyDescent="0.25">
      <c r="A50" s="31">
        <v>46051</v>
      </c>
      <c r="C50" s="33">
        <v>2000000</v>
      </c>
    </row>
    <row r="51" spans="1:3" ht="15.75" customHeight="1" x14ac:dyDescent="0.25">
      <c r="A51" s="31">
        <v>46053</v>
      </c>
      <c r="B51" s="33">
        <v>4138788</v>
      </c>
    </row>
    <row r="52" spans="1:3" ht="15.75" customHeight="1" x14ac:dyDescent="0.25">
      <c r="A52" s="31">
        <v>46056</v>
      </c>
      <c r="C52" s="33">
        <v>2000000</v>
      </c>
    </row>
    <row r="53" spans="1:3" ht="15.75" customHeight="1" x14ac:dyDescent="0.25">
      <c r="A53" s="31">
        <v>46056</v>
      </c>
      <c r="C53" s="33">
        <v>2000000</v>
      </c>
    </row>
    <row r="54" spans="1:3" ht="15.75" customHeight="1" x14ac:dyDescent="0.25">
      <c r="A54" s="31">
        <v>46079</v>
      </c>
      <c r="C54" s="33">
        <v>4000000</v>
      </c>
    </row>
    <row r="55" spans="1:3" ht="15.75" customHeight="1" x14ac:dyDescent="0.25">
      <c r="A55" s="31">
        <v>46081</v>
      </c>
      <c r="B55" s="33">
        <v>4701051</v>
      </c>
    </row>
    <row r="56" spans="1:3" ht="15.75" customHeight="1" x14ac:dyDescent="0.25"/>
    <row r="57" spans="1:3" ht="15.75" customHeight="1" x14ac:dyDescent="0.25"/>
    <row r="58" spans="1:3" ht="15.75" customHeight="1" x14ac:dyDescent="0.25"/>
    <row r="59" spans="1:3" ht="15.75" customHeight="1" x14ac:dyDescent="0.25"/>
    <row r="60" spans="1:3" ht="15.75" customHeight="1" x14ac:dyDescent="0.25"/>
    <row r="61" spans="1:3" ht="15.75" customHeight="1" x14ac:dyDescent="0.25"/>
    <row r="62" spans="1:3" ht="15.75" customHeight="1" x14ac:dyDescent="0.25"/>
    <row r="63" spans="1:3" ht="15.75" customHeight="1" x14ac:dyDescent="0.25"/>
    <row r="64" spans="1: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</sheetData>
  <conditionalFormatting sqref="G2">
    <cfRule type="cellIs" dxfId="57" priority="1" operator="lessThan">
      <formula>0</formula>
    </cfRule>
    <cfRule type="cellIs" dxfId="56" priority="2" operator="greaterThan">
      <formula>0</formula>
    </cfRule>
  </conditionalFormatting>
  <hyperlinks>
    <hyperlink ref="D1" location="CLIENTES!A1" display="volver" xr:uid="{00000000-0004-0000-2200-000000000000}"/>
  </hyperlinks>
  <pageMargins left="0.7" right="0.7" top="0.75" bottom="0.75" header="0" footer="0"/>
  <pageSetup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999"/>
  <sheetViews>
    <sheetView workbookViewId="0">
      <selection activeCell="D1" sqref="D1"/>
    </sheetView>
  </sheetViews>
  <sheetFormatPr baseColWidth="10" defaultColWidth="14.42578125" defaultRowHeight="15" customHeight="1" x14ac:dyDescent="0.25"/>
  <cols>
    <col min="1" max="1" width="16.140625" customWidth="1"/>
    <col min="2" max="2" width="20.140625" style="33" customWidth="1"/>
    <col min="3" max="3" width="18.140625" style="33" customWidth="1"/>
    <col min="4" max="7" width="16.140625" customWidth="1"/>
    <col min="8" max="26" width="10.7109375" customWidth="1"/>
  </cols>
  <sheetData>
    <row r="1" spans="1:7" ht="18.75" x14ac:dyDescent="0.3">
      <c r="A1" s="12" t="s">
        <v>28</v>
      </c>
      <c r="B1"/>
      <c r="C1"/>
      <c r="D1" s="101" t="s">
        <v>52</v>
      </c>
    </row>
    <row r="2" spans="1:7" s="37" customFormat="1" ht="20.25" customHeight="1" x14ac:dyDescent="0.25">
      <c r="A2" s="37" t="s">
        <v>53</v>
      </c>
      <c r="B2" s="38" t="s">
        <v>54</v>
      </c>
      <c r="C2" s="38" t="s">
        <v>55</v>
      </c>
      <c r="D2" s="37" t="s">
        <v>56</v>
      </c>
      <c r="E2" s="37" t="s">
        <v>57</v>
      </c>
      <c r="F2" s="39" t="s">
        <v>58</v>
      </c>
      <c r="G2" s="40">
        <f>SUM(C3:C1048576) - SUM(B3:B1048576)</f>
        <v>0</v>
      </c>
    </row>
    <row r="4" spans="1:7" ht="15" customHeight="1" x14ac:dyDescent="0.25">
      <c r="A4" s="56" t="s">
        <v>97</v>
      </c>
      <c r="B4" s="33">
        <v>352199</v>
      </c>
    </row>
    <row r="5" spans="1:7" ht="15" customHeight="1" x14ac:dyDescent="0.25">
      <c r="C5" s="33">
        <v>352199</v>
      </c>
      <c r="D5" s="55" t="s">
        <v>98</v>
      </c>
    </row>
    <row r="6" spans="1:7" ht="15" customHeight="1" x14ac:dyDescent="0.25">
      <c r="A6" t="s">
        <v>120</v>
      </c>
      <c r="B6" s="33">
        <v>402607</v>
      </c>
    </row>
    <row r="7" spans="1:7" ht="15" customHeight="1" x14ac:dyDescent="0.25">
      <c r="A7" s="31">
        <v>45540</v>
      </c>
      <c r="C7" s="33">
        <v>402607</v>
      </c>
    </row>
    <row r="8" spans="1:7" ht="15" customHeight="1" x14ac:dyDescent="0.25">
      <c r="A8" s="31">
        <v>45588</v>
      </c>
      <c r="B8" s="33">
        <v>716000</v>
      </c>
      <c r="C8" s="33">
        <v>716000</v>
      </c>
    </row>
    <row r="9" spans="1:7" ht="15" customHeight="1" x14ac:dyDescent="0.25">
      <c r="A9" s="31">
        <v>45716</v>
      </c>
      <c r="B9" s="33">
        <v>1108965</v>
      </c>
      <c r="C9" s="33">
        <v>1108965</v>
      </c>
    </row>
    <row r="10" spans="1:7" ht="15" customHeight="1" x14ac:dyDescent="0.25">
      <c r="A10" s="31">
        <v>45807</v>
      </c>
      <c r="B10" s="33">
        <v>660000</v>
      </c>
      <c r="C10" s="33">
        <v>660000</v>
      </c>
    </row>
    <row r="11" spans="1:7" ht="15" customHeight="1" x14ac:dyDescent="0.25">
      <c r="A11" s="31">
        <v>45869</v>
      </c>
      <c r="B11" s="33">
        <v>982000</v>
      </c>
      <c r="C11" s="33">
        <v>982000</v>
      </c>
    </row>
    <row r="12" spans="1:7" ht="15" customHeight="1" x14ac:dyDescent="0.25">
      <c r="A12" s="31">
        <v>46028</v>
      </c>
      <c r="B12" s="33">
        <v>528000</v>
      </c>
      <c r="C12" s="33">
        <v>528000</v>
      </c>
    </row>
    <row r="13" spans="1:7" ht="15" customHeight="1" x14ac:dyDescent="0.25">
      <c r="A13" s="31">
        <v>46053</v>
      </c>
      <c r="B13" s="33">
        <v>1105017</v>
      </c>
    </row>
    <row r="14" spans="1:7" ht="15" customHeight="1" x14ac:dyDescent="0.25">
      <c r="A14" s="31">
        <v>46049</v>
      </c>
      <c r="C14" s="33">
        <v>1105017</v>
      </c>
    </row>
    <row r="15" spans="1:7" ht="15" customHeight="1" x14ac:dyDescent="0.25">
      <c r="A15" s="31">
        <v>46077</v>
      </c>
      <c r="B15" s="33">
        <v>1460000</v>
      </c>
    </row>
    <row r="16" spans="1:7" ht="15" customHeight="1" x14ac:dyDescent="0.25">
      <c r="A16" s="31">
        <v>46077</v>
      </c>
      <c r="C16" s="33">
        <v>1460000</v>
      </c>
    </row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conditionalFormatting sqref="G2">
    <cfRule type="cellIs" dxfId="55" priority="1" operator="lessThan">
      <formula>0</formula>
    </cfRule>
    <cfRule type="cellIs" dxfId="54" priority="2" operator="greaterThan">
      <formula>0</formula>
    </cfRule>
  </conditionalFormatting>
  <hyperlinks>
    <hyperlink ref="D1" location="CLIENTES!A1" display="volver" xr:uid="{00000000-0004-0000-2300-000000000000}"/>
  </hyperlinks>
  <pageMargins left="0.7" right="0.7" top="0.75" bottom="0.75" header="0" footer="0"/>
  <pageSetup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7" ht="18.75" x14ac:dyDescent="0.3">
      <c r="A1" s="12" t="s">
        <v>29</v>
      </c>
      <c r="D1" s="2" t="s">
        <v>52</v>
      </c>
    </row>
    <row r="2" spans="1:7" x14ac:dyDescent="0.25">
      <c r="A2" s="1" t="s">
        <v>53</v>
      </c>
      <c r="B2" s="3" t="s">
        <v>54</v>
      </c>
      <c r="C2" s="3" t="s">
        <v>55</v>
      </c>
      <c r="D2" s="1" t="s">
        <v>56</v>
      </c>
      <c r="E2" s="1" t="s">
        <v>57</v>
      </c>
      <c r="F2" s="22" t="s">
        <v>58</v>
      </c>
      <c r="G2" s="23">
        <f>SUM(C3:C1048576) - SUM(B3:B1048576)</f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G2">
    <cfRule type="cellIs" dxfId="53" priority="1" operator="lessThan">
      <formula>0</formula>
    </cfRule>
    <cfRule type="cellIs" dxfId="52" priority="2" operator="greaterThan">
      <formula>0</formula>
    </cfRule>
  </conditionalFormatting>
  <hyperlinks>
    <hyperlink ref="D1" location="Hoja1!A1" display="volver" xr:uid="{00000000-0004-0000-2400-000000000000}"/>
  </hyperlinks>
  <pageMargins left="0.7" right="0.7" top="0.75" bottom="0.75" header="0" footer="0"/>
  <pageSetup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1000"/>
  <sheetViews>
    <sheetView workbookViewId="0">
      <selection activeCell="D1" sqref="D1"/>
    </sheetView>
  </sheetViews>
  <sheetFormatPr baseColWidth="10" defaultColWidth="14.42578125" defaultRowHeight="15" customHeight="1" x14ac:dyDescent="0.25"/>
  <cols>
    <col min="1" max="1" width="15.140625" customWidth="1"/>
    <col min="2" max="2" width="20" style="33" customWidth="1"/>
    <col min="3" max="3" width="15.140625" style="33" customWidth="1"/>
    <col min="4" max="7" width="15.140625" customWidth="1"/>
    <col min="8" max="26" width="10.7109375" customWidth="1"/>
  </cols>
  <sheetData>
    <row r="1" spans="1:7" ht="18.75" x14ac:dyDescent="0.3">
      <c r="A1" s="12" t="s">
        <v>30</v>
      </c>
      <c r="B1"/>
      <c r="C1"/>
      <c r="D1" s="2" t="s">
        <v>52</v>
      </c>
    </row>
    <row r="2" spans="1:7" x14ac:dyDescent="0.25">
      <c r="A2" s="1" t="s">
        <v>53</v>
      </c>
      <c r="B2" s="3" t="s">
        <v>54</v>
      </c>
      <c r="C2" s="3" t="s">
        <v>55</v>
      </c>
      <c r="D2" s="1" t="s">
        <v>56</v>
      </c>
      <c r="E2" s="1" t="s">
        <v>57</v>
      </c>
      <c r="F2" s="22" t="s">
        <v>58</v>
      </c>
      <c r="G2" s="23">
        <f>SUM(C3:C1048576) - SUM(B3:B1048576)</f>
        <v>-271779</v>
      </c>
    </row>
    <row r="4" spans="1:7" ht="15" customHeight="1" x14ac:dyDescent="0.25">
      <c r="A4" s="31">
        <v>45504</v>
      </c>
      <c r="B4" s="33">
        <v>371779</v>
      </c>
    </row>
    <row r="5" spans="1:7" ht="15" customHeight="1" x14ac:dyDescent="0.25">
      <c r="A5" s="31">
        <v>45510</v>
      </c>
      <c r="C5" s="33">
        <v>100000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G2">
    <cfRule type="cellIs" dxfId="51" priority="1" operator="lessThan">
      <formula>0</formula>
    </cfRule>
    <cfRule type="cellIs" dxfId="50" priority="2" operator="greaterThan">
      <formula>0</formula>
    </cfRule>
  </conditionalFormatting>
  <hyperlinks>
    <hyperlink ref="D1" location="Hoja1!A1" display="volver" xr:uid="{00000000-0004-0000-2500-000000000000}"/>
  </hyperlinks>
  <pageMargins left="0.7" right="0.7" top="0.75" bottom="0.75" header="0" footer="0"/>
  <pageSetup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006"/>
  <sheetViews>
    <sheetView workbookViewId="0">
      <selection activeCell="D1" sqref="D1"/>
    </sheetView>
  </sheetViews>
  <sheetFormatPr baseColWidth="10" defaultColWidth="14.42578125" defaultRowHeight="15" customHeight="1" x14ac:dyDescent="0.25"/>
  <cols>
    <col min="1" max="1" width="14.85546875" customWidth="1"/>
    <col min="2" max="2" width="20.28515625" style="33" customWidth="1"/>
    <col min="3" max="3" width="14.85546875" style="33" customWidth="1"/>
    <col min="4" max="7" width="14.85546875" customWidth="1"/>
    <col min="8" max="26" width="10.7109375" customWidth="1"/>
  </cols>
  <sheetData>
    <row r="1" spans="1:7" ht="18.75" x14ac:dyDescent="0.3">
      <c r="A1" s="12" t="s">
        <v>31</v>
      </c>
      <c r="B1"/>
      <c r="C1"/>
      <c r="D1" s="101" t="s">
        <v>52</v>
      </c>
    </row>
    <row r="2" spans="1:7" s="37" customFormat="1" ht="22.5" customHeight="1" x14ac:dyDescent="0.25">
      <c r="A2" s="37" t="s">
        <v>53</v>
      </c>
      <c r="B2" s="38" t="s">
        <v>54</v>
      </c>
      <c r="C2" s="38" t="s">
        <v>55</v>
      </c>
      <c r="D2" s="37" t="s">
        <v>56</v>
      </c>
      <c r="E2" s="37" t="s">
        <v>57</v>
      </c>
      <c r="F2" s="39" t="s">
        <v>58</v>
      </c>
      <c r="G2" s="40">
        <f>SUM(C3:C1048576) - SUM(B3:B1048576)</f>
        <v>0</v>
      </c>
    </row>
    <row r="4" spans="1:7" ht="15" customHeight="1" x14ac:dyDescent="0.25">
      <c r="A4" s="31">
        <v>45382</v>
      </c>
      <c r="B4" s="33">
        <v>86994</v>
      </c>
    </row>
    <row r="5" spans="1:7" ht="15" customHeight="1" x14ac:dyDescent="0.25">
      <c r="A5" s="31">
        <v>45397</v>
      </c>
      <c r="C5" s="33">
        <v>85000</v>
      </c>
    </row>
    <row r="6" spans="1:7" ht="15" customHeight="1" x14ac:dyDescent="0.25">
      <c r="A6" s="56">
        <v>45412</v>
      </c>
      <c r="B6" s="33">
        <v>60775</v>
      </c>
    </row>
    <row r="7" spans="1:7" ht="15" customHeight="1" x14ac:dyDescent="0.25">
      <c r="A7" s="56">
        <v>45443</v>
      </c>
      <c r="B7" s="33">
        <v>87972</v>
      </c>
    </row>
    <row r="8" spans="1:7" ht="15" customHeight="1" x14ac:dyDescent="0.25">
      <c r="A8" s="31">
        <v>45473</v>
      </c>
      <c r="B8" s="33">
        <v>68850</v>
      </c>
      <c r="C8" s="33">
        <v>217597</v>
      </c>
    </row>
    <row r="9" spans="1:7" ht="15" customHeight="1" x14ac:dyDescent="0.25">
      <c r="A9" s="31">
        <v>45504</v>
      </c>
      <c r="B9" s="33">
        <v>99994</v>
      </c>
    </row>
    <row r="10" spans="1:7" ht="15" customHeight="1" x14ac:dyDescent="0.25">
      <c r="A10" s="31">
        <v>45525</v>
      </c>
      <c r="C10" s="33">
        <v>101988</v>
      </c>
    </row>
    <row r="11" spans="1:7" ht="15" customHeight="1" x14ac:dyDescent="0.25">
      <c r="A11" s="31">
        <v>45535</v>
      </c>
      <c r="B11" s="33">
        <v>91396</v>
      </c>
    </row>
    <row r="12" spans="1:7" ht="15" customHeight="1" x14ac:dyDescent="0.25">
      <c r="A12" s="31">
        <v>45553</v>
      </c>
      <c r="C12" s="33">
        <v>91396</v>
      </c>
    </row>
    <row r="13" spans="1:7" ht="15" customHeight="1" x14ac:dyDescent="0.25">
      <c r="A13" s="31">
        <v>45565</v>
      </c>
      <c r="B13" s="33">
        <v>87373</v>
      </c>
    </row>
    <row r="14" spans="1:7" ht="15" customHeight="1" x14ac:dyDescent="0.25">
      <c r="A14" s="31">
        <v>45576</v>
      </c>
      <c r="C14" s="33">
        <v>87373</v>
      </c>
    </row>
    <row r="15" spans="1:7" ht="15" customHeight="1" x14ac:dyDescent="0.25">
      <c r="A15" s="31">
        <v>45596</v>
      </c>
      <c r="B15" s="33">
        <v>185058</v>
      </c>
    </row>
    <row r="16" spans="1:7" ht="15" customHeight="1" x14ac:dyDescent="0.25">
      <c r="A16" s="31">
        <v>45626</v>
      </c>
      <c r="B16" s="33">
        <v>62137</v>
      </c>
    </row>
    <row r="17" spans="1:3" ht="15" customHeight="1" x14ac:dyDescent="0.25">
      <c r="A17" s="31">
        <v>45646</v>
      </c>
      <c r="C17" s="33">
        <v>150000</v>
      </c>
    </row>
    <row r="18" spans="1:3" ht="15" customHeight="1" x14ac:dyDescent="0.25">
      <c r="A18" s="31">
        <v>46018</v>
      </c>
      <c r="C18" s="33">
        <v>97200</v>
      </c>
    </row>
    <row r="19" spans="1:3" ht="15" customHeight="1" x14ac:dyDescent="0.25">
      <c r="A19" s="31">
        <v>45657</v>
      </c>
      <c r="B19" s="33">
        <v>139557</v>
      </c>
    </row>
    <row r="20" spans="1:3" ht="15" customHeight="1" x14ac:dyDescent="0.25">
      <c r="A20" s="85">
        <v>45676</v>
      </c>
      <c r="C20" s="33">
        <v>139557</v>
      </c>
    </row>
    <row r="21" spans="1:3" ht="15" customHeight="1" x14ac:dyDescent="0.25">
      <c r="A21" s="31">
        <v>45688</v>
      </c>
      <c r="B21" s="33">
        <v>192798</v>
      </c>
    </row>
    <row r="22" spans="1:3" ht="15" customHeight="1" x14ac:dyDescent="0.25">
      <c r="A22" s="31">
        <v>45700</v>
      </c>
      <c r="C22" s="33">
        <v>192798</v>
      </c>
    </row>
    <row r="23" spans="1:3" ht="15" customHeight="1" x14ac:dyDescent="0.25">
      <c r="A23" s="31">
        <v>45716</v>
      </c>
      <c r="B23" s="33">
        <v>221154</v>
      </c>
    </row>
    <row r="24" spans="1:3" ht="15" customHeight="1" x14ac:dyDescent="0.25">
      <c r="A24" s="31">
        <v>45726</v>
      </c>
      <c r="C24" s="33">
        <v>221149</v>
      </c>
    </row>
    <row r="25" spans="1:3" ht="15" customHeight="1" x14ac:dyDescent="0.25">
      <c r="A25" s="31">
        <v>45747</v>
      </c>
      <c r="B25" s="33">
        <v>99505</v>
      </c>
    </row>
    <row r="26" spans="1:3" ht="15.75" customHeight="1" x14ac:dyDescent="0.25">
      <c r="A26" s="31">
        <v>45728</v>
      </c>
      <c r="C26" s="33">
        <v>99505</v>
      </c>
    </row>
    <row r="27" spans="1:3" ht="15.75" customHeight="1" x14ac:dyDescent="0.25">
      <c r="A27" s="31">
        <v>45777</v>
      </c>
      <c r="B27" s="33">
        <v>181620</v>
      </c>
    </row>
    <row r="28" spans="1:3" ht="15.75" customHeight="1" x14ac:dyDescent="0.25">
      <c r="A28" s="31">
        <v>45807</v>
      </c>
      <c r="C28" s="33">
        <v>181620</v>
      </c>
    </row>
    <row r="29" spans="1:3" ht="15.75" customHeight="1" x14ac:dyDescent="0.25">
      <c r="A29" s="31">
        <v>45807</v>
      </c>
      <c r="B29" s="33">
        <v>91879</v>
      </c>
    </row>
    <row r="30" spans="1:3" ht="15.75" customHeight="1" x14ac:dyDescent="0.25">
      <c r="A30" s="31">
        <v>45838</v>
      </c>
      <c r="B30" s="33">
        <v>50656</v>
      </c>
    </row>
    <row r="31" spans="1:3" ht="15.75" customHeight="1" x14ac:dyDescent="0.25">
      <c r="A31" s="31">
        <v>45857</v>
      </c>
      <c r="C31" s="33">
        <v>142535</v>
      </c>
    </row>
    <row r="32" spans="1:3" ht="15.75" customHeight="1" x14ac:dyDescent="0.25">
      <c r="A32" s="31">
        <v>45869</v>
      </c>
      <c r="B32" s="33">
        <v>162979</v>
      </c>
    </row>
    <row r="33" spans="1:3" ht="15.75" customHeight="1" x14ac:dyDescent="0.25">
      <c r="A33" s="31">
        <v>45880</v>
      </c>
      <c r="C33" s="33">
        <v>162979</v>
      </c>
    </row>
    <row r="34" spans="1:3" ht="15.75" customHeight="1" x14ac:dyDescent="0.25">
      <c r="A34" s="31">
        <v>45900</v>
      </c>
      <c r="B34" s="33">
        <v>118540</v>
      </c>
    </row>
    <row r="35" spans="1:3" ht="15.75" customHeight="1" x14ac:dyDescent="0.25">
      <c r="A35" s="31">
        <v>45930</v>
      </c>
      <c r="B35" s="33">
        <v>64422</v>
      </c>
    </row>
    <row r="36" spans="1:3" ht="15.75" customHeight="1" x14ac:dyDescent="0.25">
      <c r="A36" s="31">
        <v>45937</v>
      </c>
      <c r="C36" s="33">
        <v>118500</v>
      </c>
    </row>
    <row r="37" spans="1:3" ht="15.75" customHeight="1" x14ac:dyDescent="0.25">
      <c r="A37" s="31">
        <v>45961</v>
      </c>
      <c r="B37" s="33">
        <v>104372</v>
      </c>
    </row>
    <row r="38" spans="1:3" ht="15.75" customHeight="1" x14ac:dyDescent="0.25">
      <c r="A38" s="31">
        <v>45980</v>
      </c>
      <c r="C38" s="33">
        <v>104372</v>
      </c>
    </row>
    <row r="39" spans="1:3" ht="15.75" customHeight="1" x14ac:dyDescent="0.25">
      <c r="A39" s="31">
        <v>45986</v>
      </c>
      <c r="C39" s="33">
        <v>64462</v>
      </c>
    </row>
    <row r="40" spans="1:3" ht="15.75" customHeight="1" x14ac:dyDescent="0.25">
      <c r="A40" s="31">
        <v>45991</v>
      </c>
      <c r="B40" s="33">
        <v>191497</v>
      </c>
    </row>
    <row r="41" spans="1:3" ht="15.75" customHeight="1" x14ac:dyDescent="0.25">
      <c r="A41" s="31">
        <v>46022</v>
      </c>
      <c r="B41" s="33">
        <v>45646</v>
      </c>
    </row>
    <row r="42" spans="1:3" ht="15.75" customHeight="1" x14ac:dyDescent="0.25">
      <c r="A42" s="31">
        <v>46043</v>
      </c>
      <c r="C42" s="33">
        <v>237143</v>
      </c>
    </row>
    <row r="43" spans="1:3" ht="15.75" customHeight="1" x14ac:dyDescent="0.25"/>
    <row r="44" spans="1:3" ht="15.75" customHeight="1" x14ac:dyDescent="0.25"/>
    <row r="45" spans="1:3" ht="15.75" customHeight="1" x14ac:dyDescent="0.25"/>
    <row r="46" spans="1:3" ht="15.75" customHeight="1" x14ac:dyDescent="0.25"/>
    <row r="47" spans="1:3" ht="15.75" customHeight="1" x14ac:dyDescent="0.25"/>
    <row r="48" spans="1: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</sheetData>
  <conditionalFormatting sqref="G2">
    <cfRule type="cellIs" dxfId="49" priority="1" operator="lessThan">
      <formula>0</formula>
    </cfRule>
    <cfRule type="cellIs" dxfId="48" priority="2" operator="greaterThan">
      <formula>0</formula>
    </cfRule>
  </conditionalFormatting>
  <hyperlinks>
    <hyperlink ref="D1" location="CLIENTES!A1" display="volver" xr:uid="{00000000-0004-0000-2600-000000000000}"/>
  </hyperlinks>
  <pageMargins left="0.7" right="0.7" top="0.75" bottom="0.75" header="0" footer="0"/>
  <pageSetup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G1000"/>
  <sheetViews>
    <sheetView workbookViewId="0">
      <selection activeCell="D1" sqref="D1"/>
    </sheetView>
  </sheetViews>
  <sheetFormatPr baseColWidth="10" defaultColWidth="14.42578125" defaultRowHeight="15" customHeight="1" x14ac:dyDescent="0.25"/>
  <cols>
    <col min="1" max="1" width="15.42578125" customWidth="1"/>
    <col min="2" max="2" width="20.42578125" style="33" customWidth="1"/>
    <col min="3" max="3" width="15.42578125" style="33" customWidth="1"/>
    <col min="4" max="4" width="16.42578125" customWidth="1"/>
    <col min="5" max="7" width="15.42578125" customWidth="1"/>
    <col min="8" max="26" width="10.7109375" customWidth="1"/>
  </cols>
  <sheetData>
    <row r="1" spans="1:7" ht="18.75" x14ac:dyDescent="0.3">
      <c r="A1" s="12" t="s">
        <v>32</v>
      </c>
      <c r="B1"/>
      <c r="C1"/>
      <c r="D1" s="101" t="s">
        <v>52</v>
      </c>
    </row>
    <row r="2" spans="1:7" s="37" customFormat="1" ht="21" customHeight="1" x14ac:dyDescent="0.25">
      <c r="A2" s="37" t="s">
        <v>53</v>
      </c>
      <c r="B2" s="38" t="s">
        <v>54</v>
      </c>
      <c r="C2" s="38" t="s">
        <v>55</v>
      </c>
      <c r="D2" s="37" t="s">
        <v>56</v>
      </c>
      <c r="E2" s="37" t="s">
        <v>57</v>
      </c>
      <c r="F2" s="39" t="s">
        <v>58</v>
      </c>
      <c r="G2" s="40">
        <f>SUM(C3:C1048576) - SUM(B3:B1048576)</f>
        <v>0</v>
      </c>
    </row>
    <row r="3" spans="1:7" ht="15" customHeight="1" x14ac:dyDescent="0.25">
      <c r="B3"/>
      <c r="C3"/>
    </row>
    <row r="4" spans="1:7" ht="15" customHeight="1" x14ac:dyDescent="0.25">
      <c r="A4" s="55" t="s">
        <v>95</v>
      </c>
      <c r="B4" s="33">
        <v>240585</v>
      </c>
    </row>
    <row r="5" spans="1:7" ht="15" customHeight="1" x14ac:dyDescent="0.25">
      <c r="A5" s="31">
        <v>45498</v>
      </c>
      <c r="C5" s="33">
        <v>240585</v>
      </c>
    </row>
    <row r="6" spans="1:7" ht="15" customHeight="1" x14ac:dyDescent="0.25">
      <c r="A6" s="31">
        <v>45716</v>
      </c>
      <c r="B6" s="33">
        <v>830875</v>
      </c>
    </row>
    <row r="7" spans="1:7" ht="15" customHeight="1" x14ac:dyDescent="0.25">
      <c r="A7" s="31">
        <v>46052</v>
      </c>
      <c r="C7" s="33">
        <v>830875</v>
      </c>
    </row>
    <row r="8" spans="1:7" ht="15" customHeight="1" x14ac:dyDescent="0.25">
      <c r="A8" s="31">
        <v>46081</v>
      </c>
      <c r="B8" s="33">
        <v>691906</v>
      </c>
    </row>
    <row r="9" spans="1:7" ht="15" customHeight="1" x14ac:dyDescent="0.25">
      <c r="A9" s="31">
        <v>46091</v>
      </c>
      <c r="C9" s="33">
        <v>691906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G2">
    <cfRule type="cellIs" dxfId="47" priority="1" operator="lessThan">
      <formula>0</formula>
    </cfRule>
    <cfRule type="cellIs" dxfId="46" priority="2" operator="greaterThan">
      <formula>0</formula>
    </cfRule>
  </conditionalFormatting>
  <hyperlinks>
    <hyperlink ref="D1" location="CLIENTES!A1" display="volver" xr:uid="{00000000-0004-0000-2700-000000000000}"/>
  </hyperlinks>
  <pageMargins left="0.7" right="0.7" top="0.75" bottom="0.75" header="0" footer="0"/>
  <pageSetup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1003"/>
  <sheetViews>
    <sheetView workbookViewId="0">
      <selection activeCell="D1" sqref="D1"/>
    </sheetView>
  </sheetViews>
  <sheetFormatPr baseColWidth="10" defaultColWidth="14.42578125" defaultRowHeight="15" customHeight="1" x14ac:dyDescent="0.25"/>
  <cols>
    <col min="1" max="1" width="15.7109375" style="31" customWidth="1"/>
    <col min="2" max="2" width="20.28515625" style="33" customWidth="1"/>
    <col min="3" max="3" width="15.7109375" style="33" customWidth="1"/>
    <col min="4" max="4" width="17" customWidth="1"/>
    <col min="5" max="7" width="15.7109375" customWidth="1"/>
    <col min="8" max="26" width="10.7109375" customWidth="1"/>
  </cols>
  <sheetData>
    <row r="1" spans="1:7" ht="18.75" x14ac:dyDescent="0.3">
      <c r="A1" s="12" t="s">
        <v>33</v>
      </c>
      <c r="B1"/>
      <c r="C1"/>
      <c r="D1" s="101" t="s">
        <v>52</v>
      </c>
    </row>
    <row r="2" spans="1:7" s="37" customFormat="1" ht="18.75" customHeight="1" x14ac:dyDescent="0.25">
      <c r="A2" s="37" t="s">
        <v>53</v>
      </c>
      <c r="B2" s="38" t="s">
        <v>54</v>
      </c>
      <c r="C2" s="38" t="s">
        <v>55</v>
      </c>
      <c r="D2" s="37" t="s">
        <v>56</v>
      </c>
      <c r="E2" s="37" t="s">
        <v>57</v>
      </c>
      <c r="F2" s="39" t="s">
        <v>58</v>
      </c>
      <c r="G2" s="40">
        <f>SUM(C3:C1048576) - SUM(B3:B1048576)</f>
        <v>0</v>
      </c>
    </row>
    <row r="3" spans="1:7" ht="15" customHeight="1" x14ac:dyDescent="0.25">
      <c r="A3"/>
      <c r="B3"/>
      <c r="C3"/>
    </row>
    <row r="4" spans="1:7" ht="15" customHeight="1" x14ac:dyDescent="0.25">
      <c r="A4" s="31">
        <v>45382</v>
      </c>
      <c r="B4" s="33">
        <v>967970</v>
      </c>
    </row>
    <row r="5" spans="1:7" ht="15" customHeight="1" x14ac:dyDescent="0.25">
      <c r="A5" s="31">
        <v>45412</v>
      </c>
      <c r="B5" s="33">
        <v>457983</v>
      </c>
    </row>
    <row r="6" spans="1:7" ht="15" customHeight="1" x14ac:dyDescent="0.25">
      <c r="A6" s="31">
        <v>45443</v>
      </c>
      <c r="B6" s="33">
        <v>321064</v>
      </c>
    </row>
    <row r="7" spans="1:7" ht="15" customHeight="1" x14ac:dyDescent="0.25">
      <c r="A7" s="31">
        <v>45473</v>
      </c>
      <c r="B7" s="33">
        <v>338412</v>
      </c>
    </row>
    <row r="8" spans="1:7" ht="15" customHeight="1" x14ac:dyDescent="0.25">
      <c r="A8" s="31">
        <v>45488</v>
      </c>
      <c r="C8" s="33">
        <v>2085429</v>
      </c>
      <c r="E8" s="55"/>
    </row>
    <row r="9" spans="1:7" ht="15" customHeight="1" x14ac:dyDescent="0.25">
      <c r="A9" s="31">
        <v>45504</v>
      </c>
      <c r="B9" s="33">
        <v>1084961</v>
      </c>
    </row>
    <row r="10" spans="1:7" ht="15" customHeight="1" x14ac:dyDescent="0.25">
      <c r="A10" s="31">
        <v>45535</v>
      </c>
      <c r="B10" s="33">
        <v>485991</v>
      </c>
    </row>
    <row r="11" spans="1:7" ht="15" customHeight="1" x14ac:dyDescent="0.25">
      <c r="A11" s="31">
        <v>45565</v>
      </c>
      <c r="B11" s="33">
        <v>544829</v>
      </c>
    </row>
    <row r="12" spans="1:7" ht="15" customHeight="1" x14ac:dyDescent="0.25">
      <c r="A12" s="31">
        <v>45596</v>
      </c>
      <c r="B12" s="33">
        <v>576532</v>
      </c>
    </row>
    <row r="13" spans="1:7" ht="15" customHeight="1" x14ac:dyDescent="0.25">
      <c r="A13" s="31">
        <v>45626</v>
      </c>
      <c r="B13" s="33">
        <v>492644</v>
      </c>
    </row>
    <row r="14" spans="1:7" ht="15" customHeight="1" x14ac:dyDescent="0.25">
      <c r="A14" s="31">
        <v>45637</v>
      </c>
      <c r="C14" s="33">
        <v>2115781</v>
      </c>
    </row>
    <row r="15" spans="1:7" ht="15" customHeight="1" x14ac:dyDescent="0.25">
      <c r="A15" s="31">
        <v>45657</v>
      </c>
      <c r="B15" s="33">
        <v>525816</v>
      </c>
    </row>
    <row r="16" spans="1:7" ht="15" customHeight="1" x14ac:dyDescent="0.25">
      <c r="A16" s="31">
        <v>45688</v>
      </c>
      <c r="B16" s="33">
        <v>1980389</v>
      </c>
    </row>
    <row r="17" spans="1:3" ht="15" customHeight="1" x14ac:dyDescent="0.25">
      <c r="A17" s="31">
        <v>45705</v>
      </c>
      <c r="C17" s="33">
        <v>1594992</v>
      </c>
    </row>
    <row r="18" spans="1:3" ht="15" customHeight="1" x14ac:dyDescent="0.25">
      <c r="A18" s="31">
        <v>45716</v>
      </c>
      <c r="B18" s="33">
        <v>1803334</v>
      </c>
    </row>
    <row r="19" spans="1:3" ht="15" customHeight="1" x14ac:dyDescent="0.25">
      <c r="A19" s="31">
        <v>45747</v>
      </c>
      <c r="B19" s="33">
        <v>1156945</v>
      </c>
    </row>
    <row r="20" spans="1:3" ht="15" customHeight="1" x14ac:dyDescent="0.25">
      <c r="A20" s="31">
        <v>45755</v>
      </c>
      <c r="C20" s="33">
        <v>3783723</v>
      </c>
    </row>
    <row r="21" spans="1:3" ht="15" customHeight="1" x14ac:dyDescent="0.25">
      <c r="A21" s="31">
        <v>45777</v>
      </c>
      <c r="B21" s="33">
        <v>604624</v>
      </c>
    </row>
    <row r="22" spans="1:3" ht="15" customHeight="1" x14ac:dyDescent="0.25">
      <c r="A22" s="31">
        <v>45807</v>
      </c>
      <c r="B22" s="33">
        <v>322515</v>
      </c>
    </row>
    <row r="23" spans="1:3" ht="15" customHeight="1" x14ac:dyDescent="0.25">
      <c r="A23" s="31">
        <v>45838</v>
      </c>
      <c r="B23" s="33">
        <v>601772</v>
      </c>
    </row>
    <row r="24" spans="1:3" ht="15.75" customHeight="1" x14ac:dyDescent="0.25">
      <c r="A24" s="31">
        <v>45846</v>
      </c>
      <c r="C24" s="33">
        <v>2084086</v>
      </c>
    </row>
    <row r="25" spans="1:3" ht="15.75" customHeight="1" x14ac:dyDescent="0.25">
      <c r="A25" s="31">
        <v>45869</v>
      </c>
      <c r="B25" s="33">
        <v>1791015</v>
      </c>
    </row>
    <row r="26" spans="1:3" ht="15.75" customHeight="1" x14ac:dyDescent="0.25">
      <c r="A26" s="31">
        <v>45900</v>
      </c>
      <c r="B26" s="33">
        <v>896098</v>
      </c>
    </row>
    <row r="27" spans="1:3" ht="15.75" customHeight="1" x14ac:dyDescent="0.25">
      <c r="A27" s="31">
        <v>45902</v>
      </c>
      <c r="C27" s="33">
        <v>2392787</v>
      </c>
    </row>
    <row r="28" spans="1:3" ht="15.75" customHeight="1" x14ac:dyDescent="0.25">
      <c r="A28" s="31">
        <v>45930</v>
      </c>
      <c r="B28" s="33">
        <v>940860</v>
      </c>
    </row>
    <row r="29" spans="1:3" ht="15.75" customHeight="1" x14ac:dyDescent="0.25">
      <c r="A29" s="31">
        <v>45961</v>
      </c>
      <c r="B29" s="33">
        <v>728835</v>
      </c>
    </row>
    <row r="30" spans="1:3" ht="15.75" customHeight="1" x14ac:dyDescent="0.25">
      <c r="A30" s="31">
        <v>45973</v>
      </c>
      <c r="C30" s="33">
        <v>896098</v>
      </c>
    </row>
    <row r="31" spans="1:3" ht="15.75" customHeight="1" x14ac:dyDescent="0.25">
      <c r="A31" s="31">
        <v>45991</v>
      </c>
      <c r="B31" s="33">
        <v>669042</v>
      </c>
    </row>
    <row r="32" spans="1:3" ht="15.75" customHeight="1" x14ac:dyDescent="0.25">
      <c r="A32" s="31">
        <v>46002</v>
      </c>
      <c r="C32" s="33">
        <v>940860</v>
      </c>
    </row>
    <row r="33" spans="1:3" ht="15.75" customHeight="1" x14ac:dyDescent="0.25">
      <c r="A33" s="31">
        <v>46022</v>
      </c>
      <c r="B33" s="33">
        <v>939852</v>
      </c>
    </row>
    <row r="34" spans="1:3" ht="15.75" customHeight="1" x14ac:dyDescent="0.25">
      <c r="A34" s="31">
        <v>46031</v>
      </c>
      <c r="C34" s="33">
        <v>1397877</v>
      </c>
    </row>
    <row r="35" spans="1:3" ht="15.75" customHeight="1" x14ac:dyDescent="0.25">
      <c r="A35" s="31">
        <v>46053</v>
      </c>
      <c r="B35" s="33">
        <v>2374511</v>
      </c>
    </row>
    <row r="36" spans="1:3" ht="15.75" customHeight="1" x14ac:dyDescent="0.25">
      <c r="A36" s="31">
        <v>46070</v>
      </c>
      <c r="C36" s="33">
        <v>939852</v>
      </c>
    </row>
    <row r="37" spans="1:3" ht="15.75" customHeight="1" x14ac:dyDescent="0.25">
      <c r="A37" s="31">
        <v>46077</v>
      </c>
      <c r="C37" s="33">
        <v>2374509</v>
      </c>
    </row>
    <row r="38" spans="1:3" ht="15.75" customHeight="1" x14ac:dyDescent="0.25">
      <c r="A38" s="31">
        <v>46081</v>
      </c>
      <c r="B38" s="33">
        <v>2478304</v>
      </c>
    </row>
    <row r="39" spans="1:3" ht="15.75" customHeight="1" x14ac:dyDescent="0.25">
      <c r="A39" s="31">
        <v>46098</v>
      </c>
      <c r="C39" s="33">
        <v>2478304</v>
      </c>
    </row>
    <row r="40" spans="1:3" ht="15.75" customHeight="1" x14ac:dyDescent="0.25"/>
    <row r="41" spans="1:3" ht="15.75" customHeight="1" x14ac:dyDescent="0.25"/>
    <row r="42" spans="1:3" ht="15.75" customHeight="1" x14ac:dyDescent="0.25"/>
    <row r="43" spans="1:3" ht="15.75" customHeight="1" x14ac:dyDescent="0.25"/>
    <row r="44" spans="1:3" ht="15.75" customHeight="1" x14ac:dyDescent="0.25"/>
    <row r="45" spans="1:3" ht="15.75" customHeight="1" x14ac:dyDescent="0.25"/>
    <row r="46" spans="1:3" ht="15.75" customHeight="1" x14ac:dyDescent="0.25"/>
    <row r="47" spans="1:3" ht="15.75" customHeight="1" x14ac:dyDescent="0.25"/>
    <row r="48" spans="1: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conditionalFormatting sqref="G2">
    <cfRule type="cellIs" dxfId="45" priority="1" operator="lessThan">
      <formula>0</formula>
    </cfRule>
    <cfRule type="cellIs" dxfId="44" priority="2" operator="greaterThan">
      <formula>0</formula>
    </cfRule>
  </conditionalFormatting>
  <hyperlinks>
    <hyperlink ref="D1" location="CLIENTES!A1" display="volver" xr:uid="{00000000-0004-0000-2800-000000000000}"/>
  </hyperlinks>
  <pageMargins left="0.7" right="0.7" top="0.75" bottom="0.75" header="0" footer="0"/>
  <pageSetup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1001"/>
  <sheetViews>
    <sheetView workbookViewId="0">
      <selection activeCell="D1" sqref="D1"/>
    </sheetView>
  </sheetViews>
  <sheetFormatPr baseColWidth="10" defaultColWidth="14.42578125" defaultRowHeight="15" customHeight="1" x14ac:dyDescent="0.25"/>
  <cols>
    <col min="1" max="1" width="15.42578125" customWidth="1"/>
    <col min="2" max="2" width="20.42578125" style="33" customWidth="1"/>
    <col min="3" max="3" width="15.42578125" style="33" customWidth="1"/>
    <col min="4" max="4" width="16.42578125" customWidth="1"/>
    <col min="5" max="7" width="15.42578125" customWidth="1"/>
    <col min="8" max="26" width="10.7109375" customWidth="1"/>
  </cols>
  <sheetData>
    <row r="1" spans="1:7" ht="18.75" x14ac:dyDescent="0.3">
      <c r="A1" s="12" t="s">
        <v>213</v>
      </c>
      <c r="B1"/>
      <c r="C1"/>
      <c r="D1" s="101" t="s">
        <v>52</v>
      </c>
    </row>
    <row r="2" spans="1:7" s="37" customFormat="1" ht="18.75" customHeight="1" x14ac:dyDescent="0.25">
      <c r="A2" s="37" t="s">
        <v>53</v>
      </c>
      <c r="B2" s="38" t="s">
        <v>54</v>
      </c>
      <c r="C2" s="38" t="s">
        <v>55</v>
      </c>
      <c r="D2" s="37" t="s">
        <v>56</v>
      </c>
      <c r="E2" s="37" t="s">
        <v>57</v>
      </c>
      <c r="F2" s="39" t="s">
        <v>58</v>
      </c>
      <c r="G2" s="40">
        <f>SUM(C3:C1048576) - SUM(B3:B1048576)</f>
        <v>-4349719</v>
      </c>
    </row>
    <row r="3" spans="1:7" ht="15" customHeight="1" x14ac:dyDescent="0.25">
      <c r="A3" s="31">
        <v>45991</v>
      </c>
      <c r="B3" s="33">
        <v>1952754</v>
      </c>
    </row>
    <row r="4" spans="1:7" ht="15" customHeight="1" x14ac:dyDescent="0.25">
      <c r="A4" s="31">
        <v>45992</v>
      </c>
      <c r="C4" s="33">
        <v>1000000</v>
      </c>
    </row>
    <row r="5" spans="1:7" ht="15" customHeight="1" x14ac:dyDescent="0.25">
      <c r="A5" s="31">
        <v>46022</v>
      </c>
      <c r="B5" s="33">
        <v>826000</v>
      </c>
    </row>
    <row r="6" spans="1:7" ht="15" customHeight="1" x14ac:dyDescent="0.25">
      <c r="A6" s="31">
        <v>46053</v>
      </c>
      <c r="B6" s="33">
        <v>1689963</v>
      </c>
    </row>
    <row r="7" spans="1:7" ht="15" customHeight="1" x14ac:dyDescent="0.25">
      <c r="A7" s="31">
        <v>46080</v>
      </c>
      <c r="C7" s="33">
        <v>1000000</v>
      </c>
    </row>
    <row r="8" spans="1:7" ht="15" customHeight="1" x14ac:dyDescent="0.25">
      <c r="A8" s="31">
        <v>46081</v>
      </c>
      <c r="B8" s="33">
        <v>1881002</v>
      </c>
    </row>
    <row r="9" spans="1:7" ht="15" customHeight="1" x14ac:dyDescent="0.25">
      <c r="A9" s="31"/>
    </row>
    <row r="10" spans="1:7" ht="15" customHeight="1" x14ac:dyDescent="0.25">
      <c r="A10" s="31"/>
    </row>
    <row r="11" spans="1:7" ht="15" customHeight="1" x14ac:dyDescent="0.25">
      <c r="A11" s="31"/>
    </row>
    <row r="12" spans="1:7" ht="15" customHeight="1" x14ac:dyDescent="0.25">
      <c r="A12" s="31"/>
    </row>
    <row r="13" spans="1:7" ht="15" customHeight="1" x14ac:dyDescent="0.25">
      <c r="A13" s="31"/>
    </row>
    <row r="14" spans="1:7" ht="15" customHeight="1" x14ac:dyDescent="0.25">
      <c r="A14" s="31"/>
    </row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conditionalFormatting sqref="G2">
    <cfRule type="cellIs" dxfId="43" priority="1" operator="lessThan">
      <formula>0</formula>
    </cfRule>
    <cfRule type="cellIs" dxfId="42" priority="2" operator="greaterThan">
      <formula>0</formula>
    </cfRule>
  </conditionalFormatting>
  <hyperlinks>
    <hyperlink ref="D1" location="CLIENTES!A1" display="volver" xr:uid="{00000000-0004-0000-2900-000000000000}"/>
  </hyperlinks>
  <pageMargins left="0.7" right="0.7" top="0.75" bottom="0.75" header="0" footer="0"/>
  <pageSetup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1002"/>
  <sheetViews>
    <sheetView workbookViewId="0">
      <pane ySplit="1" topLeftCell="A2" activePane="bottomLeft" state="frozen"/>
      <selection pane="bottomLeft" activeCell="D1" sqref="D1"/>
    </sheetView>
  </sheetViews>
  <sheetFormatPr baseColWidth="10" defaultColWidth="14.42578125" defaultRowHeight="15" customHeight="1" x14ac:dyDescent="0.25"/>
  <cols>
    <col min="1" max="1" width="14.5703125" customWidth="1"/>
    <col min="2" max="2" width="19.42578125" style="33" customWidth="1"/>
    <col min="3" max="3" width="14.5703125" style="33" customWidth="1"/>
    <col min="4" max="4" width="17" customWidth="1"/>
    <col min="5" max="7" width="14.5703125" customWidth="1"/>
    <col min="8" max="26" width="10.7109375" customWidth="1"/>
  </cols>
  <sheetData>
    <row r="1" spans="1:7" ht="18.75" x14ac:dyDescent="0.3">
      <c r="A1" s="12" t="s">
        <v>34</v>
      </c>
      <c r="B1"/>
      <c r="C1"/>
      <c r="D1" s="101" t="s">
        <v>52</v>
      </c>
    </row>
    <row r="2" spans="1:7" s="37" customFormat="1" ht="20.25" customHeight="1" x14ac:dyDescent="0.25">
      <c r="A2" s="37" t="s">
        <v>53</v>
      </c>
      <c r="B2" s="38" t="s">
        <v>54</v>
      </c>
      <c r="C2" s="38" t="s">
        <v>55</v>
      </c>
      <c r="D2" s="37" t="s">
        <v>56</v>
      </c>
      <c r="E2" s="37" t="s">
        <v>57</v>
      </c>
      <c r="F2" s="39" t="s">
        <v>58</v>
      </c>
      <c r="G2" s="40">
        <f>SUM(C3:C1048576) - SUM(B3:B1048576)</f>
        <v>0</v>
      </c>
    </row>
    <row r="4" spans="1:7" ht="15" customHeight="1" x14ac:dyDescent="0.25">
      <c r="A4" s="31">
        <v>45473</v>
      </c>
      <c r="B4" s="33">
        <v>1857882</v>
      </c>
    </row>
    <row r="5" spans="1:7" ht="15" customHeight="1" x14ac:dyDescent="0.25">
      <c r="A5" s="31"/>
      <c r="C5" s="33">
        <v>1857882</v>
      </c>
    </row>
    <row r="6" spans="1:7" ht="15" customHeight="1" x14ac:dyDescent="0.25">
      <c r="A6" s="31">
        <v>45504</v>
      </c>
      <c r="B6" s="33">
        <v>3467986</v>
      </c>
    </row>
    <row r="7" spans="1:7" ht="15" customHeight="1" x14ac:dyDescent="0.25">
      <c r="A7" s="31">
        <v>45526</v>
      </c>
      <c r="C7" s="33">
        <v>3467986</v>
      </c>
    </row>
    <row r="8" spans="1:7" ht="15" customHeight="1" x14ac:dyDescent="0.25">
      <c r="A8" s="31">
        <v>45535</v>
      </c>
      <c r="B8" s="33">
        <v>889259</v>
      </c>
    </row>
    <row r="9" spans="1:7" ht="15" customHeight="1" x14ac:dyDescent="0.25">
      <c r="A9" s="31">
        <v>45552</v>
      </c>
      <c r="C9" s="33">
        <v>889259</v>
      </c>
    </row>
    <row r="10" spans="1:7" ht="15" customHeight="1" x14ac:dyDescent="0.25">
      <c r="A10" s="31">
        <v>45565</v>
      </c>
      <c r="B10" s="33">
        <v>1761518</v>
      </c>
    </row>
    <row r="11" spans="1:7" ht="15" customHeight="1" x14ac:dyDescent="0.25">
      <c r="A11" s="31">
        <v>45585</v>
      </c>
      <c r="C11" s="33">
        <v>1761518</v>
      </c>
    </row>
    <row r="12" spans="1:7" ht="15" customHeight="1" x14ac:dyDescent="0.25">
      <c r="A12" s="31">
        <v>45596</v>
      </c>
      <c r="B12" s="33">
        <v>1599888</v>
      </c>
    </row>
    <row r="13" spans="1:7" ht="15" customHeight="1" x14ac:dyDescent="0.25">
      <c r="A13" s="31">
        <v>45621</v>
      </c>
      <c r="C13" s="33">
        <v>1599888</v>
      </c>
    </row>
    <row r="14" spans="1:7" ht="15" customHeight="1" x14ac:dyDescent="0.25">
      <c r="A14" s="31">
        <v>45626</v>
      </c>
      <c r="B14" s="33">
        <v>1978379</v>
      </c>
    </row>
    <row r="15" spans="1:7" ht="15" customHeight="1" x14ac:dyDescent="0.25">
      <c r="A15" s="31">
        <v>45643</v>
      </c>
      <c r="C15" s="33">
        <v>1978379</v>
      </c>
    </row>
    <row r="16" spans="1:7" ht="15" customHeight="1" x14ac:dyDescent="0.25">
      <c r="A16" s="31">
        <v>45657</v>
      </c>
      <c r="B16" s="33">
        <v>2706797</v>
      </c>
    </row>
    <row r="17" spans="1:4" ht="15" customHeight="1" x14ac:dyDescent="0.25">
      <c r="A17" s="31">
        <v>45672</v>
      </c>
      <c r="C17" s="33">
        <v>2706797</v>
      </c>
    </row>
    <row r="18" spans="1:4" ht="15" customHeight="1" x14ac:dyDescent="0.25">
      <c r="A18" s="31">
        <v>45688</v>
      </c>
      <c r="B18" s="33">
        <v>4374775</v>
      </c>
    </row>
    <row r="19" spans="1:4" ht="15" customHeight="1" x14ac:dyDescent="0.25">
      <c r="A19" s="31">
        <v>45716</v>
      </c>
      <c r="B19" s="33">
        <v>3759192</v>
      </c>
    </row>
    <row r="20" spans="1:4" ht="15" customHeight="1" x14ac:dyDescent="0.25">
      <c r="A20" s="31">
        <v>45737</v>
      </c>
      <c r="C20" s="33">
        <v>8133967</v>
      </c>
    </row>
    <row r="21" spans="1:4" ht="15" customHeight="1" x14ac:dyDescent="0.25">
      <c r="A21" s="31">
        <v>45747</v>
      </c>
      <c r="B21" s="33">
        <v>3080691</v>
      </c>
    </row>
    <row r="22" spans="1:4" ht="15" customHeight="1" x14ac:dyDescent="0.25">
      <c r="A22" s="31">
        <v>45762</v>
      </c>
      <c r="C22" s="33">
        <v>3080691</v>
      </c>
    </row>
    <row r="23" spans="1:4" ht="15.75" customHeight="1" x14ac:dyDescent="0.25">
      <c r="A23" s="31">
        <v>45777</v>
      </c>
      <c r="B23" s="33">
        <v>2694753</v>
      </c>
    </row>
    <row r="24" spans="1:4" ht="15.75" customHeight="1" x14ac:dyDescent="0.25">
      <c r="A24" s="31">
        <v>45438</v>
      </c>
      <c r="C24" s="33">
        <v>2694753</v>
      </c>
    </row>
    <row r="25" spans="1:4" ht="15.75" customHeight="1" x14ac:dyDescent="0.25">
      <c r="A25" s="31">
        <v>45807</v>
      </c>
      <c r="B25" s="33">
        <v>1933124</v>
      </c>
    </row>
    <row r="26" spans="1:4" ht="15.75" customHeight="1" x14ac:dyDescent="0.25">
      <c r="A26" s="31">
        <v>45823</v>
      </c>
      <c r="C26" s="33">
        <v>1933124</v>
      </c>
    </row>
    <row r="27" spans="1:4" ht="15.75" customHeight="1" x14ac:dyDescent="0.25">
      <c r="A27" s="31">
        <v>45838</v>
      </c>
      <c r="B27" s="33">
        <v>2322217</v>
      </c>
    </row>
    <row r="28" spans="1:4" ht="15.75" customHeight="1" x14ac:dyDescent="0.25">
      <c r="A28" s="31">
        <v>45848</v>
      </c>
      <c r="C28" s="33">
        <v>2322217</v>
      </c>
    </row>
    <row r="29" spans="1:4" ht="15.75" customHeight="1" x14ac:dyDescent="0.25">
      <c r="A29" s="31">
        <v>45869</v>
      </c>
      <c r="B29" s="33">
        <v>4089008</v>
      </c>
    </row>
    <row r="30" spans="1:4" ht="15.75" customHeight="1" x14ac:dyDescent="0.25">
      <c r="A30" s="31">
        <v>45873</v>
      </c>
      <c r="C30" s="33">
        <v>61339</v>
      </c>
      <c r="D30" t="s">
        <v>183</v>
      </c>
    </row>
    <row r="31" spans="1:4" ht="15.75" customHeight="1" x14ac:dyDescent="0.25">
      <c r="A31" s="31">
        <v>45888</v>
      </c>
      <c r="C31" s="33">
        <v>4027669</v>
      </c>
    </row>
    <row r="32" spans="1:4" ht="15.75" customHeight="1" x14ac:dyDescent="0.25">
      <c r="A32" s="31">
        <v>45900</v>
      </c>
      <c r="B32" s="33">
        <v>2700903</v>
      </c>
    </row>
    <row r="33" spans="1:3" ht="15.75" customHeight="1" x14ac:dyDescent="0.25">
      <c r="A33" s="31">
        <v>45919</v>
      </c>
      <c r="C33" s="33">
        <v>2700903</v>
      </c>
    </row>
    <row r="34" spans="1:3" ht="15.75" customHeight="1" x14ac:dyDescent="0.25">
      <c r="A34" s="31">
        <v>45930</v>
      </c>
      <c r="B34" s="33">
        <v>2822160</v>
      </c>
    </row>
    <row r="35" spans="1:3" ht="15.75" customHeight="1" x14ac:dyDescent="0.25">
      <c r="A35" s="31">
        <v>45947</v>
      </c>
      <c r="C35" s="33">
        <v>2822160</v>
      </c>
    </row>
    <row r="36" spans="1:3" ht="15.75" customHeight="1" x14ac:dyDescent="0.25">
      <c r="A36" s="31">
        <v>45961</v>
      </c>
      <c r="B36" s="33">
        <v>3044172</v>
      </c>
    </row>
    <row r="37" spans="1:3" ht="15.75" customHeight="1" x14ac:dyDescent="0.25">
      <c r="A37" s="31">
        <v>45981</v>
      </c>
      <c r="C37" s="33">
        <v>3044172</v>
      </c>
    </row>
    <row r="38" spans="1:3" ht="15.75" customHeight="1" x14ac:dyDescent="0.25">
      <c r="A38" s="31">
        <v>45991</v>
      </c>
      <c r="B38" s="33">
        <v>3854207</v>
      </c>
    </row>
    <row r="39" spans="1:3" ht="15.75" customHeight="1" x14ac:dyDescent="0.25">
      <c r="A39" s="31">
        <v>46010</v>
      </c>
      <c r="C39" s="33">
        <v>3854207</v>
      </c>
    </row>
    <row r="40" spans="1:3" ht="15.75" customHeight="1" x14ac:dyDescent="0.25">
      <c r="A40" s="31">
        <v>46022</v>
      </c>
      <c r="B40" s="33">
        <v>3906463</v>
      </c>
    </row>
    <row r="41" spans="1:3" ht="15.75" customHeight="1" x14ac:dyDescent="0.25">
      <c r="A41" s="31">
        <v>46037</v>
      </c>
      <c r="C41" s="33">
        <v>3906463</v>
      </c>
    </row>
    <row r="42" spans="1:3" ht="15.75" customHeight="1" x14ac:dyDescent="0.25">
      <c r="A42" s="31">
        <v>46053</v>
      </c>
      <c r="B42" s="33">
        <v>5822034</v>
      </c>
    </row>
    <row r="43" spans="1:3" ht="15.75" customHeight="1" x14ac:dyDescent="0.25">
      <c r="A43" s="31">
        <v>46077</v>
      </c>
      <c r="C43" s="33">
        <v>5822034</v>
      </c>
    </row>
    <row r="44" spans="1:3" ht="15.75" customHeight="1" x14ac:dyDescent="0.25">
      <c r="A44" s="31">
        <v>46081</v>
      </c>
      <c r="B44" s="33">
        <v>5694085</v>
      </c>
    </row>
    <row r="45" spans="1:3" ht="15.75" customHeight="1" x14ac:dyDescent="0.25">
      <c r="A45" s="31">
        <v>46101</v>
      </c>
      <c r="C45" s="33">
        <v>5694085</v>
      </c>
    </row>
    <row r="46" spans="1:3" ht="15.75" customHeight="1" x14ac:dyDescent="0.25"/>
    <row r="47" spans="1:3" ht="15.75" customHeight="1" x14ac:dyDescent="0.25"/>
    <row r="48" spans="1: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conditionalFormatting sqref="G2">
    <cfRule type="cellIs" dxfId="41" priority="1" operator="lessThan">
      <formula>0</formula>
    </cfRule>
    <cfRule type="cellIs" dxfId="40" priority="2" operator="greaterThan">
      <formula>0</formula>
    </cfRule>
  </conditionalFormatting>
  <hyperlinks>
    <hyperlink ref="D1" location="CLIENTES!A1" display="volver" xr:uid="{00000000-0004-0000-2A00-000000000000}"/>
  </hyperlinks>
  <pageMargins left="0.7" right="0.7" top="0.75" bottom="0.75" header="0" footer="0"/>
  <pageSetup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1002"/>
  <sheetViews>
    <sheetView workbookViewId="0">
      <selection activeCell="D1" sqref="D1"/>
    </sheetView>
  </sheetViews>
  <sheetFormatPr baseColWidth="10" defaultColWidth="14.42578125" defaultRowHeight="15" customHeight="1" x14ac:dyDescent="0.25"/>
  <cols>
    <col min="1" max="1" width="14.42578125" customWidth="1"/>
    <col min="2" max="2" width="20" style="33" customWidth="1"/>
    <col min="3" max="3" width="14.42578125" style="33" customWidth="1"/>
    <col min="4" max="4" width="16.7109375" customWidth="1"/>
    <col min="5" max="7" width="14.42578125" customWidth="1"/>
    <col min="8" max="26" width="10.7109375" customWidth="1"/>
  </cols>
  <sheetData>
    <row r="1" spans="1:7" ht="18.75" x14ac:dyDescent="0.3">
      <c r="A1" s="12" t="s">
        <v>35</v>
      </c>
      <c r="B1"/>
      <c r="C1"/>
      <c r="D1" s="101" t="s">
        <v>52</v>
      </c>
    </row>
    <row r="2" spans="1:7" s="37" customFormat="1" ht="21" customHeight="1" x14ac:dyDescent="0.25">
      <c r="A2" s="37" t="s">
        <v>53</v>
      </c>
      <c r="B2" s="38" t="s">
        <v>54</v>
      </c>
      <c r="C2" s="38" t="s">
        <v>55</v>
      </c>
      <c r="D2" s="37" t="s">
        <v>56</v>
      </c>
      <c r="E2" s="37" t="s">
        <v>57</v>
      </c>
      <c r="F2" s="39" t="s">
        <v>58</v>
      </c>
      <c r="G2" s="40">
        <f>SUM(C3:C1048576) - SUM(B3:B1048576)</f>
        <v>0</v>
      </c>
    </row>
    <row r="4" spans="1:7" ht="15" customHeight="1" x14ac:dyDescent="0.25">
      <c r="A4" s="31">
        <v>45473</v>
      </c>
      <c r="B4" s="33">
        <v>162862</v>
      </c>
    </row>
    <row r="5" spans="1:7" ht="15" customHeight="1" x14ac:dyDescent="0.25">
      <c r="A5" s="31">
        <v>45488</v>
      </c>
      <c r="C5" s="33">
        <v>162862</v>
      </c>
    </row>
    <row r="6" spans="1:7" ht="15" customHeight="1" x14ac:dyDescent="0.25">
      <c r="A6" s="31">
        <v>45504</v>
      </c>
      <c r="B6" s="33">
        <v>280713</v>
      </c>
    </row>
    <row r="7" spans="1:7" ht="15" customHeight="1" x14ac:dyDescent="0.25">
      <c r="A7" s="31">
        <v>45526</v>
      </c>
      <c r="C7" s="33">
        <v>280713</v>
      </c>
    </row>
    <row r="8" spans="1:7" ht="15" customHeight="1" x14ac:dyDescent="0.25">
      <c r="A8" s="31">
        <v>45535</v>
      </c>
      <c r="B8" s="33">
        <v>49871</v>
      </c>
    </row>
    <row r="9" spans="1:7" ht="15" customHeight="1" x14ac:dyDescent="0.25">
      <c r="A9" s="31">
        <v>45552</v>
      </c>
      <c r="C9" s="33">
        <v>49871</v>
      </c>
    </row>
    <row r="10" spans="1:7" ht="15" customHeight="1" x14ac:dyDescent="0.25">
      <c r="A10" s="31">
        <v>45565</v>
      </c>
      <c r="B10" s="33">
        <v>147902</v>
      </c>
    </row>
    <row r="11" spans="1:7" ht="15" customHeight="1" x14ac:dyDescent="0.25">
      <c r="A11" s="31">
        <v>45585</v>
      </c>
      <c r="C11" s="33">
        <v>147902</v>
      </c>
    </row>
    <row r="12" spans="1:7" ht="15" customHeight="1" x14ac:dyDescent="0.25">
      <c r="A12" s="31">
        <v>45596</v>
      </c>
      <c r="B12" s="33">
        <v>139647</v>
      </c>
    </row>
    <row r="13" spans="1:7" ht="15" customHeight="1" x14ac:dyDescent="0.25">
      <c r="A13" s="31">
        <v>45621</v>
      </c>
      <c r="C13" s="33">
        <v>139647</v>
      </c>
    </row>
    <row r="14" spans="1:7" ht="15" customHeight="1" x14ac:dyDescent="0.25">
      <c r="A14" s="31">
        <v>45626</v>
      </c>
      <c r="B14" s="33">
        <v>124081</v>
      </c>
    </row>
    <row r="15" spans="1:7" ht="15" customHeight="1" x14ac:dyDescent="0.25">
      <c r="A15" s="31">
        <v>45643</v>
      </c>
      <c r="C15" s="33">
        <v>124081</v>
      </c>
    </row>
    <row r="16" spans="1:7" ht="15" customHeight="1" x14ac:dyDescent="0.25">
      <c r="A16" s="31">
        <v>45657</v>
      </c>
      <c r="B16" s="33">
        <v>213959</v>
      </c>
    </row>
    <row r="17" spans="1:3" ht="15" customHeight="1" x14ac:dyDescent="0.25">
      <c r="A17" s="31">
        <v>45672</v>
      </c>
      <c r="C17" s="33">
        <v>213959</v>
      </c>
    </row>
    <row r="18" spans="1:3" ht="15" customHeight="1" x14ac:dyDescent="0.25">
      <c r="A18" s="31">
        <v>45688</v>
      </c>
      <c r="B18" s="33">
        <v>309087</v>
      </c>
    </row>
    <row r="19" spans="1:3" ht="15" customHeight="1" x14ac:dyDescent="0.25">
      <c r="A19" s="31">
        <v>45716</v>
      </c>
      <c r="B19" s="33">
        <v>266146</v>
      </c>
    </row>
    <row r="20" spans="1:3" ht="15" customHeight="1" x14ac:dyDescent="0.25">
      <c r="A20" s="31">
        <v>45737</v>
      </c>
      <c r="C20" s="33">
        <v>575233</v>
      </c>
    </row>
    <row r="21" spans="1:3" ht="15" customHeight="1" x14ac:dyDescent="0.25">
      <c r="A21" s="31">
        <v>45747</v>
      </c>
      <c r="B21" s="33">
        <v>183964</v>
      </c>
    </row>
    <row r="22" spans="1:3" ht="15" customHeight="1" x14ac:dyDescent="0.25">
      <c r="A22" s="31">
        <v>45762</v>
      </c>
      <c r="C22" s="33">
        <v>183964</v>
      </c>
    </row>
    <row r="23" spans="1:3" ht="15.75" customHeight="1" x14ac:dyDescent="0.25">
      <c r="A23" s="31">
        <v>45777</v>
      </c>
      <c r="B23" s="33">
        <v>174380</v>
      </c>
    </row>
    <row r="24" spans="1:3" ht="15.75" customHeight="1" x14ac:dyDescent="0.25">
      <c r="A24" s="31">
        <v>45803</v>
      </c>
      <c r="C24" s="33">
        <v>174380</v>
      </c>
    </row>
    <row r="25" spans="1:3" ht="15.75" customHeight="1" x14ac:dyDescent="0.25">
      <c r="A25" s="31">
        <v>45807</v>
      </c>
      <c r="B25" s="33">
        <v>169251</v>
      </c>
    </row>
    <row r="26" spans="1:3" ht="15.75" customHeight="1" x14ac:dyDescent="0.25">
      <c r="A26" s="31">
        <v>45823</v>
      </c>
      <c r="C26" s="33">
        <v>169251</v>
      </c>
    </row>
    <row r="27" spans="1:3" ht="15.75" customHeight="1" x14ac:dyDescent="0.25">
      <c r="A27" s="31">
        <v>45838</v>
      </c>
      <c r="B27" s="33">
        <v>156304</v>
      </c>
    </row>
    <row r="28" spans="1:3" ht="15.75" customHeight="1" x14ac:dyDescent="0.25">
      <c r="A28" s="31">
        <v>45848</v>
      </c>
      <c r="C28" s="33">
        <v>156304</v>
      </c>
    </row>
    <row r="29" spans="1:3" ht="15.75" customHeight="1" x14ac:dyDescent="0.25">
      <c r="A29" s="107">
        <v>45869</v>
      </c>
      <c r="B29" s="33">
        <v>372719</v>
      </c>
    </row>
    <row r="30" spans="1:3" ht="15.75" customHeight="1" x14ac:dyDescent="0.25">
      <c r="A30" s="31">
        <v>45888</v>
      </c>
      <c r="C30" s="33">
        <v>372719</v>
      </c>
    </row>
    <row r="31" spans="1:3" ht="15.75" customHeight="1" x14ac:dyDescent="0.25">
      <c r="A31" s="31">
        <v>45900</v>
      </c>
      <c r="B31" s="33">
        <v>201294</v>
      </c>
    </row>
    <row r="32" spans="1:3" ht="15.75" customHeight="1" x14ac:dyDescent="0.25">
      <c r="A32" s="31">
        <v>45919</v>
      </c>
      <c r="C32" s="33">
        <v>201294</v>
      </c>
    </row>
    <row r="33" spans="1:3" ht="15.75" customHeight="1" x14ac:dyDescent="0.25">
      <c r="A33" s="31">
        <v>45930</v>
      </c>
      <c r="B33" s="33">
        <v>221182</v>
      </c>
    </row>
    <row r="34" spans="1:3" ht="15.75" customHeight="1" x14ac:dyDescent="0.25">
      <c r="A34" s="31">
        <v>45947</v>
      </c>
      <c r="C34" s="33">
        <v>221182</v>
      </c>
    </row>
    <row r="35" spans="1:3" ht="15.75" customHeight="1" x14ac:dyDescent="0.25">
      <c r="A35" s="31">
        <v>45961</v>
      </c>
      <c r="B35" s="33">
        <v>141840</v>
      </c>
    </row>
    <row r="36" spans="1:3" ht="15.75" customHeight="1" x14ac:dyDescent="0.25">
      <c r="A36" s="31">
        <v>45981</v>
      </c>
      <c r="C36" s="33">
        <v>141840</v>
      </c>
    </row>
    <row r="37" spans="1:3" ht="15.75" customHeight="1" x14ac:dyDescent="0.25">
      <c r="A37" s="31">
        <v>45991</v>
      </c>
      <c r="B37" s="33">
        <v>318541</v>
      </c>
    </row>
    <row r="38" spans="1:3" ht="15.75" customHeight="1" x14ac:dyDescent="0.25">
      <c r="A38" s="31">
        <v>46010</v>
      </c>
      <c r="C38" s="33">
        <v>318541</v>
      </c>
    </row>
    <row r="39" spans="1:3" ht="15.75" customHeight="1" x14ac:dyDescent="0.25">
      <c r="A39" s="31">
        <v>46022</v>
      </c>
      <c r="B39" s="33">
        <v>159144</v>
      </c>
    </row>
    <row r="40" spans="1:3" ht="15.75" customHeight="1" x14ac:dyDescent="0.25">
      <c r="A40" s="31">
        <v>46037</v>
      </c>
      <c r="C40" s="33">
        <v>159144</v>
      </c>
    </row>
    <row r="41" spans="1:3" ht="15.75" customHeight="1" x14ac:dyDescent="0.25">
      <c r="A41" s="31">
        <v>46053</v>
      </c>
      <c r="B41" s="33">
        <v>547382</v>
      </c>
    </row>
    <row r="42" spans="1:3" ht="15.75" customHeight="1" x14ac:dyDescent="0.25">
      <c r="A42" s="31">
        <v>46077</v>
      </c>
      <c r="C42" s="33">
        <v>547382</v>
      </c>
    </row>
    <row r="43" spans="1:3" ht="15.75" customHeight="1" x14ac:dyDescent="0.25">
      <c r="A43" s="31">
        <v>46081</v>
      </c>
      <c r="B43" s="33">
        <v>299346</v>
      </c>
    </row>
    <row r="44" spans="1:3" ht="15.75" customHeight="1" x14ac:dyDescent="0.25">
      <c r="A44" s="31">
        <v>46101</v>
      </c>
      <c r="C44" s="33">
        <v>299346</v>
      </c>
    </row>
    <row r="45" spans="1:3" ht="15.75" customHeight="1" x14ac:dyDescent="0.25"/>
    <row r="46" spans="1:3" ht="15.75" customHeight="1" x14ac:dyDescent="0.25"/>
    <row r="47" spans="1:3" ht="15.75" customHeight="1" x14ac:dyDescent="0.25"/>
    <row r="48" spans="1: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conditionalFormatting sqref="G2">
    <cfRule type="cellIs" dxfId="39" priority="1" operator="lessThan">
      <formula>0</formula>
    </cfRule>
    <cfRule type="cellIs" dxfId="38" priority="2" operator="greaterThan">
      <formula>0</formula>
    </cfRule>
  </conditionalFormatting>
  <hyperlinks>
    <hyperlink ref="D1" location="CLIENTES!A1" display="volver" xr:uid="{00000000-0004-0000-2B00-000000000000}"/>
  </hyperlinks>
  <pageMargins left="0.7" right="0.7" top="0.75" bottom="0.75" header="0" footer="0"/>
  <pageSetup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1001"/>
  <sheetViews>
    <sheetView workbookViewId="0">
      <selection activeCell="D1" sqref="D1"/>
    </sheetView>
  </sheetViews>
  <sheetFormatPr baseColWidth="10" defaultColWidth="14.42578125" defaultRowHeight="15" customHeight="1" x14ac:dyDescent="0.25"/>
  <cols>
    <col min="1" max="1" width="16.5703125" customWidth="1"/>
    <col min="2" max="2" width="20.140625" style="33" customWidth="1"/>
    <col min="3" max="3" width="16.5703125" style="33" customWidth="1"/>
    <col min="4" max="4" width="16.42578125" customWidth="1"/>
    <col min="5" max="7" width="16.5703125" customWidth="1"/>
    <col min="8" max="26" width="10.7109375" customWidth="1"/>
  </cols>
  <sheetData>
    <row r="1" spans="1:7" ht="18.75" x14ac:dyDescent="0.3">
      <c r="A1" s="12" t="s">
        <v>36</v>
      </c>
      <c r="B1"/>
      <c r="C1"/>
      <c r="D1" s="101" t="s">
        <v>52</v>
      </c>
    </row>
    <row r="2" spans="1:7" s="37" customFormat="1" ht="18" customHeight="1" x14ac:dyDescent="0.25">
      <c r="A2" s="37" t="s">
        <v>53</v>
      </c>
      <c r="B2" s="38" t="s">
        <v>54</v>
      </c>
      <c r="C2" s="38" t="s">
        <v>55</v>
      </c>
      <c r="D2" s="37" t="s">
        <v>56</v>
      </c>
      <c r="E2" s="37" t="s">
        <v>57</v>
      </c>
      <c r="F2" s="39" t="s">
        <v>58</v>
      </c>
      <c r="G2" s="40">
        <f>SUM(C3:C1048576) - SUM(B3:B1048576)</f>
        <v>0</v>
      </c>
    </row>
    <row r="4" spans="1:7" ht="15" customHeight="1" x14ac:dyDescent="0.25">
      <c r="A4" s="31">
        <v>45473</v>
      </c>
      <c r="B4" s="33">
        <v>2535689</v>
      </c>
    </row>
    <row r="5" spans="1:7" ht="15" customHeight="1" x14ac:dyDescent="0.25">
      <c r="A5" s="31">
        <v>45488</v>
      </c>
      <c r="C5" s="33">
        <v>2535689</v>
      </c>
    </row>
    <row r="6" spans="1:7" ht="15" customHeight="1" x14ac:dyDescent="0.25">
      <c r="A6" s="31">
        <v>45504</v>
      </c>
      <c r="B6" s="33">
        <v>4117477</v>
      </c>
    </row>
    <row r="7" spans="1:7" ht="15" customHeight="1" x14ac:dyDescent="0.25">
      <c r="A7" s="31">
        <v>45526</v>
      </c>
      <c r="C7" s="33">
        <v>4117477</v>
      </c>
    </row>
    <row r="8" spans="1:7" ht="15" customHeight="1" x14ac:dyDescent="0.25">
      <c r="A8" s="31">
        <v>45535</v>
      </c>
      <c r="B8" s="33">
        <v>2815464</v>
      </c>
    </row>
    <row r="9" spans="1:7" ht="15" customHeight="1" x14ac:dyDescent="0.25">
      <c r="A9" s="31">
        <v>45552</v>
      </c>
      <c r="C9" s="33">
        <v>2815464</v>
      </c>
    </row>
    <row r="10" spans="1:7" ht="15" customHeight="1" x14ac:dyDescent="0.25">
      <c r="A10" s="31">
        <v>45565</v>
      </c>
      <c r="B10" s="33">
        <v>3612334</v>
      </c>
    </row>
    <row r="11" spans="1:7" ht="15" customHeight="1" x14ac:dyDescent="0.25">
      <c r="A11" s="31">
        <v>45585</v>
      </c>
      <c r="C11" s="33">
        <v>3612334</v>
      </c>
    </row>
    <row r="12" spans="1:7" ht="15" customHeight="1" x14ac:dyDescent="0.25">
      <c r="A12" s="31">
        <v>45596</v>
      </c>
      <c r="B12" s="33">
        <v>2893718</v>
      </c>
    </row>
    <row r="13" spans="1:7" ht="15" customHeight="1" x14ac:dyDescent="0.25">
      <c r="A13" s="31">
        <v>45621</v>
      </c>
      <c r="C13" s="33">
        <v>2893718</v>
      </c>
    </row>
    <row r="14" spans="1:7" ht="15" customHeight="1" x14ac:dyDescent="0.25">
      <c r="A14" s="31">
        <v>45626</v>
      </c>
      <c r="B14" s="33">
        <v>3022508</v>
      </c>
    </row>
    <row r="15" spans="1:7" ht="15" customHeight="1" x14ac:dyDescent="0.25">
      <c r="A15" s="31">
        <v>45643</v>
      </c>
      <c r="C15" s="33">
        <v>3022508</v>
      </c>
    </row>
    <row r="16" spans="1:7" ht="15" customHeight="1" x14ac:dyDescent="0.25">
      <c r="A16" s="31">
        <v>45657</v>
      </c>
      <c r="B16" s="33">
        <v>3468335</v>
      </c>
    </row>
    <row r="17" spans="1:4" ht="15" customHeight="1" x14ac:dyDescent="0.25">
      <c r="A17" s="31">
        <v>45672</v>
      </c>
      <c r="C17" s="33">
        <v>3468335</v>
      </c>
    </row>
    <row r="18" spans="1:4" ht="15" customHeight="1" x14ac:dyDescent="0.25">
      <c r="A18" s="31">
        <v>45688</v>
      </c>
      <c r="B18" s="33">
        <v>5211710</v>
      </c>
    </row>
    <row r="19" spans="1:4" ht="15" customHeight="1" x14ac:dyDescent="0.25">
      <c r="A19" s="31">
        <v>45716</v>
      </c>
      <c r="B19" s="33">
        <v>4364752</v>
      </c>
    </row>
    <row r="20" spans="1:4" ht="15" customHeight="1" x14ac:dyDescent="0.25">
      <c r="A20" s="31">
        <v>45737</v>
      </c>
      <c r="C20" s="33">
        <v>9576462</v>
      </c>
    </row>
    <row r="21" spans="1:4" ht="15" customHeight="1" x14ac:dyDescent="0.25">
      <c r="A21" s="31">
        <v>45747</v>
      </c>
      <c r="B21" s="33">
        <v>3494475</v>
      </c>
    </row>
    <row r="22" spans="1:4" ht="15.75" customHeight="1" x14ac:dyDescent="0.25">
      <c r="A22" s="31">
        <v>45762</v>
      </c>
      <c r="C22" s="33">
        <v>3494475</v>
      </c>
    </row>
    <row r="23" spans="1:4" ht="15.75" customHeight="1" x14ac:dyDescent="0.25">
      <c r="A23" s="31">
        <v>45777</v>
      </c>
      <c r="B23" s="33">
        <v>3804093</v>
      </c>
    </row>
    <row r="24" spans="1:4" ht="15.75" customHeight="1" x14ac:dyDescent="0.25">
      <c r="A24" s="31">
        <v>45803</v>
      </c>
      <c r="C24" s="33">
        <v>3804093</v>
      </c>
    </row>
    <row r="25" spans="1:4" ht="15.75" customHeight="1" x14ac:dyDescent="0.25">
      <c r="A25" s="31">
        <v>45807</v>
      </c>
      <c r="B25" s="33">
        <v>4283815</v>
      </c>
    </row>
    <row r="26" spans="1:4" ht="15.75" customHeight="1" x14ac:dyDescent="0.25">
      <c r="A26" s="31">
        <v>45823</v>
      </c>
      <c r="C26" s="33">
        <v>4283815</v>
      </c>
    </row>
    <row r="27" spans="1:4" ht="15.75" customHeight="1" x14ac:dyDescent="0.25">
      <c r="A27" s="31">
        <v>45838</v>
      </c>
      <c r="B27" s="33">
        <v>4382982</v>
      </c>
    </row>
    <row r="28" spans="1:4" ht="15.75" customHeight="1" x14ac:dyDescent="0.25">
      <c r="A28" s="31">
        <v>45848</v>
      </c>
      <c r="C28" s="33">
        <v>4382982</v>
      </c>
    </row>
    <row r="29" spans="1:4" ht="15.75" customHeight="1" x14ac:dyDescent="0.25">
      <c r="A29" s="31">
        <v>45869</v>
      </c>
      <c r="B29" s="33">
        <v>5936520</v>
      </c>
    </row>
    <row r="30" spans="1:4" ht="15.75" customHeight="1" x14ac:dyDescent="0.25">
      <c r="A30" s="31">
        <v>45873</v>
      </c>
      <c r="C30" s="33">
        <v>19720</v>
      </c>
      <c r="D30" t="s">
        <v>183</v>
      </c>
    </row>
    <row r="31" spans="1:4" ht="15.75" customHeight="1" x14ac:dyDescent="0.25">
      <c r="A31" s="31">
        <v>45888</v>
      </c>
      <c r="C31" s="33">
        <v>5916800</v>
      </c>
    </row>
    <row r="32" spans="1:4" ht="15.75" customHeight="1" x14ac:dyDescent="0.25">
      <c r="A32" s="31">
        <v>45900</v>
      </c>
      <c r="B32" s="33">
        <v>3482565</v>
      </c>
    </row>
    <row r="33" spans="1:3" ht="15.75" customHeight="1" x14ac:dyDescent="0.25">
      <c r="A33" s="31">
        <v>45919</v>
      </c>
      <c r="C33" s="33">
        <v>3482565</v>
      </c>
    </row>
    <row r="34" spans="1:3" ht="15.75" customHeight="1" x14ac:dyDescent="0.25">
      <c r="A34" s="31">
        <v>45930</v>
      </c>
      <c r="B34" s="33">
        <v>4711343</v>
      </c>
    </row>
    <row r="35" spans="1:3" ht="15.75" customHeight="1" x14ac:dyDescent="0.25">
      <c r="A35" s="31">
        <v>45947</v>
      </c>
      <c r="C35" s="33">
        <v>4711343</v>
      </c>
    </row>
    <row r="36" spans="1:3" ht="15.75" customHeight="1" x14ac:dyDescent="0.25">
      <c r="A36" s="31">
        <v>45961</v>
      </c>
      <c r="B36" s="33">
        <v>4861187</v>
      </c>
    </row>
    <row r="37" spans="1:3" ht="15.75" customHeight="1" x14ac:dyDescent="0.25">
      <c r="A37" s="31">
        <v>45981</v>
      </c>
      <c r="C37" s="33">
        <v>4861187</v>
      </c>
    </row>
    <row r="38" spans="1:3" ht="15.75" customHeight="1" x14ac:dyDescent="0.25">
      <c r="A38" s="31">
        <v>45991</v>
      </c>
      <c r="B38" s="33">
        <v>4912768</v>
      </c>
    </row>
    <row r="39" spans="1:3" ht="15.75" customHeight="1" x14ac:dyDescent="0.25">
      <c r="A39" s="31">
        <v>46010</v>
      </c>
      <c r="C39" s="33">
        <v>4912768</v>
      </c>
    </row>
    <row r="40" spans="1:3" ht="15.75" customHeight="1" x14ac:dyDescent="0.25">
      <c r="A40" s="31">
        <v>46022</v>
      </c>
      <c r="B40" s="33">
        <v>4639078</v>
      </c>
    </row>
    <row r="41" spans="1:3" ht="15.75" customHeight="1" x14ac:dyDescent="0.25">
      <c r="A41" s="31">
        <v>46037</v>
      </c>
      <c r="C41" s="33">
        <v>4639078</v>
      </c>
    </row>
    <row r="42" spans="1:3" ht="15.75" customHeight="1" x14ac:dyDescent="0.25">
      <c r="A42" s="31">
        <v>46053</v>
      </c>
      <c r="B42" s="33">
        <v>7416446</v>
      </c>
    </row>
    <row r="43" spans="1:3" ht="15.75" customHeight="1" x14ac:dyDescent="0.25">
      <c r="A43" s="31">
        <v>45712</v>
      </c>
      <c r="C43" s="33">
        <v>7416446</v>
      </c>
    </row>
    <row r="44" spans="1:3" ht="15.75" customHeight="1" x14ac:dyDescent="0.25">
      <c r="A44" s="31">
        <v>46081</v>
      </c>
      <c r="B44" s="33">
        <v>6199063</v>
      </c>
    </row>
    <row r="45" spans="1:3" ht="15.75" customHeight="1" x14ac:dyDescent="0.25">
      <c r="A45" s="31">
        <v>46101</v>
      </c>
      <c r="C45" s="33">
        <v>6199063</v>
      </c>
    </row>
    <row r="46" spans="1:3" ht="15.75" customHeight="1" x14ac:dyDescent="0.25"/>
    <row r="47" spans="1:3" ht="15.75" customHeight="1" x14ac:dyDescent="0.25"/>
    <row r="48" spans="1: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conditionalFormatting sqref="G2">
    <cfRule type="cellIs" dxfId="37" priority="1" operator="lessThan">
      <formula>0</formula>
    </cfRule>
    <cfRule type="cellIs" dxfId="36" priority="2" operator="greaterThan">
      <formula>0</formula>
    </cfRule>
  </conditionalFormatting>
  <hyperlinks>
    <hyperlink ref="D1" location="CLIENTES!A1" display="volver" xr:uid="{00000000-0004-0000-2C00-000000000000}"/>
  </hyperlinks>
  <pageMargins left="0.7" right="0.7" top="0.75" bottom="0.75" header="0" footer="0"/>
  <pageSetup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G1001"/>
  <sheetViews>
    <sheetView workbookViewId="0">
      <selection activeCell="D1" sqref="D1"/>
    </sheetView>
  </sheetViews>
  <sheetFormatPr baseColWidth="10" defaultColWidth="14.42578125" defaultRowHeight="15" customHeight="1" x14ac:dyDescent="0.25"/>
  <cols>
    <col min="1" max="1" width="14.5703125" customWidth="1"/>
    <col min="2" max="2" width="19.28515625" style="33" customWidth="1"/>
    <col min="3" max="3" width="16.42578125" style="33" customWidth="1"/>
    <col min="4" max="4" width="19.28515625" customWidth="1"/>
    <col min="5" max="5" width="16.140625" customWidth="1"/>
    <col min="6" max="6" width="19.28515625" customWidth="1"/>
    <col min="7" max="7" width="18.7109375" customWidth="1"/>
    <col min="8" max="26" width="10.7109375" customWidth="1"/>
  </cols>
  <sheetData>
    <row r="1" spans="1:7" ht="18.75" x14ac:dyDescent="0.3">
      <c r="A1" s="12" t="s">
        <v>37</v>
      </c>
      <c r="B1"/>
      <c r="C1"/>
      <c r="D1" s="101" t="s">
        <v>52</v>
      </c>
    </row>
    <row r="2" spans="1:7" s="37" customFormat="1" ht="18.75" customHeight="1" x14ac:dyDescent="0.25">
      <c r="A2" s="37" t="s">
        <v>53</v>
      </c>
      <c r="B2" s="38" t="s">
        <v>54</v>
      </c>
      <c r="C2" s="38" t="s">
        <v>55</v>
      </c>
      <c r="D2" s="37" t="s">
        <v>56</v>
      </c>
      <c r="E2" s="37" t="s">
        <v>57</v>
      </c>
      <c r="F2" s="39" t="s">
        <v>58</v>
      </c>
      <c r="G2" s="40">
        <f>SUM(C3:C1048576) - SUM(B3:B1048576)</f>
        <v>0</v>
      </c>
    </row>
    <row r="4" spans="1:7" ht="15" customHeight="1" x14ac:dyDescent="0.25">
      <c r="A4" s="31">
        <v>45473</v>
      </c>
      <c r="B4" s="33">
        <v>202471</v>
      </c>
    </row>
    <row r="5" spans="1:7" ht="15" customHeight="1" x14ac:dyDescent="0.25">
      <c r="A5" s="31">
        <v>45488</v>
      </c>
      <c r="C5" s="33">
        <v>202471</v>
      </c>
    </row>
    <row r="6" spans="1:7" ht="15" customHeight="1" x14ac:dyDescent="0.25">
      <c r="A6" s="31">
        <v>45504</v>
      </c>
      <c r="B6" s="33">
        <v>321056</v>
      </c>
    </row>
    <row r="7" spans="1:7" ht="15" customHeight="1" x14ac:dyDescent="0.25">
      <c r="A7" s="31">
        <v>45526</v>
      </c>
      <c r="C7" s="33">
        <v>321056</v>
      </c>
    </row>
    <row r="8" spans="1:7" ht="15" customHeight="1" x14ac:dyDescent="0.25">
      <c r="A8" s="31">
        <v>45535</v>
      </c>
      <c r="B8" s="33">
        <v>224625</v>
      </c>
    </row>
    <row r="9" spans="1:7" ht="15" customHeight="1" x14ac:dyDescent="0.25">
      <c r="A9" s="31">
        <v>45552</v>
      </c>
      <c r="C9" s="33">
        <v>224625</v>
      </c>
    </row>
    <row r="10" spans="1:7" ht="15" customHeight="1" x14ac:dyDescent="0.25">
      <c r="A10" s="31">
        <v>45565</v>
      </c>
      <c r="B10" s="33">
        <v>246833</v>
      </c>
    </row>
    <row r="11" spans="1:7" ht="15" customHeight="1" x14ac:dyDescent="0.25">
      <c r="A11" s="31">
        <v>45585</v>
      </c>
      <c r="C11" s="33">
        <v>246833</v>
      </c>
    </row>
    <row r="12" spans="1:7" ht="15" customHeight="1" x14ac:dyDescent="0.25">
      <c r="A12" s="31">
        <v>45596</v>
      </c>
      <c r="B12" s="33">
        <v>399672</v>
      </c>
    </row>
    <row r="13" spans="1:7" ht="15" customHeight="1" x14ac:dyDescent="0.25">
      <c r="A13" s="31">
        <v>45621</v>
      </c>
      <c r="C13" s="33">
        <v>399672</v>
      </c>
    </row>
    <row r="14" spans="1:7" ht="15" customHeight="1" x14ac:dyDescent="0.25">
      <c r="A14" s="31">
        <v>45626</v>
      </c>
      <c r="B14" s="33">
        <v>303351</v>
      </c>
    </row>
    <row r="15" spans="1:7" ht="15" customHeight="1" x14ac:dyDescent="0.25">
      <c r="A15" s="31">
        <v>45643</v>
      </c>
      <c r="C15" s="33">
        <v>303351</v>
      </c>
    </row>
    <row r="16" spans="1:7" ht="15" customHeight="1" x14ac:dyDescent="0.25">
      <c r="A16" s="31">
        <v>45657</v>
      </c>
      <c r="B16" s="33">
        <v>209269</v>
      </c>
    </row>
    <row r="17" spans="1:3" ht="15" customHeight="1" x14ac:dyDescent="0.25">
      <c r="A17" s="31">
        <v>45672</v>
      </c>
      <c r="C17" s="33">
        <v>209269</v>
      </c>
    </row>
    <row r="18" spans="1:3" ht="15" customHeight="1" x14ac:dyDescent="0.25">
      <c r="A18" s="31">
        <v>45688</v>
      </c>
      <c r="B18" s="33">
        <v>314551</v>
      </c>
    </row>
    <row r="19" spans="1:3" ht="15" customHeight="1" x14ac:dyDescent="0.25">
      <c r="A19" s="31">
        <v>45716</v>
      </c>
      <c r="B19" s="33">
        <v>237920</v>
      </c>
    </row>
    <row r="20" spans="1:3" ht="15" customHeight="1" x14ac:dyDescent="0.25">
      <c r="A20" s="31">
        <v>45737</v>
      </c>
      <c r="C20" s="33">
        <v>552471</v>
      </c>
    </row>
    <row r="21" spans="1:3" ht="15" customHeight="1" x14ac:dyDescent="0.25">
      <c r="A21" s="31">
        <v>45747</v>
      </c>
      <c r="B21" s="33">
        <v>301542</v>
      </c>
    </row>
    <row r="22" spans="1:3" ht="15.75" customHeight="1" x14ac:dyDescent="0.25">
      <c r="A22" s="31">
        <v>45762</v>
      </c>
      <c r="C22" s="33">
        <v>301542</v>
      </c>
    </row>
    <row r="23" spans="1:3" ht="15.75" customHeight="1" x14ac:dyDescent="0.25">
      <c r="A23" s="31">
        <v>45777</v>
      </c>
      <c r="B23" s="33">
        <v>311420</v>
      </c>
    </row>
    <row r="24" spans="1:3" ht="15.75" customHeight="1" x14ac:dyDescent="0.25">
      <c r="A24" s="31">
        <v>45803</v>
      </c>
      <c r="C24" s="33">
        <v>311420</v>
      </c>
    </row>
    <row r="25" spans="1:3" ht="15.75" customHeight="1" x14ac:dyDescent="0.25">
      <c r="A25" s="31">
        <v>45807</v>
      </c>
      <c r="B25" s="33">
        <v>327310</v>
      </c>
    </row>
    <row r="26" spans="1:3" ht="15.75" customHeight="1" x14ac:dyDescent="0.25">
      <c r="A26" s="31">
        <v>45823</v>
      </c>
      <c r="C26" s="33">
        <v>327310</v>
      </c>
    </row>
    <row r="27" spans="1:3" ht="15.75" customHeight="1" x14ac:dyDescent="0.25">
      <c r="A27" s="31">
        <v>45838</v>
      </c>
      <c r="B27" s="33">
        <v>403941</v>
      </c>
    </row>
    <row r="28" spans="1:3" ht="15.75" customHeight="1" x14ac:dyDescent="0.25">
      <c r="A28" s="31">
        <v>45848</v>
      </c>
      <c r="C28" s="33">
        <v>403941</v>
      </c>
    </row>
    <row r="29" spans="1:3" ht="15.75" customHeight="1" x14ac:dyDescent="0.25">
      <c r="A29" s="31">
        <v>45869</v>
      </c>
      <c r="B29" s="33">
        <v>509763</v>
      </c>
    </row>
    <row r="30" spans="1:3" ht="15.75" customHeight="1" x14ac:dyDescent="0.25">
      <c r="A30" s="31">
        <v>45873</v>
      </c>
      <c r="C30" s="33">
        <v>49035</v>
      </c>
    </row>
    <row r="31" spans="1:3" ht="15.75" customHeight="1" x14ac:dyDescent="0.25">
      <c r="A31" s="31">
        <v>45888</v>
      </c>
      <c r="C31" s="33">
        <v>460728</v>
      </c>
    </row>
    <row r="32" spans="1:3" ht="15.75" customHeight="1" x14ac:dyDescent="0.25">
      <c r="A32" s="31">
        <v>45900</v>
      </c>
      <c r="B32" s="33">
        <v>242802</v>
      </c>
    </row>
    <row r="33" spans="1:3" ht="15.75" customHeight="1" x14ac:dyDescent="0.25">
      <c r="A33" s="31">
        <v>45919</v>
      </c>
      <c r="C33" s="33">
        <v>242802</v>
      </c>
    </row>
    <row r="34" spans="1:3" ht="15.75" customHeight="1" x14ac:dyDescent="0.25">
      <c r="A34" s="31">
        <v>45930</v>
      </c>
      <c r="B34" s="33">
        <v>397059</v>
      </c>
    </row>
    <row r="35" spans="1:3" ht="15.75" customHeight="1" x14ac:dyDescent="0.25">
      <c r="A35" s="31">
        <v>45947</v>
      </c>
      <c r="C35" s="33">
        <v>397059</v>
      </c>
    </row>
    <row r="36" spans="1:3" ht="15.75" customHeight="1" x14ac:dyDescent="0.25">
      <c r="A36" s="31">
        <v>45961</v>
      </c>
      <c r="B36" s="33">
        <v>440938</v>
      </c>
    </row>
    <row r="37" spans="1:3" ht="15.75" customHeight="1" x14ac:dyDescent="0.25">
      <c r="A37" s="31">
        <v>45981</v>
      </c>
      <c r="C37" s="33">
        <v>440938</v>
      </c>
    </row>
    <row r="38" spans="1:3" ht="15.75" customHeight="1" x14ac:dyDescent="0.25">
      <c r="A38" s="31">
        <v>45991</v>
      </c>
      <c r="B38" s="33">
        <v>530466</v>
      </c>
    </row>
    <row r="39" spans="1:3" ht="15.75" customHeight="1" x14ac:dyDescent="0.25">
      <c r="A39" s="31">
        <v>46010</v>
      </c>
      <c r="C39" s="33">
        <v>530466</v>
      </c>
    </row>
    <row r="40" spans="1:3" ht="15.75" customHeight="1" x14ac:dyDescent="0.25">
      <c r="A40" s="31">
        <v>46022</v>
      </c>
      <c r="B40" s="33">
        <v>281363</v>
      </c>
    </row>
    <row r="41" spans="1:3" ht="15.75" customHeight="1" x14ac:dyDescent="0.25">
      <c r="A41" s="31">
        <v>46037</v>
      </c>
      <c r="C41" s="33">
        <v>281363</v>
      </c>
    </row>
    <row r="42" spans="1:3" ht="15.75" customHeight="1" x14ac:dyDescent="0.25">
      <c r="A42" s="31">
        <v>46053</v>
      </c>
      <c r="B42" s="33">
        <v>389784</v>
      </c>
    </row>
    <row r="43" spans="1:3" ht="15.75" customHeight="1" x14ac:dyDescent="0.25">
      <c r="A43" s="31">
        <v>46077</v>
      </c>
      <c r="C43" s="33">
        <v>389784</v>
      </c>
    </row>
    <row r="44" spans="1:3" ht="15.75" customHeight="1" x14ac:dyDescent="0.25">
      <c r="A44" s="31">
        <v>46081</v>
      </c>
      <c r="B44" s="33">
        <v>392313</v>
      </c>
    </row>
    <row r="45" spans="1:3" ht="15.75" customHeight="1" x14ac:dyDescent="0.25">
      <c r="A45" s="31">
        <v>46101</v>
      </c>
      <c r="C45" s="33">
        <v>392313</v>
      </c>
    </row>
    <row r="46" spans="1:3" ht="15.75" customHeight="1" x14ac:dyDescent="0.25"/>
    <row r="47" spans="1:3" ht="15.75" customHeight="1" x14ac:dyDescent="0.25"/>
    <row r="48" spans="1: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conditionalFormatting sqref="G2">
    <cfRule type="cellIs" dxfId="35" priority="1" operator="lessThan">
      <formula>0</formula>
    </cfRule>
    <cfRule type="cellIs" dxfId="34" priority="2" operator="greaterThan">
      <formula>0</formula>
    </cfRule>
  </conditionalFormatting>
  <hyperlinks>
    <hyperlink ref="D1" location="CLIENTES!A1" display="volver" xr:uid="{00000000-0004-0000-2D00-000000000000}"/>
  </hyperlinks>
  <pageMargins left="0.7" right="0.7" top="0.75" bottom="0.75" header="0" footer="0"/>
  <pageSetup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G1000"/>
  <sheetViews>
    <sheetView workbookViewId="0">
      <selection activeCell="D1" sqref="D1"/>
    </sheetView>
  </sheetViews>
  <sheetFormatPr baseColWidth="10" defaultColWidth="14.42578125" defaultRowHeight="15" customHeight="1" x14ac:dyDescent="0.25"/>
  <cols>
    <col min="1" max="1" width="15.5703125" customWidth="1"/>
    <col min="2" max="2" width="19.85546875" style="33" customWidth="1"/>
    <col min="3" max="3" width="15.5703125" style="33" customWidth="1"/>
    <col min="4" max="4" width="16.7109375" customWidth="1"/>
    <col min="5" max="7" width="15.5703125" customWidth="1"/>
    <col min="8" max="26" width="10.7109375" customWidth="1"/>
  </cols>
  <sheetData>
    <row r="1" spans="1:7" ht="18.75" x14ac:dyDescent="0.3">
      <c r="A1" s="12" t="s">
        <v>216</v>
      </c>
      <c r="B1"/>
      <c r="C1"/>
      <c r="D1" s="101" t="s">
        <v>52</v>
      </c>
    </row>
    <row r="2" spans="1:7" s="37" customFormat="1" ht="21" customHeight="1" x14ac:dyDescent="0.25">
      <c r="A2" s="37" t="s">
        <v>53</v>
      </c>
      <c r="B2" s="38" t="s">
        <v>54</v>
      </c>
      <c r="C2" s="38" t="s">
        <v>55</v>
      </c>
      <c r="D2" s="37" t="s">
        <v>56</v>
      </c>
      <c r="E2" s="37" t="s">
        <v>57</v>
      </c>
      <c r="F2" s="39" t="s">
        <v>58</v>
      </c>
      <c r="G2" s="40">
        <f>SUM(C3:C1048576) - SUM(B3:B1048576)</f>
        <v>0</v>
      </c>
    </row>
    <row r="3" spans="1:7" ht="15" customHeight="1" x14ac:dyDescent="0.25">
      <c r="A3" s="31">
        <v>46022</v>
      </c>
      <c r="B3" s="33">
        <v>156464</v>
      </c>
    </row>
    <row r="4" spans="1:7" ht="15" customHeight="1" x14ac:dyDescent="0.25">
      <c r="A4" s="35">
        <v>46024</v>
      </c>
      <c r="C4" s="33">
        <v>156464</v>
      </c>
      <c r="D4" s="34"/>
      <c r="E4" s="34"/>
    </row>
    <row r="5" spans="1:7" ht="15" customHeight="1" x14ac:dyDescent="0.25">
      <c r="A5" s="31"/>
    </row>
    <row r="6" spans="1:7" ht="15" customHeight="1" x14ac:dyDescent="0.25">
      <c r="A6" s="31"/>
    </row>
    <row r="7" spans="1:7" ht="15" customHeight="1" x14ac:dyDescent="0.25">
      <c r="A7" s="31"/>
    </row>
    <row r="8" spans="1:7" ht="15" customHeight="1" x14ac:dyDescent="0.25">
      <c r="A8" s="31"/>
    </row>
    <row r="9" spans="1:7" ht="15" customHeight="1" x14ac:dyDescent="0.25">
      <c r="A9" s="31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G2">
    <cfRule type="cellIs" dxfId="33" priority="1" operator="lessThan">
      <formula>0</formula>
    </cfRule>
    <cfRule type="cellIs" dxfId="32" priority="2" operator="greaterThan">
      <formula>0</formula>
    </cfRule>
  </conditionalFormatting>
  <hyperlinks>
    <hyperlink ref="D1" location="CLIENTES!A1" display="volver" xr:uid="{00000000-0004-0000-2E00-000000000000}"/>
  </hyperlinks>
  <pageMargins left="0.7" right="0.7" top="0.75" bottom="0.75" header="0" footer="0"/>
  <pageSetup orientation="landscape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G1004"/>
  <sheetViews>
    <sheetView zoomScaleNormal="100" workbookViewId="0">
      <selection activeCell="D1" sqref="D1"/>
    </sheetView>
  </sheetViews>
  <sheetFormatPr baseColWidth="10" defaultColWidth="14.42578125" defaultRowHeight="15" customHeight="1" x14ac:dyDescent="0.25"/>
  <cols>
    <col min="1" max="1" width="15.5703125" customWidth="1"/>
    <col min="2" max="2" width="20.140625" style="33" customWidth="1"/>
    <col min="3" max="3" width="17" style="33" customWidth="1"/>
    <col min="4" max="4" width="18.85546875" customWidth="1"/>
    <col min="5" max="7" width="15.5703125" customWidth="1"/>
    <col min="8" max="26" width="10.7109375" customWidth="1"/>
  </cols>
  <sheetData>
    <row r="1" spans="1:7" ht="18.75" x14ac:dyDescent="0.3">
      <c r="A1" s="12" t="s">
        <v>38</v>
      </c>
      <c r="B1"/>
      <c r="C1"/>
      <c r="D1" s="101" t="s">
        <v>52</v>
      </c>
    </row>
    <row r="2" spans="1:7" s="37" customFormat="1" ht="18" customHeight="1" x14ac:dyDescent="0.25">
      <c r="A2" s="37" t="s">
        <v>53</v>
      </c>
      <c r="B2" s="38" t="s">
        <v>54</v>
      </c>
      <c r="C2" s="38" t="s">
        <v>55</v>
      </c>
      <c r="D2" s="37" t="s">
        <v>56</v>
      </c>
      <c r="E2" s="37" t="s">
        <v>57</v>
      </c>
      <c r="F2" s="39" t="s">
        <v>58</v>
      </c>
      <c r="G2" s="40">
        <f>SUM(C3:C1048576) - SUM(B3:B1048576)</f>
        <v>-2192686</v>
      </c>
    </row>
    <row r="4" spans="1:7" ht="15" customHeight="1" x14ac:dyDescent="0.25">
      <c r="A4" s="31">
        <v>45351</v>
      </c>
      <c r="B4" s="33">
        <v>3516105</v>
      </c>
    </row>
    <row r="5" spans="1:7" ht="15" customHeight="1" x14ac:dyDescent="0.25">
      <c r="A5" s="31">
        <v>45382</v>
      </c>
      <c r="B5" s="33">
        <v>3927826</v>
      </c>
    </row>
    <row r="6" spans="1:7" ht="15" customHeight="1" x14ac:dyDescent="0.25">
      <c r="A6" s="35">
        <v>45412</v>
      </c>
      <c r="B6" s="33">
        <v>3162808</v>
      </c>
      <c r="C6" s="33">
        <v>2469966</v>
      </c>
    </row>
    <row r="7" spans="1:7" ht="15" customHeight="1" x14ac:dyDescent="0.25">
      <c r="A7" s="31">
        <v>45443</v>
      </c>
      <c r="B7" s="33">
        <v>2714279</v>
      </c>
    </row>
    <row r="8" spans="1:7" ht="15" customHeight="1" x14ac:dyDescent="0.25">
      <c r="A8" s="31"/>
      <c r="C8" s="33">
        <v>8412773</v>
      </c>
    </row>
    <row r="9" spans="1:7" ht="15" customHeight="1" x14ac:dyDescent="0.25">
      <c r="A9" s="31">
        <v>45473</v>
      </c>
      <c r="B9" s="33">
        <v>3122250</v>
      </c>
      <c r="D9" s="54"/>
    </row>
    <row r="10" spans="1:7" ht="15" customHeight="1" x14ac:dyDescent="0.25">
      <c r="A10" s="31">
        <v>45485</v>
      </c>
      <c r="C10" s="33">
        <v>1755600</v>
      </c>
    </row>
    <row r="11" spans="1:7" ht="15" customHeight="1" x14ac:dyDescent="0.25">
      <c r="A11" s="31">
        <v>45504</v>
      </c>
      <c r="B11" s="33">
        <v>6307870</v>
      </c>
      <c r="D11" s="54"/>
    </row>
    <row r="12" spans="1:7" ht="15" customHeight="1" x14ac:dyDescent="0.25">
      <c r="A12" s="31">
        <v>45512</v>
      </c>
      <c r="C12" s="33">
        <v>1000000</v>
      </c>
    </row>
    <row r="13" spans="1:7" ht="15" customHeight="1" x14ac:dyDescent="0.25">
      <c r="A13" s="31">
        <v>45517</v>
      </c>
      <c r="C13" s="33">
        <v>460600</v>
      </c>
    </row>
    <row r="14" spans="1:7" ht="15" customHeight="1" x14ac:dyDescent="0.25">
      <c r="A14" s="31">
        <v>45526</v>
      </c>
      <c r="C14" s="33">
        <v>1000000</v>
      </c>
    </row>
    <row r="15" spans="1:7" ht="15" customHeight="1" x14ac:dyDescent="0.25">
      <c r="A15" s="31">
        <v>45535</v>
      </c>
      <c r="B15" s="33">
        <v>3277230</v>
      </c>
    </row>
    <row r="16" spans="1:7" ht="15" customHeight="1" x14ac:dyDescent="0.25">
      <c r="A16" s="31">
        <v>45544</v>
      </c>
      <c r="C16" s="33">
        <v>4000000</v>
      </c>
    </row>
    <row r="17" spans="1:4" ht="15" customHeight="1" x14ac:dyDescent="0.25">
      <c r="A17" s="31">
        <v>45552</v>
      </c>
      <c r="C17" s="33">
        <v>1500000</v>
      </c>
      <c r="D17" t="s">
        <v>104</v>
      </c>
    </row>
    <row r="18" spans="1:4" ht="15" customHeight="1" x14ac:dyDescent="0.25">
      <c r="A18" s="31">
        <v>45553</v>
      </c>
      <c r="C18" s="33">
        <v>1000000</v>
      </c>
      <c r="D18" t="s">
        <v>104</v>
      </c>
    </row>
    <row r="19" spans="1:4" ht="15" customHeight="1" x14ac:dyDescent="0.25">
      <c r="A19" s="31">
        <v>45565</v>
      </c>
      <c r="B19" s="33">
        <v>4688607</v>
      </c>
    </row>
    <row r="20" spans="1:4" ht="15" customHeight="1" x14ac:dyDescent="0.25">
      <c r="A20" s="31">
        <v>45568</v>
      </c>
      <c r="C20" s="33">
        <v>2376000</v>
      </c>
    </row>
    <row r="21" spans="1:4" ht="15" customHeight="1" x14ac:dyDescent="0.25">
      <c r="A21" s="31">
        <v>45579</v>
      </c>
      <c r="C21" s="33">
        <v>2053430</v>
      </c>
      <c r="D21" t="s">
        <v>137</v>
      </c>
    </row>
    <row r="22" spans="1:4" ht="15" customHeight="1" x14ac:dyDescent="0.25">
      <c r="A22" s="31">
        <v>45587</v>
      </c>
      <c r="C22" s="33">
        <v>5000000</v>
      </c>
      <c r="D22" t="s">
        <v>109</v>
      </c>
    </row>
    <row r="23" spans="1:4" ht="15.75" customHeight="1" x14ac:dyDescent="0.25">
      <c r="A23" s="31">
        <v>45596</v>
      </c>
      <c r="B23" s="33">
        <v>5965870</v>
      </c>
    </row>
    <row r="24" spans="1:4" ht="15.75" customHeight="1" x14ac:dyDescent="0.25">
      <c r="A24" s="31">
        <v>45609</v>
      </c>
      <c r="C24" s="33">
        <v>2000000</v>
      </c>
    </row>
    <row r="25" spans="1:4" ht="15.75" customHeight="1" x14ac:dyDescent="0.25">
      <c r="A25" s="31">
        <v>45625</v>
      </c>
      <c r="C25" s="33">
        <v>1000000</v>
      </c>
    </row>
    <row r="26" spans="1:4" ht="15.75" customHeight="1" x14ac:dyDescent="0.25">
      <c r="A26" s="31">
        <v>45626</v>
      </c>
      <c r="B26" s="33">
        <v>7303175</v>
      </c>
    </row>
    <row r="27" spans="1:4" ht="15.75" customHeight="1" x14ac:dyDescent="0.25">
      <c r="A27" s="31">
        <v>45630</v>
      </c>
      <c r="C27" s="33">
        <v>2405000</v>
      </c>
      <c r="D27" t="s">
        <v>109</v>
      </c>
    </row>
    <row r="28" spans="1:4" ht="15.75" customHeight="1" x14ac:dyDescent="0.25">
      <c r="A28" s="31">
        <v>45630</v>
      </c>
      <c r="C28" s="33">
        <v>1500000</v>
      </c>
      <c r="D28" t="s">
        <v>137</v>
      </c>
    </row>
    <row r="29" spans="1:4" ht="15.75" customHeight="1" x14ac:dyDescent="0.25">
      <c r="A29" s="31">
        <v>45632</v>
      </c>
      <c r="C29" s="33">
        <v>1000000</v>
      </c>
    </row>
    <row r="30" spans="1:4" ht="15.75" customHeight="1" x14ac:dyDescent="0.25">
      <c r="A30" s="31">
        <v>45637</v>
      </c>
      <c r="C30" s="33">
        <v>1000000</v>
      </c>
    </row>
    <row r="31" spans="1:4" ht="15.75" customHeight="1" x14ac:dyDescent="0.25">
      <c r="A31" s="31">
        <v>45657</v>
      </c>
      <c r="B31" s="33">
        <v>7412641</v>
      </c>
    </row>
    <row r="32" spans="1:4" ht="15.75" customHeight="1" x14ac:dyDescent="0.25">
      <c r="A32" s="31">
        <v>45659</v>
      </c>
      <c r="C32" s="33">
        <v>4052651</v>
      </c>
      <c r="D32" t="s">
        <v>137</v>
      </c>
    </row>
    <row r="33" spans="1:4" ht="15.75" customHeight="1" x14ac:dyDescent="0.25">
      <c r="A33" s="31">
        <v>45673</v>
      </c>
      <c r="C33" s="33">
        <v>1500000</v>
      </c>
      <c r="D33" t="s">
        <v>137</v>
      </c>
    </row>
    <row r="34" spans="1:4" ht="15.75" customHeight="1" x14ac:dyDescent="0.25">
      <c r="A34" s="31">
        <v>45681</v>
      </c>
      <c r="C34" s="33">
        <v>1676000</v>
      </c>
      <c r="D34" t="s">
        <v>104</v>
      </c>
    </row>
    <row r="35" spans="1:4" ht="15.75" customHeight="1" x14ac:dyDescent="0.25">
      <c r="C35" s="33">
        <v>2100000</v>
      </c>
      <c r="D35" t="s">
        <v>67</v>
      </c>
    </row>
    <row r="36" spans="1:4" ht="15.75" customHeight="1" x14ac:dyDescent="0.25">
      <c r="A36" s="31">
        <v>45688</v>
      </c>
      <c r="B36" s="33">
        <v>8270886</v>
      </c>
    </row>
    <row r="37" spans="1:4" ht="15.75" customHeight="1" x14ac:dyDescent="0.25">
      <c r="A37" s="31">
        <v>45705</v>
      </c>
      <c r="C37" s="33">
        <v>1000000</v>
      </c>
      <c r="D37" t="s">
        <v>104</v>
      </c>
    </row>
    <row r="38" spans="1:4" ht="15.75" customHeight="1" x14ac:dyDescent="0.25">
      <c r="A38" s="31">
        <v>45706</v>
      </c>
      <c r="C38" s="33">
        <v>3000000</v>
      </c>
      <c r="D38" t="s">
        <v>104</v>
      </c>
    </row>
    <row r="39" spans="1:4" ht="15.75" customHeight="1" x14ac:dyDescent="0.25">
      <c r="A39" s="31">
        <v>45716</v>
      </c>
      <c r="B39" s="33">
        <v>8681371</v>
      </c>
    </row>
    <row r="40" spans="1:4" ht="15.75" customHeight="1" x14ac:dyDescent="0.25">
      <c r="A40" s="31">
        <v>45722</v>
      </c>
      <c r="C40" s="33">
        <v>1552500</v>
      </c>
      <c r="D40" t="s">
        <v>67</v>
      </c>
    </row>
    <row r="41" spans="1:4" ht="15.75" customHeight="1" x14ac:dyDescent="0.25">
      <c r="A41" s="31">
        <v>45722</v>
      </c>
      <c r="C41" s="33">
        <v>4000000</v>
      </c>
      <c r="D41" t="s">
        <v>104</v>
      </c>
    </row>
    <row r="42" spans="1:4" ht="15.75" customHeight="1" x14ac:dyDescent="0.25">
      <c r="A42" s="31">
        <v>45728</v>
      </c>
      <c r="C42" s="33">
        <v>855027</v>
      </c>
    </row>
    <row r="43" spans="1:4" ht="15.75" customHeight="1" x14ac:dyDescent="0.25">
      <c r="A43" s="31">
        <v>45735</v>
      </c>
      <c r="C43" s="33">
        <v>2000000</v>
      </c>
    </row>
    <row r="44" spans="1:4" ht="15.75" customHeight="1" x14ac:dyDescent="0.25">
      <c r="A44" s="31">
        <v>45743</v>
      </c>
      <c r="C44" s="33">
        <v>2000000</v>
      </c>
    </row>
    <row r="45" spans="1:4" ht="15.75" customHeight="1" x14ac:dyDescent="0.25">
      <c r="A45" s="31">
        <v>45747</v>
      </c>
      <c r="B45" s="33">
        <v>6968788</v>
      </c>
    </row>
    <row r="46" spans="1:4" ht="15.75" customHeight="1" x14ac:dyDescent="0.25">
      <c r="A46" s="31">
        <v>45758</v>
      </c>
      <c r="C46" s="33">
        <v>2200000</v>
      </c>
      <c r="D46" t="s">
        <v>131</v>
      </c>
    </row>
    <row r="47" spans="1:4" ht="15.75" customHeight="1" x14ac:dyDescent="0.25">
      <c r="A47" s="31">
        <v>45775</v>
      </c>
      <c r="C47" s="33">
        <v>2481371</v>
      </c>
      <c r="D47" t="s">
        <v>104</v>
      </c>
    </row>
    <row r="48" spans="1:4" ht="15.75" customHeight="1" x14ac:dyDescent="0.25">
      <c r="A48" s="31">
        <v>45777</v>
      </c>
      <c r="B48" s="33">
        <v>3682600</v>
      </c>
    </row>
    <row r="49" spans="1:4" ht="15.75" customHeight="1" x14ac:dyDescent="0.25">
      <c r="A49" s="31">
        <v>45799</v>
      </c>
      <c r="C49" s="33">
        <v>4000000</v>
      </c>
    </row>
    <row r="50" spans="1:4" ht="15.75" customHeight="1" x14ac:dyDescent="0.25">
      <c r="A50" s="31">
        <v>45807</v>
      </c>
      <c r="B50" s="33">
        <v>3552568</v>
      </c>
    </row>
    <row r="51" spans="1:4" ht="15.75" customHeight="1" x14ac:dyDescent="0.25">
      <c r="A51" s="31">
        <v>45818</v>
      </c>
      <c r="C51" s="33">
        <v>3000000</v>
      </c>
    </row>
    <row r="52" spans="1:4" ht="15.75" customHeight="1" x14ac:dyDescent="0.25">
      <c r="A52" s="31">
        <v>45838</v>
      </c>
      <c r="B52" s="33">
        <v>2916650</v>
      </c>
    </row>
    <row r="53" spans="1:4" ht="15.75" customHeight="1" x14ac:dyDescent="0.25">
      <c r="A53" s="31">
        <v>45852</v>
      </c>
      <c r="C53" s="33">
        <v>6159000</v>
      </c>
    </row>
    <row r="54" spans="1:4" ht="15.75" customHeight="1" x14ac:dyDescent="0.25">
      <c r="A54" s="31">
        <v>45869</v>
      </c>
      <c r="B54" s="33">
        <v>3706670</v>
      </c>
    </row>
    <row r="55" spans="1:4" ht="15.75" customHeight="1" x14ac:dyDescent="0.25">
      <c r="A55" s="31">
        <v>45873</v>
      </c>
      <c r="C55" s="33">
        <v>6159000</v>
      </c>
      <c r="D55" t="s">
        <v>109</v>
      </c>
    </row>
    <row r="56" spans="1:4" ht="15.75" customHeight="1" x14ac:dyDescent="0.25">
      <c r="A56" s="31">
        <v>45900</v>
      </c>
      <c r="B56" s="33">
        <v>4253374</v>
      </c>
    </row>
    <row r="57" spans="1:4" ht="15.75" customHeight="1" x14ac:dyDescent="0.25">
      <c r="A57" s="31">
        <v>45915</v>
      </c>
      <c r="C57" s="33">
        <v>6159000</v>
      </c>
    </row>
    <row r="58" spans="1:4" ht="15.75" customHeight="1" x14ac:dyDescent="0.25">
      <c r="A58" s="31">
        <v>45930</v>
      </c>
      <c r="B58" s="33">
        <v>5462342</v>
      </c>
    </row>
    <row r="59" spans="1:4" ht="15.75" customHeight="1" x14ac:dyDescent="0.25">
      <c r="A59" s="31">
        <v>45951</v>
      </c>
      <c r="C59" s="33">
        <v>3000000</v>
      </c>
    </row>
    <row r="60" spans="1:4" ht="15.75" customHeight="1" x14ac:dyDescent="0.25">
      <c r="A60" s="31">
        <v>45961</v>
      </c>
      <c r="B60" s="33">
        <v>5532603</v>
      </c>
    </row>
    <row r="61" spans="1:4" ht="15.75" customHeight="1" x14ac:dyDescent="0.25">
      <c r="A61" s="31">
        <v>45976</v>
      </c>
      <c r="C61" s="33">
        <v>6156000</v>
      </c>
      <c r="D61" t="s">
        <v>109</v>
      </c>
    </row>
    <row r="62" spans="1:4" ht="15.75" customHeight="1" x14ac:dyDescent="0.25">
      <c r="A62" s="31">
        <v>45991</v>
      </c>
      <c r="B62" s="33">
        <v>8232155</v>
      </c>
    </row>
    <row r="63" spans="1:4" ht="15.75" customHeight="1" x14ac:dyDescent="0.25">
      <c r="A63" s="31">
        <v>46022</v>
      </c>
      <c r="B63" s="33">
        <v>6682362</v>
      </c>
    </row>
    <row r="64" spans="1:4" ht="15.75" customHeight="1" x14ac:dyDescent="0.25">
      <c r="A64" s="144">
        <v>46024</v>
      </c>
      <c r="C64" s="33">
        <v>10000000</v>
      </c>
      <c r="D64" t="s">
        <v>109</v>
      </c>
    </row>
    <row r="65" spans="1:4" ht="15.75" customHeight="1" x14ac:dyDescent="0.25">
      <c r="A65" s="31">
        <v>46051</v>
      </c>
      <c r="C65" s="33">
        <v>3000000</v>
      </c>
    </row>
    <row r="66" spans="1:4" ht="15.75" customHeight="1" x14ac:dyDescent="0.25">
      <c r="A66" s="31">
        <v>46053</v>
      </c>
      <c r="B66" s="33">
        <v>8849392</v>
      </c>
    </row>
    <row r="67" spans="1:4" ht="15.75" customHeight="1" x14ac:dyDescent="0.25">
      <c r="A67" s="31">
        <v>46065</v>
      </c>
      <c r="C67" s="33">
        <v>4000000</v>
      </c>
      <c r="D67" t="s">
        <v>137</v>
      </c>
    </row>
    <row r="68" spans="1:4" ht="15.75" customHeight="1" x14ac:dyDescent="0.25">
      <c r="A68" s="31">
        <v>46074</v>
      </c>
      <c r="C68" s="33">
        <v>8206504</v>
      </c>
    </row>
    <row r="69" spans="1:4" ht="15.75" customHeight="1" x14ac:dyDescent="0.25">
      <c r="A69" s="31">
        <v>46081</v>
      </c>
      <c r="B69" s="33">
        <v>7192686</v>
      </c>
    </row>
    <row r="70" spans="1:4" ht="15.75" customHeight="1" x14ac:dyDescent="0.25">
      <c r="A70" s="31">
        <v>46094</v>
      </c>
      <c r="C70" s="33">
        <v>5000000</v>
      </c>
    </row>
    <row r="71" spans="1:4" ht="15.75" customHeight="1" x14ac:dyDescent="0.25"/>
    <row r="72" spans="1:4" ht="15.75" customHeight="1" x14ac:dyDescent="0.25"/>
    <row r="73" spans="1:4" ht="15.75" customHeight="1" x14ac:dyDescent="0.25"/>
    <row r="74" spans="1:4" ht="15.75" customHeight="1" x14ac:dyDescent="0.25"/>
    <row r="75" spans="1:4" ht="15.75" customHeight="1" x14ac:dyDescent="0.25"/>
    <row r="76" spans="1:4" ht="15.75" customHeight="1" x14ac:dyDescent="0.25"/>
    <row r="77" spans="1:4" ht="15.75" customHeight="1" x14ac:dyDescent="0.25"/>
    <row r="78" spans="1:4" ht="15.75" customHeight="1" x14ac:dyDescent="0.25"/>
    <row r="79" spans="1:4" ht="15.75" customHeight="1" x14ac:dyDescent="0.25"/>
    <row r="80" spans="1:4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</sheetData>
  <conditionalFormatting sqref="G2">
    <cfRule type="cellIs" dxfId="31" priority="1" operator="lessThan">
      <formula>0</formula>
    </cfRule>
    <cfRule type="cellIs" dxfId="30" priority="2" operator="greaterThan">
      <formula>0</formula>
    </cfRule>
  </conditionalFormatting>
  <hyperlinks>
    <hyperlink ref="D1" location="CLIENTES!A1" display="volver" xr:uid="{00000000-0004-0000-2F00-000000000000}"/>
  </hyperlinks>
  <pageMargins left="0.7" right="0.7" top="0.75" bottom="0.75" header="0" footer="0"/>
  <pageSetup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G1007"/>
  <sheetViews>
    <sheetView workbookViewId="0">
      <selection activeCell="D1" sqref="D1"/>
    </sheetView>
  </sheetViews>
  <sheetFormatPr baseColWidth="10" defaultColWidth="14.42578125" defaultRowHeight="15" customHeight="1" x14ac:dyDescent="0.25"/>
  <cols>
    <col min="1" max="1" width="21.42578125" customWidth="1"/>
    <col min="2" max="3" width="21.42578125" style="33" customWidth="1"/>
    <col min="4" max="7" width="21.42578125" customWidth="1"/>
    <col min="8" max="26" width="10.7109375" customWidth="1"/>
  </cols>
  <sheetData>
    <row r="1" spans="1:7" ht="18.75" x14ac:dyDescent="0.3">
      <c r="A1" s="12" t="s">
        <v>39</v>
      </c>
      <c r="B1"/>
      <c r="C1"/>
      <c r="D1" s="101" t="s">
        <v>52</v>
      </c>
    </row>
    <row r="2" spans="1:7" s="37" customFormat="1" ht="20.25" customHeight="1" x14ac:dyDescent="0.25">
      <c r="A2" s="37" t="s">
        <v>53</v>
      </c>
      <c r="B2" s="38" t="s">
        <v>54</v>
      </c>
      <c r="C2" s="38" t="s">
        <v>55</v>
      </c>
      <c r="D2" s="37" t="s">
        <v>56</v>
      </c>
      <c r="E2" s="37" t="s">
        <v>57</v>
      </c>
      <c r="F2" s="39" t="s">
        <v>58</v>
      </c>
      <c r="G2" s="40">
        <f>SUM(C3:C1048576) - SUM(B3:B1048576)</f>
        <v>-9197722.0500000119</v>
      </c>
    </row>
    <row r="4" spans="1:7" ht="15" customHeight="1" x14ac:dyDescent="0.25">
      <c r="A4" s="31">
        <v>45443</v>
      </c>
      <c r="B4" s="33">
        <v>3866873</v>
      </c>
    </row>
    <row r="5" spans="1:7" ht="15" customHeight="1" x14ac:dyDescent="0.25">
      <c r="A5" s="31">
        <v>45460</v>
      </c>
      <c r="C5" s="33">
        <v>3866873</v>
      </c>
      <c r="D5" s="34" t="s">
        <v>93</v>
      </c>
    </row>
    <row r="6" spans="1:7" ht="15" customHeight="1" x14ac:dyDescent="0.25">
      <c r="A6" s="31">
        <v>45473</v>
      </c>
      <c r="B6" s="33">
        <v>3957194</v>
      </c>
    </row>
    <row r="7" spans="1:7" ht="15" customHeight="1" x14ac:dyDescent="0.25">
      <c r="A7" s="31">
        <v>45504</v>
      </c>
      <c r="B7" s="33">
        <v>4409112</v>
      </c>
    </row>
    <row r="8" spans="1:7" ht="15" customHeight="1" x14ac:dyDescent="0.25">
      <c r="A8" s="31">
        <v>45506</v>
      </c>
      <c r="C8" s="33">
        <v>3957194</v>
      </c>
      <c r="D8" s="34" t="s">
        <v>92</v>
      </c>
    </row>
    <row r="9" spans="1:7" ht="15" customHeight="1" x14ac:dyDescent="0.25">
      <c r="A9" s="31">
        <v>45535</v>
      </c>
      <c r="B9" s="33">
        <v>5997533</v>
      </c>
    </row>
    <row r="10" spans="1:7" ht="15" customHeight="1" x14ac:dyDescent="0.25">
      <c r="A10" s="31">
        <v>45537</v>
      </c>
      <c r="C10" s="33">
        <v>4409112</v>
      </c>
    </row>
    <row r="11" spans="1:7" ht="15" customHeight="1" x14ac:dyDescent="0.25">
      <c r="A11" s="31">
        <v>45565</v>
      </c>
      <c r="B11" s="33">
        <v>5461758</v>
      </c>
    </row>
    <row r="12" spans="1:7" ht="15" customHeight="1" x14ac:dyDescent="0.25">
      <c r="A12" s="31">
        <v>45579</v>
      </c>
      <c r="C12" s="33">
        <v>3540000</v>
      </c>
    </row>
    <row r="13" spans="1:7" ht="15" customHeight="1" x14ac:dyDescent="0.25">
      <c r="A13" s="31">
        <v>45581</v>
      </c>
      <c r="C13" s="33">
        <v>2101478</v>
      </c>
    </row>
    <row r="14" spans="1:7" ht="15" customHeight="1" x14ac:dyDescent="0.25">
      <c r="A14" s="31">
        <v>45581</v>
      </c>
      <c r="C14" s="33">
        <v>356055</v>
      </c>
    </row>
    <row r="15" spans="1:7" ht="15" customHeight="1" x14ac:dyDescent="0.25">
      <c r="A15" s="31">
        <v>45596</v>
      </c>
      <c r="B15" s="33">
        <v>5897702</v>
      </c>
    </row>
    <row r="16" spans="1:7" ht="15" customHeight="1" x14ac:dyDescent="0.25">
      <c r="A16" s="31">
        <v>45603</v>
      </c>
      <c r="C16" s="33">
        <v>5461758</v>
      </c>
    </row>
    <row r="17" spans="1:4" ht="15" customHeight="1" x14ac:dyDescent="0.25">
      <c r="A17" s="31">
        <v>45625</v>
      </c>
      <c r="C17" s="33">
        <v>5897702</v>
      </c>
    </row>
    <row r="18" spans="1:4" ht="15" customHeight="1" x14ac:dyDescent="0.25">
      <c r="A18" s="31">
        <v>45626</v>
      </c>
      <c r="B18" s="33">
        <v>6895033</v>
      </c>
    </row>
    <row r="19" spans="1:4" ht="15" customHeight="1" x14ac:dyDescent="0.25">
      <c r="A19" s="31">
        <v>45657</v>
      </c>
      <c r="B19" s="33">
        <v>5834449</v>
      </c>
    </row>
    <row r="20" spans="1:4" ht="15" customHeight="1" x14ac:dyDescent="0.25">
      <c r="A20" s="31">
        <v>45660</v>
      </c>
      <c r="C20" s="33">
        <v>7836811</v>
      </c>
      <c r="D20" t="s">
        <v>152</v>
      </c>
    </row>
    <row r="21" spans="1:4" ht="15" customHeight="1" x14ac:dyDescent="0.25">
      <c r="A21" s="31">
        <v>45688</v>
      </c>
      <c r="B21" s="33">
        <v>4446018</v>
      </c>
    </row>
    <row r="22" spans="1:4" ht="15" customHeight="1" x14ac:dyDescent="0.25">
      <c r="A22" s="31">
        <v>45716</v>
      </c>
      <c r="B22" s="33">
        <v>5732594</v>
      </c>
    </row>
    <row r="23" spans="1:4" ht="15" customHeight="1" x14ac:dyDescent="0.25">
      <c r="A23" s="31">
        <v>45721</v>
      </c>
      <c r="C23" s="33">
        <v>4892671</v>
      </c>
      <c r="D23" t="s">
        <v>93</v>
      </c>
    </row>
    <row r="24" spans="1:4" ht="15" customHeight="1" x14ac:dyDescent="0.25">
      <c r="A24" s="31">
        <v>45734</v>
      </c>
      <c r="C24" s="33">
        <v>7641493.0999999996</v>
      </c>
      <c r="D24" t="s">
        <v>93</v>
      </c>
    </row>
    <row r="25" spans="1:4" ht="15.75" customHeight="1" x14ac:dyDescent="0.25">
      <c r="A25" s="31">
        <v>45747</v>
      </c>
      <c r="B25" s="33">
        <v>6702730</v>
      </c>
    </row>
    <row r="26" spans="1:4" ht="15.75" customHeight="1" x14ac:dyDescent="0.25">
      <c r="A26" s="31">
        <v>45777</v>
      </c>
      <c r="B26" s="33">
        <v>6183803</v>
      </c>
    </row>
    <row r="27" spans="1:4" ht="15.75" customHeight="1" x14ac:dyDescent="0.25">
      <c r="A27" s="31">
        <v>45790</v>
      </c>
      <c r="C27" s="33">
        <v>8951117.4800000004</v>
      </c>
      <c r="D27" t="s">
        <v>93</v>
      </c>
    </row>
    <row r="28" spans="1:4" ht="15.75" customHeight="1" x14ac:dyDescent="0.25">
      <c r="A28" s="31">
        <v>45803</v>
      </c>
      <c r="C28" s="33">
        <v>111300</v>
      </c>
      <c r="D28" t="s">
        <v>182</v>
      </c>
    </row>
    <row r="29" spans="1:4" ht="15.75" customHeight="1" x14ac:dyDescent="0.25">
      <c r="A29" s="31">
        <v>45807</v>
      </c>
      <c r="B29" s="33">
        <v>6811709</v>
      </c>
    </row>
    <row r="30" spans="1:4" ht="15.75" customHeight="1" x14ac:dyDescent="0.25">
      <c r="A30" s="31">
        <v>45835</v>
      </c>
      <c r="C30" s="33">
        <v>2334000</v>
      </c>
      <c r="D30" t="s">
        <v>175</v>
      </c>
    </row>
    <row r="31" spans="1:4" ht="15.75" customHeight="1" x14ac:dyDescent="0.25">
      <c r="A31" s="31">
        <v>45835</v>
      </c>
      <c r="C31" s="33">
        <v>6589887.6699999999</v>
      </c>
      <c r="D31" s="95" t="s">
        <v>93</v>
      </c>
    </row>
    <row r="32" spans="1:4" ht="15.75" customHeight="1" x14ac:dyDescent="0.25">
      <c r="A32" s="31">
        <v>45838</v>
      </c>
      <c r="B32" s="33">
        <v>5685883</v>
      </c>
    </row>
    <row r="33" spans="1:4" ht="15.75" customHeight="1" x14ac:dyDescent="0.25">
      <c r="A33" s="31">
        <v>45865</v>
      </c>
      <c r="C33" s="33">
        <v>264107</v>
      </c>
      <c r="D33" t="s">
        <v>181</v>
      </c>
    </row>
    <row r="34" spans="1:4" ht="15.75" customHeight="1" x14ac:dyDescent="0.25">
      <c r="A34" s="31">
        <v>45869</v>
      </c>
      <c r="B34" s="33">
        <v>6789472</v>
      </c>
    </row>
    <row r="35" spans="1:4" ht="15.75" customHeight="1" x14ac:dyDescent="0.25">
      <c r="A35" s="31">
        <v>45877</v>
      </c>
      <c r="C35" s="33">
        <v>20000000</v>
      </c>
    </row>
    <row r="36" spans="1:4" ht="15.75" customHeight="1" x14ac:dyDescent="0.25">
      <c r="A36" s="31">
        <v>45900</v>
      </c>
      <c r="B36" s="33">
        <v>6861124</v>
      </c>
    </row>
    <row r="37" spans="1:4" ht="15.75" customHeight="1" x14ac:dyDescent="0.25">
      <c r="A37" s="31">
        <v>45930</v>
      </c>
      <c r="B37" s="33">
        <v>8841464</v>
      </c>
    </row>
    <row r="38" spans="1:4" ht="15.75" customHeight="1" x14ac:dyDescent="0.25">
      <c r="A38" s="31">
        <v>45939</v>
      </c>
      <c r="C38" s="33">
        <v>2491182.7000000002</v>
      </c>
    </row>
    <row r="39" spans="1:4" ht="15.75" customHeight="1" x14ac:dyDescent="0.25">
      <c r="A39" s="31">
        <v>45961</v>
      </c>
      <c r="B39" s="33">
        <v>7828100</v>
      </c>
      <c r="C39" s="125"/>
    </row>
    <row r="40" spans="1:4" ht="15.75" customHeight="1" x14ac:dyDescent="0.25">
      <c r="A40" s="31">
        <v>45974</v>
      </c>
      <c r="C40" s="137">
        <v>8841464</v>
      </c>
    </row>
    <row r="41" spans="1:4" ht="15.75" customHeight="1" x14ac:dyDescent="0.25">
      <c r="A41" s="31">
        <v>45991</v>
      </c>
      <c r="B41" s="33">
        <v>8976822</v>
      </c>
    </row>
    <row r="42" spans="1:4" ht="15.75" customHeight="1" x14ac:dyDescent="0.25">
      <c r="A42" s="31">
        <v>45988</v>
      </c>
      <c r="C42" s="33">
        <v>7828100</v>
      </c>
    </row>
    <row r="43" spans="1:4" ht="15.75" customHeight="1" x14ac:dyDescent="0.25">
      <c r="A43" s="31">
        <v>45988</v>
      </c>
      <c r="C43" s="33">
        <v>956900.86</v>
      </c>
    </row>
    <row r="44" spans="1:4" ht="15.75" customHeight="1" x14ac:dyDescent="0.25">
      <c r="A44" s="31">
        <v>46022</v>
      </c>
      <c r="B44" s="33">
        <v>9178816</v>
      </c>
    </row>
    <row r="45" spans="1:4" ht="15.75" customHeight="1" x14ac:dyDescent="0.25">
      <c r="A45" s="144">
        <v>46045</v>
      </c>
      <c r="C45" s="33">
        <v>7837571.1399999997</v>
      </c>
      <c r="D45" t="s">
        <v>93</v>
      </c>
    </row>
    <row r="46" spans="1:4" ht="15.75" customHeight="1" x14ac:dyDescent="0.25">
      <c r="A46" s="31">
        <v>46053</v>
      </c>
      <c r="B46" s="33">
        <v>9786735</v>
      </c>
    </row>
    <row r="47" spans="1:4" ht="15.75" customHeight="1" x14ac:dyDescent="0.25">
      <c r="A47" s="31">
        <v>46080</v>
      </c>
      <c r="C47" s="33">
        <v>9178816</v>
      </c>
    </row>
    <row r="48" spans="1:4" ht="15.75" customHeight="1" x14ac:dyDescent="0.25">
      <c r="A48" s="31">
        <v>46081</v>
      </c>
      <c r="B48" s="33">
        <v>8185127</v>
      </c>
    </row>
    <row r="49" spans="1:3" ht="15.75" customHeight="1" x14ac:dyDescent="0.25">
      <c r="A49" s="31">
        <v>46100</v>
      </c>
      <c r="C49" s="33">
        <v>9786735</v>
      </c>
    </row>
    <row r="50" spans="1:3" ht="15.75" customHeight="1" x14ac:dyDescent="0.25"/>
    <row r="51" spans="1:3" ht="15.75" customHeight="1" x14ac:dyDescent="0.25"/>
    <row r="52" spans="1:3" ht="15.75" customHeight="1" x14ac:dyDescent="0.25"/>
    <row r="53" spans="1:3" ht="15.75" customHeight="1" x14ac:dyDescent="0.25"/>
    <row r="54" spans="1:3" ht="15.75" customHeight="1" x14ac:dyDescent="0.25"/>
    <row r="55" spans="1:3" ht="15.75" customHeight="1" x14ac:dyDescent="0.25"/>
    <row r="56" spans="1:3" ht="15.75" customHeight="1" x14ac:dyDescent="0.25"/>
    <row r="57" spans="1:3" ht="15.75" customHeight="1" x14ac:dyDescent="0.25"/>
    <row r="58" spans="1:3" ht="15.75" customHeight="1" x14ac:dyDescent="0.25"/>
    <row r="59" spans="1:3" ht="15.75" customHeight="1" x14ac:dyDescent="0.25"/>
    <row r="60" spans="1:3" ht="15.75" customHeight="1" x14ac:dyDescent="0.25"/>
    <row r="61" spans="1:3" ht="15.75" customHeight="1" x14ac:dyDescent="0.25"/>
    <row r="62" spans="1:3" ht="15.75" customHeight="1" x14ac:dyDescent="0.25"/>
    <row r="63" spans="1:3" ht="15.75" customHeight="1" x14ac:dyDescent="0.25"/>
    <row r="64" spans="1: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</sheetData>
  <conditionalFormatting sqref="G2">
    <cfRule type="cellIs" dxfId="29" priority="1" operator="lessThan">
      <formula>0</formula>
    </cfRule>
    <cfRule type="cellIs" dxfId="28" priority="2" operator="greaterThan">
      <formula>0</formula>
    </cfRule>
  </conditionalFormatting>
  <hyperlinks>
    <hyperlink ref="D1" location="CLIENTES!A1" display="volver" xr:uid="{00000000-0004-0000-3000-000000000000}"/>
  </hyperlinks>
  <pageMargins left="0.7" right="0.7" top="0.75" bottom="0.75" header="0" footer="0"/>
  <pageSetup orientation="landscape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G1004"/>
  <sheetViews>
    <sheetView workbookViewId="0">
      <selection activeCell="D1" sqref="D1"/>
    </sheetView>
  </sheetViews>
  <sheetFormatPr baseColWidth="10" defaultColWidth="14.42578125" defaultRowHeight="15" customHeight="1" x14ac:dyDescent="0.25"/>
  <cols>
    <col min="1" max="1" width="14.5703125" customWidth="1"/>
    <col min="2" max="2" width="21" style="33" customWidth="1"/>
    <col min="3" max="3" width="14.5703125" style="33" customWidth="1"/>
    <col min="4" max="4" width="18.42578125" customWidth="1"/>
    <col min="5" max="7" width="14.5703125" customWidth="1"/>
    <col min="8" max="26" width="10.7109375" customWidth="1"/>
  </cols>
  <sheetData>
    <row r="1" spans="1:7" ht="18.75" x14ac:dyDescent="0.3">
      <c r="A1" s="12" t="s">
        <v>40</v>
      </c>
      <c r="B1"/>
      <c r="C1"/>
      <c r="D1" s="101" t="s">
        <v>52</v>
      </c>
    </row>
    <row r="2" spans="1:7" s="37" customFormat="1" x14ac:dyDescent="0.25">
      <c r="A2" s="37" t="s">
        <v>53</v>
      </c>
      <c r="B2" s="38" t="s">
        <v>54</v>
      </c>
      <c r="C2" s="38" t="s">
        <v>55</v>
      </c>
      <c r="D2" s="37" t="s">
        <v>56</v>
      </c>
      <c r="E2" s="37" t="s">
        <v>57</v>
      </c>
      <c r="F2" s="39" t="s">
        <v>58</v>
      </c>
      <c r="G2" s="40">
        <f>SUM(C3:C1048576) - SUM(B3:B1048576)</f>
        <v>0</v>
      </c>
    </row>
    <row r="4" spans="1:7" ht="15" customHeight="1" x14ac:dyDescent="0.25">
      <c r="A4" s="31">
        <v>45443</v>
      </c>
      <c r="B4" s="33">
        <v>207034</v>
      </c>
    </row>
    <row r="5" spans="1:7" ht="15" customHeight="1" x14ac:dyDescent="0.25">
      <c r="A5" s="31">
        <v>45473</v>
      </c>
      <c r="B5" s="33">
        <v>303198</v>
      </c>
    </row>
    <row r="6" spans="1:7" ht="15" customHeight="1" x14ac:dyDescent="0.25">
      <c r="A6" s="31">
        <v>45479</v>
      </c>
      <c r="C6" s="33">
        <v>207034</v>
      </c>
      <c r="D6" s="34" t="s">
        <v>91</v>
      </c>
    </row>
    <row r="7" spans="1:7" ht="15" customHeight="1" x14ac:dyDescent="0.25">
      <c r="A7" s="31">
        <v>45479</v>
      </c>
      <c r="C7" s="33">
        <v>303198</v>
      </c>
      <c r="D7" s="34" t="s">
        <v>91</v>
      </c>
    </row>
    <row r="8" spans="1:7" ht="15" customHeight="1" x14ac:dyDescent="0.25">
      <c r="A8" s="31">
        <v>45504</v>
      </c>
      <c r="B8" s="33">
        <v>678722</v>
      </c>
    </row>
    <row r="9" spans="1:7" ht="15" customHeight="1" x14ac:dyDescent="0.25">
      <c r="A9" s="31">
        <v>45517</v>
      </c>
      <c r="C9" s="33">
        <v>678722</v>
      </c>
    </row>
    <row r="10" spans="1:7" ht="15" customHeight="1" x14ac:dyDescent="0.25">
      <c r="A10" s="31">
        <v>45535</v>
      </c>
      <c r="B10" s="33">
        <v>82236</v>
      </c>
    </row>
    <row r="11" spans="1:7" ht="15" customHeight="1" x14ac:dyDescent="0.25">
      <c r="A11" s="31">
        <v>45565</v>
      </c>
      <c r="B11" s="33">
        <v>650105</v>
      </c>
    </row>
    <row r="12" spans="1:7" ht="15" customHeight="1" x14ac:dyDescent="0.25">
      <c r="A12" s="31">
        <v>45585</v>
      </c>
      <c r="C12" s="33">
        <v>732341</v>
      </c>
    </row>
    <row r="13" spans="1:7" ht="15" customHeight="1" x14ac:dyDescent="0.25">
      <c r="A13" s="31">
        <v>45596</v>
      </c>
      <c r="B13" s="33">
        <v>1241875</v>
      </c>
    </row>
    <row r="14" spans="1:7" ht="15" customHeight="1" x14ac:dyDescent="0.25">
      <c r="A14" s="31">
        <v>45615</v>
      </c>
      <c r="C14" s="33">
        <v>1400000</v>
      </c>
    </row>
    <row r="15" spans="1:7" ht="15" customHeight="1" x14ac:dyDescent="0.25">
      <c r="A15" s="31">
        <v>45626</v>
      </c>
      <c r="B15" s="33">
        <v>1456500</v>
      </c>
    </row>
    <row r="16" spans="1:7" ht="15" customHeight="1" x14ac:dyDescent="0.25">
      <c r="A16" s="31">
        <v>45649</v>
      </c>
      <c r="C16" s="33">
        <v>2070000</v>
      </c>
    </row>
    <row r="17" spans="1:3" ht="15" customHeight="1" x14ac:dyDescent="0.25">
      <c r="A17" s="31">
        <v>45657</v>
      </c>
      <c r="B17" s="33">
        <v>1416715</v>
      </c>
    </row>
    <row r="18" spans="1:3" ht="15" customHeight="1" x14ac:dyDescent="0.25">
      <c r="A18" s="31">
        <v>45688</v>
      </c>
      <c r="B18" s="33">
        <v>2351305</v>
      </c>
    </row>
    <row r="19" spans="1:3" ht="15" customHeight="1" x14ac:dyDescent="0.25">
      <c r="A19" s="31">
        <v>45706</v>
      </c>
      <c r="C19" s="33">
        <v>2996395</v>
      </c>
    </row>
    <row r="20" spans="1:3" ht="15" customHeight="1" x14ac:dyDescent="0.25">
      <c r="A20" s="31">
        <v>45716</v>
      </c>
      <c r="B20" s="33">
        <v>1524109</v>
      </c>
    </row>
    <row r="21" spans="1:3" ht="15" customHeight="1" x14ac:dyDescent="0.25">
      <c r="A21" s="31">
        <v>45738</v>
      </c>
      <c r="C21" s="33">
        <v>1524109</v>
      </c>
    </row>
    <row r="22" spans="1:3" ht="15" customHeight="1" x14ac:dyDescent="0.25">
      <c r="A22" s="31">
        <v>45747</v>
      </c>
      <c r="B22" s="33">
        <v>736278</v>
      </c>
    </row>
    <row r="23" spans="1:3" ht="15" customHeight="1" x14ac:dyDescent="0.25">
      <c r="A23" s="31">
        <v>45777</v>
      </c>
      <c r="B23" s="33">
        <v>403966</v>
      </c>
    </row>
    <row r="24" spans="1:3" ht="15.75" customHeight="1" x14ac:dyDescent="0.25">
      <c r="A24" s="31">
        <v>45791</v>
      </c>
      <c r="C24" s="33">
        <v>1140244</v>
      </c>
    </row>
    <row r="25" spans="1:3" ht="15.75" customHeight="1" x14ac:dyDescent="0.25">
      <c r="A25" s="31">
        <v>45807</v>
      </c>
      <c r="B25" s="33">
        <v>79556</v>
      </c>
    </row>
    <row r="26" spans="1:3" ht="15.75" customHeight="1" x14ac:dyDescent="0.25">
      <c r="A26" s="31">
        <v>45826</v>
      </c>
      <c r="C26" s="33">
        <v>79556</v>
      </c>
    </row>
    <row r="27" spans="1:3" ht="15.75" customHeight="1" x14ac:dyDescent="0.25">
      <c r="A27" s="31">
        <v>45838</v>
      </c>
      <c r="B27" s="33">
        <v>113446</v>
      </c>
    </row>
    <row r="28" spans="1:3" ht="15.75" customHeight="1" x14ac:dyDescent="0.25">
      <c r="A28" s="31">
        <v>45862</v>
      </c>
      <c r="C28" s="33">
        <v>113446</v>
      </c>
    </row>
    <row r="29" spans="1:3" ht="15.75" customHeight="1" x14ac:dyDescent="0.25">
      <c r="A29" s="31">
        <v>45869</v>
      </c>
      <c r="B29" s="33">
        <v>1039148</v>
      </c>
    </row>
    <row r="30" spans="1:3" ht="15.75" customHeight="1" x14ac:dyDescent="0.25">
      <c r="A30" s="31">
        <v>45884</v>
      </c>
      <c r="C30" s="33">
        <v>1039148</v>
      </c>
    </row>
    <row r="31" spans="1:3" ht="15.75" customHeight="1" x14ac:dyDescent="0.25">
      <c r="A31" s="31">
        <v>45900</v>
      </c>
      <c r="B31" s="33">
        <v>287978</v>
      </c>
    </row>
    <row r="32" spans="1:3" ht="15.75" customHeight="1" x14ac:dyDescent="0.25">
      <c r="A32" s="31">
        <v>45905</v>
      </c>
      <c r="C32" s="33">
        <v>287978</v>
      </c>
    </row>
    <row r="33" spans="1:4" ht="15.75" customHeight="1" x14ac:dyDescent="0.25">
      <c r="A33" s="31">
        <v>45930</v>
      </c>
      <c r="B33" s="33">
        <v>1137093</v>
      </c>
    </row>
    <row r="34" spans="1:4" ht="15.75" customHeight="1" x14ac:dyDescent="0.25">
      <c r="A34" s="31">
        <v>45933</v>
      </c>
      <c r="C34" s="33">
        <v>1137093</v>
      </c>
    </row>
    <row r="35" spans="1:4" ht="15.75" customHeight="1" x14ac:dyDescent="0.25">
      <c r="A35" s="31">
        <v>45961</v>
      </c>
      <c r="B35" s="33">
        <v>1587905</v>
      </c>
    </row>
    <row r="36" spans="1:4" ht="15.75" customHeight="1" x14ac:dyDescent="0.25">
      <c r="A36" s="31">
        <v>45991</v>
      </c>
      <c r="B36" s="33">
        <v>2420301</v>
      </c>
    </row>
    <row r="37" spans="1:4" ht="15.75" customHeight="1" x14ac:dyDescent="0.25">
      <c r="A37" s="31">
        <v>45995</v>
      </c>
      <c r="C37" s="33">
        <v>3380000</v>
      </c>
      <c r="D37" t="s">
        <v>165</v>
      </c>
    </row>
    <row r="38" spans="1:4" ht="15.75" customHeight="1" x14ac:dyDescent="0.25">
      <c r="A38" s="31">
        <v>46022</v>
      </c>
      <c r="B38" s="33">
        <v>1932035</v>
      </c>
    </row>
    <row r="39" spans="1:4" ht="15.75" customHeight="1" x14ac:dyDescent="0.25">
      <c r="A39" s="31">
        <v>46030</v>
      </c>
      <c r="C39" s="33">
        <v>1932035</v>
      </c>
    </row>
    <row r="40" spans="1:4" ht="15.75" customHeight="1" x14ac:dyDescent="0.25">
      <c r="A40" s="31">
        <v>46042</v>
      </c>
      <c r="C40" s="33">
        <v>628208</v>
      </c>
    </row>
    <row r="41" spans="1:4" ht="15.75" customHeight="1" x14ac:dyDescent="0.25">
      <c r="A41" s="31">
        <v>46053</v>
      </c>
      <c r="B41" s="33">
        <v>3922599</v>
      </c>
    </row>
    <row r="42" spans="1:4" ht="15.75" customHeight="1" x14ac:dyDescent="0.25">
      <c r="A42" s="31">
        <v>46066</v>
      </c>
      <c r="C42" s="33">
        <v>780000</v>
      </c>
    </row>
    <row r="43" spans="1:4" ht="15.75" customHeight="1" x14ac:dyDescent="0.25">
      <c r="A43" s="31">
        <v>46071</v>
      </c>
      <c r="C43" s="33">
        <v>850000</v>
      </c>
    </row>
    <row r="44" spans="1:4" ht="15.75" customHeight="1" x14ac:dyDescent="0.25">
      <c r="A44" s="31">
        <v>46074</v>
      </c>
      <c r="C44" s="33">
        <v>900000</v>
      </c>
    </row>
    <row r="45" spans="1:4" ht="15.75" customHeight="1" x14ac:dyDescent="0.25">
      <c r="A45" s="31">
        <v>46079</v>
      </c>
      <c r="C45" s="33">
        <v>650000</v>
      </c>
    </row>
    <row r="46" spans="1:4" ht="15.75" customHeight="1" x14ac:dyDescent="0.25">
      <c r="A46" s="31">
        <v>46081</v>
      </c>
      <c r="B46" s="33">
        <v>2725320</v>
      </c>
    </row>
    <row r="47" spans="1:4" ht="15.75" customHeight="1" x14ac:dyDescent="0.25">
      <c r="A47" s="31">
        <v>46083</v>
      </c>
      <c r="C47" s="33">
        <v>742597</v>
      </c>
    </row>
    <row r="48" spans="1:4" ht="15.75" customHeight="1" x14ac:dyDescent="0.25">
      <c r="A48" s="31">
        <v>46092</v>
      </c>
      <c r="C48" s="33">
        <v>750000</v>
      </c>
    </row>
    <row r="49" spans="1:3" ht="15.75" customHeight="1" x14ac:dyDescent="0.25">
      <c r="A49" s="31">
        <v>46094</v>
      </c>
      <c r="C49" s="33">
        <v>875000</v>
      </c>
    </row>
    <row r="50" spans="1:3" ht="15.75" customHeight="1" x14ac:dyDescent="0.25">
      <c r="A50" s="31">
        <v>46097</v>
      </c>
      <c r="C50" s="33">
        <v>550000</v>
      </c>
    </row>
    <row r="51" spans="1:3" ht="15.75" customHeight="1" x14ac:dyDescent="0.25">
      <c r="A51" s="31">
        <v>46099</v>
      </c>
      <c r="C51" s="33">
        <v>550320</v>
      </c>
    </row>
    <row r="52" spans="1:3" ht="15.75" customHeight="1" x14ac:dyDescent="0.25"/>
    <row r="53" spans="1:3" ht="15.75" customHeight="1" x14ac:dyDescent="0.25"/>
    <row r="54" spans="1:3" ht="15.75" customHeight="1" x14ac:dyDescent="0.25"/>
    <row r="55" spans="1:3" ht="15.75" customHeight="1" x14ac:dyDescent="0.25"/>
    <row r="56" spans="1:3" ht="15.75" customHeight="1" x14ac:dyDescent="0.25"/>
    <row r="57" spans="1:3" ht="15.75" customHeight="1" x14ac:dyDescent="0.25"/>
    <row r="58" spans="1:3" ht="15.75" customHeight="1" x14ac:dyDescent="0.25"/>
    <row r="59" spans="1:3" ht="15.75" customHeight="1" x14ac:dyDescent="0.25"/>
    <row r="60" spans="1:3" ht="15.75" customHeight="1" x14ac:dyDescent="0.25"/>
    <row r="61" spans="1:3" ht="15.75" customHeight="1" x14ac:dyDescent="0.25"/>
    <row r="62" spans="1:3" ht="15.75" customHeight="1" x14ac:dyDescent="0.25"/>
    <row r="63" spans="1:3" ht="15.75" customHeight="1" x14ac:dyDescent="0.25"/>
    <row r="64" spans="1: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</sheetData>
  <conditionalFormatting sqref="G2">
    <cfRule type="cellIs" dxfId="27" priority="1" operator="lessThan">
      <formula>0</formula>
    </cfRule>
    <cfRule type="cellIs" dxfId="26" priority="2" operator="greaterThan">
      <formula>0</formula>
    </cfRule>
  </conditionalFormatting>
  <hyperlinks>
    <hyperlink ref="D1" location="CLIENTES!A1" display="volver" xr:uid="{00000000-0004-0000-3100-000000000000}"/>
  </hyperlinks>
  <pageMargins left="0.7" right="0.7" top="0.75" bottom="0.75" header="0" footer="0"/>
  <pageSetup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K1004"/>
  <sheetViews>
    <sheetView workbookViewId="0">
      <selection activeCell="D1" sqref="D1"/>
    </sheetView>
  </sheetViews>
  <sheetFormatPr baseColWidth="10" defaultColWidth="14.42578125" defaultRowHeight="15" customHeight="1" x14ac:dyDescent="0.25"/>
  <cols>
    <col min="1" max="1" width="13.5703125" customWidth="1"/>
    <col min="2" max="2" width="19.7109375" style="33" bestFit="1" customWidth="1"/>
    <col min="3" max="3" width="16.28515625" style="33" customWidth="1"/>
    <col min="4" max="4" width="17.28515625" customWidth="1"/>
    <col min="7" max="7" width="16.42578125" customWidth="1"/>
    <col min="9" max="9" width="18" customWidth="1"/>
    <col min="10" max="10" width="18.5703125" customWidth="1"/>
  </cols>
  <sheetData>
    <row r="1" spans="1:11" ht="19.5" thickBot="1" x14ac:dyDescent="0.35">
      <c r="A1" s="12" t="s">
        <v>41</v>
      </c>
      <c r="B1"/>
      <c r="C1"/>
      <c r="D1" s="101" t="s">
        <v>52</v>
      </c>
    </row>
    <row r="2" spans="1:11" s="34" customFormat="1" ht="21.75" customHeight="1" thickBot="1" x14ac:dyDescent="0.3">
      <c r="A2" s="37" t="s">
        <v>53</v>
      </c>
      <c r="B2" s="38" t="s">
        <v>54</v>
      </c>
      <c r="C2" s="38" t="s">
        <v>55</v>
      </c>
      <c r="D2" s="37" t="s">
        <v>56</v>
      </c>
      <c r="E2" s="37" t="s">
        <v>57</v>
      </c>
      <c r="F2" s="39" t="s">
        <v>58</v>
      </c>
      <c r="G2" s="105">
        <f>SUM(C17:C64) - SUM(B17:B64)</f>
        <v>-387025</v>
      </c>
      <c r="H2" s="37"/>
      <c r="I2" s="51" t="s">
        <v>70</v>
      </c>
      <c r="J2" s="52">
        <v>10000000</v>
      </c>
      <c r="K2" s="34" t="s">
        <v>90</v>
      </c>
    </row>
    <row r="3" spans="1:11" ht="17.25" customHeight="1" thickBot="1" x14ac:dyDescent="0.3">
      <c r="G3" s="33"/>
      <c r="I3" s="26" t="s">
        <v>172</v>
      </c>
      <c r="J3" s="90">
        <f>G2</f>
        <v>-387025</v>
      </c>
    </row>
    <row r="4" spans="1:11" ht="15" customHeight="1" thickBot="1" x14ac:dyDescent="0.3">
      <c r="A4" s="31">
        <v>45351</v>
      </c>
      <c r="B4" s="33">
        <v>1745279</v>
      </c>
      <c r="I4" s="53" t="s">
        <v>89</v>
      </c>
      <c r="J4" s="30"/>
    </row>
    <row r="5" spans="1:11" ht="15" customHeight="1" x14ac:dyDescent="0.25">
      <c r="A5" s="31">
        <v>45382</v>
      </c>
      <c r="B5" s="33">
        <v>891193</v>
      </c>
      <c r="E5" s="88"/>
    </row>
    <row r="6" spans="1:11" ht="15" customHeight="1" x14ac:dyDescent="0.25">
      <c r="A6" s="35">
        <v>45412</v>
      </c>
      <c r="B6" s="33">
        <v>997185</v>
      </c>
      <c r="E6" s="88"/>
    </row>
    <row r="7" spans="1:11" ht="15" customHeight="1" x14ac:dyDescent="0.25">
      <c r="A7" s="31">
        <v>45443</v>
      </c>
      <c r="B7" s="33">
        <v>917808</v>
      </c>
      <c r="E7" s="88"/>
    </row>
    <row r="8" spans="1:11" ht="15" customHeight="1" x14ac:dyDescent="0.25">
      <c r="A8" s="31">
        <v>45473</v>
      </c>
      <c r="B8" s="33">
        <v>595474</v>
      </c>
    </row>
    <row r="9" spans="1:11" ht="15" customHeight="1" x14ac:dyDescent="0.25">
      <c r="A9" s="31">
        <v>45504</v>
      </c>
      <c r="B9" s="33">
        <v>2272153</v>
      </c>
    </row>
    <row r="10" spans="1:11" ht="15" customHeight="1" x14ac:dyDescent="0.25">
      <c r="A10" s="31">
        <v>45535</v>
      </c>
      <c r="B10" s="33">
        <v>1102882</v>
      </c>
    </row>
    <row r="11" spans="1:11" ht="15" customHeight="1" x14ac:dyDescent="0.25">
      <c r="A11" s="31">
        <v>45565</v>
      </c>
      <c r="B11" s="33">
        <v>1427156</v>
      </c>
    </row>
    <row r="12" spans="1:11" ht="15" customHeight="1" x14ac:dyDescent="0.25">
      <c r="A12" s="31">
        <v>45580</v>
      </c>
      <c r="B12" s="33">
        <v>1301061</v>
      </c>
      <c r="F12" s="33"/>
    </row>
    <row r="13" spans="1:11" ht="15" customHeight="1" x14ac:dyDescent="0.25">
      <c r="A13" s="31">
        <v>45596</v>
      </c>
      <c r="B13" s="33">
        <v>2232987</v>
      </c>
    </row>
    <row r="14" spans="1:11" ht="15" customHeight="1" x14ac:dyDescent="0.25">
      <c r="A14" s="31">
        <v>45615</v>
      </c>
      <c r="C14" s="33">
        <v>2682276</v>
      </c>
    </row>
    <row r="15" spans="1:11" ht="15" customHeight="1" x14ac:dyDescent="0.25">
      <c r="A15" s="31">
        <v>45616</v>
      </c>
      <c r="C15" s="33">
        <v>330000</v>
      </c>
    </row>
    <row r="16" spans="1:11" ht="15" customHeight="1" x14ac:dyDescent="0.25">
      <c r="A16" s="31">
        <v>45616</v>
      </c>
      <c r="C16" s="33">
        <v>470902</v>
      </c>
    </row>
    <row r="17" spans="1:4" ht="15" customHeight="1" x14ac:dyDescent="0.25">
      <c r="A17" s="31">
        <v>45626</v>
      </c>
      <c r="B17" s="33">
        <v>4139787</v>
      </c>
    </row>
    <row r="18" spans="1:4" ht="15" customHeight="1" x14ac:dyDescent="0.25">
      <c r="A18" s="31">
        <v>45628</v>
      </c>
      <c r="C18" s="33">
        <v>1901130</v>
      </c>
    </row>
    <row r="19" spans="1:4" ht="15" customHeight="1" x14ac:dyDescent="0.25">
      <c r="A19" s="31">
        <v>45632</v>
      </c>
      <c r="C19" s="33">
        <v>2238657</v>
      </c>
    </row>
    <row r="20" spans="1:4" ht="15" customHeight="1" x14ac:dyDescent="0.25">
      <c r="A20" s="31">
        <v>45657</v>
      </c>
      <c r="B20" s="33">
        <v>5219468</v>
      </c>
    </row>
    <row r="21" spans="1:4" ht="15" customHeight="1" x14ac:dyDescent="0.25">
      <c r="A21" s="31">
        <v>45673</v>
      </c>
      <c r="C21" s="33">
        <v>1500000</v>
      </c>
    </row>
    <row r="22" spans="1:4" ht="15" customHeight="1" x14ac:dyDescent="0.25">
      <c r="A22" s="31">
        <v>45313</v>
      </c>
      <c r="C22" s="33">
        <v>1000000</v>
      </c>
    </row>
    <row r="23" spans="1:4" ht="15" customHeight="1" x14ac:dyDescent="0.25">
      <c r="A23" s="31">
        <v>45684</v>
      </c>
      <c r="C23" s="33">
        <v>1000000</v>
      </c>
    </row>
    <row r="24" spans="1:4" ht="15" customHeight="1" x14ac:dyDescent="0.25">
      <c r="A24" s="31">
        <v>45684</v>
      </c>
      <c r="C24" s="33">
        <v>2000000</v>
      </c>
    </row>
    <row r="25" spans="1:4" ht="15.75" customHeight="1" x14ac:dyDescent="0.25">
      <c r="A25" s="31">
        <v>45688</v>
      </c>
      <c r="B25" s="33">
        <v>4466778</v>
      </c>
    </row>
    <row r="26" spans="1:4" ht="15.75" customHeight="1" x14ac:dyDescent="0.25">
      <c r="A26" s="31">
        <v>45706</v>
      </c>
      <c r="C26" s="33">
        <v>2000000</v>
      </c>
      <c r="D26" t="s">
        <v>163</v>
      </c>
    </row>
    <row r="27" spans="1:4" ht="15.75" customHeight="1" x14ac:dyDescent="0.25">
      <c r="A27" s="31">
        <v>45712</v>
      </c>
      <c r="C27" s="33">
        <v>1186246</v>
      </c>
    </row>
    <row r="28" spans="1:4" ht="15.75" customHeight="1" x14ac:dyDescent="0.25">
      <c r="A28" s="31">
        <v>45712</v>
      </c>
      <c r="C28" s="33">
        <v>1000000</v>
      </c>
    </row>
    <row r="29" spans="1:4" ht="15.75" customHeight="1" x14ac:dyDescent="0.25">
      <c r="A29" s="31">
        <v>45716</v>
      </c>
      <c r="B29" s="33">
        <v>3172224</v>
      </c>
    </row>
    <row r="30" spans="1:4" ht="15.75" customHeight="1" x14ac:dyDescent="0.25">
      <c r="A30" s="31">
        <v>45737</v>
      </c>
      <c r="C30" s="33">
        <v>3000000</v>
      </c>
    </row>
    <row r="31" spans="1:4" ht="15.75" customHeight="1" x14ac:dyDescent="0.25">
      <c r="A31" s="31">
        <v>45747</v>
      </c>
      <c r="B31" s="33">
        <v>2274679</v>
      </c>
    </row>
    <row r="32" spans="1:4" ht="15.75" customHeight="1" x14ac:dyDescent="0.25">
      <c r="A32" s="31">
        <v>45770</v>
      </c>
      <c r="C32" s="33">
        <v>2446903</v>
      </c>
    </row>
    <row r="33" spans="1:4" ht="15.75" customHeight="1" x14ac:dyDescent="0.25">
      <c r="A33" s="31">
        <v>45777</v>
      </c>
      <c r="B33" s="33">
        <v>1635512</v>
      </c>
    </row>
    <row r="34" spans="1:4" ht="15.75" customHeight="1" x14ac:dyDescent="0.25">
      <c r="A34" s="31">
        <v>45792</v>
      </c>
      <c r="C34" s="33">
        <v>1712000</v>
      </c>
    </row>
    <row r="35" spans="1:4" ht="15.75" customHeight="1" x14ac:dyDescent="0.25">
      <c r="A35" s="31">
        <v>45807</v>
      </c>
      <c r="B35" s="33">
        <v>1029527</v>
      </c>
    </row>
    <row r="36" spans="1:4" ht="15.75" customHeight="1" x14ac:dyDescent="0.25">
      <c r="A36" s="31">
        <v>45818</v>
      </c>
      <c r="C36" s="33">
        <v>953039</v>
      </c>
    </row>
    <row r="37" spans="1:4" ht="15.75" customHeight="1" x14ac:dyDescent="0.25">
      <c r="A37" s="31">
        <v>45838</v>
      </c>
      <c r="B37" s="33">
        <v>622282</v>
      </c>
    </row>
    <row r="38" spans="1:4" ht="15.75" customHeight="1" x14ac:dyDescent="0.25">
      <c r="A38" s="31">
        <v>45852</v>
      </c>
      <c r="C38" s="33">
        <v>622282</v>
      </c>
    </row>
    <row r="39" spans="1:4" ht="15.75" customHeight="1" x14ac:dyDescent="0.25">
      <c r="A39" s="31">
        <v>45869</v>
      </c>
      <c r="B39" s="33">
        <v>2194097</v>
      </c>
    </row>
    <row r="40" spans="1:4" ht="15.75" customHeight="1" x14ac:dyDescent="0.25">
      <c r="A40" s="31">
        <v>45873</v>
      </c>
      <c r="C40" s="33">
        <v>2000000</v>
      </c>
      <c r="D40" t="s">
        <v>109</v>
      </c>
    </row>
    <row r="41" spans="1:4" ht="15.75" customHeight="1" x14ac:dyDescent="0.25">
      <c r="A41" s="31">
        <v>45873</v>
      </c>
      <c r="C41" s="33">
        <v>194097</v>
      </c>
      <c r="D41" t="s">
        <v>170</v>
      </c>
    </row>
    <row r="42" spans="1:4" ht="15.75" customHeight="1" x14ac:dyDescent="0.25">
      <c r="A42" s="31">
        <v>45900</v>
      </c>
      <c r="B42" s="33">
        <v>2517353</v>
      </c>
    </row>
    <row r="43" spans="1:4" ht="15.75" customHeight="1" x14ac:dyDescent="0.25">
      <c r="A43" s="31">
        <v>45911</v>
      </c>
      <c r="C43" s="33">
        <v>2517353</v>
      </c>
    </row>
    <row r="44" spans="1:4" ht="15.75" customHeight="1" x14ac:dyDescent="0.25">
      <c r="A44" s="31">
        <v>45930</v>
      </c>
      <c r="B44" s="33">
        <v>2561560</v>
      </c>
    </row>
    <row r="45" spans="1:4" ht="15.75" customHeight="1" x14ac:dyDescent="0.25">
      <c r="A45" s="31">
        <v>45937</v>
      </c>
      <c r="C45" s="33">
        <v>2561560</v>
      </c>
    </row>
    <row r="46" spans="1:4" ht="15.75" customHeight="1" x14ac:dyDescent="0.25">
      <c r="A46" s="31">
        <v>45958</v>
      </c>
      <c r="C46" s="33">
        <v>10000000</v>
      </c>
      <c r="D46" s="129" t="s">
        <v>59</v>
      </c>
    </row>
    <row r="47" spans="1:4" ht="15.75" customHeight="1" x14ac:dyDescent="0.25">
      <c r="A47" s="31">
        <v>45961</v>
      </c>
      <c r="B47" s="33">
        <v>3663353</v>
      </c>
    </row>
    <row r="48" spans="1:4" ht="15.75" customHeight="1" x14ac:dyDescent="0.25">
      <c r="A48" s="31">
        <v>45991</v>
      </c>
      <c r="B48" s="33">
        <v>6094605</v>
      </c>
    </row>
    <row r="49" spans="1:4" ht="15.75" customHeight="1" x14ac:dyDescent="0.25">
      <c r="A49" s="31">
        <v>45992</v>
      </c>
      <c r="C49" s="33">
        <v>6000000</v>
      </c>
      <c r="D49" s="138" t="s">
        <v>67</v>
      </c>
    </row>
    <row r="50" spans="1:4" ht="15.75" customHeight="1" x14ac:dyDescent="0.25">
      <c r="A50" s="31">
        <v>46022</v>
      </c>
      <c r="B50" s="33">
        <v>5488275</v>
      </c>
    </row>
    <row r="51" spans="1:4" ht="15.75" customHeight="1" x14ac:dyDescent="0.25">
      <c r="A51" s="31">
        <v>46035</v>
      </c>
      <c r="C51" s="33">
        <v>4800000</v>
      </c>
      <c r="D51" t="s">
        <v>220</v>
      </c>
    </row>
    <row r="52" spans="1:4" ht="15.75" customHeight="1" x14ac:dyDescent="0.25">
      <c r="A52" s="31">
        <v>46053</v>
      </c>
      <c r="B52" s="33">
        <v>6114412</v>
      </c>
    </row>
    <row r="53" spans="1:4" ht="15.75" customHeight="1" x14ac:dyDescent="0.25">
      <c r="A53" s="31">
        <v>46036</v>
      </c>
      <c r="B53" s="33">
        <v>210000</v>
      </c>
      <c r="D53" t="s">
        <v>225</v>
      </c>
    </row>
    <row r="54" spans="1:4" ht="15.75" customHeight="1" x14ac:dyDescent="0.25">
      <c r="A54" s="31">
        <v>46036</v>
      </c>
      <c r="C54" s="33">
        <v>25200</v>
      </c>
      <c r="D54" t="s">
        <v>224</v>
      </c>
    </row>
    <row r="55" spans="1:4" ht="15.75" customHeight="1" x14ac:dyDescent="0.25">
      <c r="A55" s="31">
        <v>46058</v>
      </c>
      <c r="C55" s="33">
        <v>745445</v>
      </c>
    </row>
    <row r="56" spans="1:4" ht="15.75" customHeight="1" x14ac:dyDescent="0.25">
      <c r="A56" s="31">
        <v>46066</v>
      </c>
      <c r="B56" s="33">
        <v>210000</v>
      </c>
      <c r="D56" t="s">
        <v>227</v>
      </c>
    </row>
    <row r="57" spans="1:4" ht="15.75" customHeight="1" x14ac:dyDescent="0.25">
      <c r="A57" s="31">
        <v>46081</v>
      </c>
      <c r="B57" s="33">
        <v>4040326</v>
      </c>
    </row>
    <row r="58" spans="1:4" ht="15.75" customHeight="1" x14ac:dyDescent="0.25">
      <c r="A58" s="31">
        <v>46085</v>
      </c>
      <c r="C58" s="33">
        <v>4040326</v>
      </c>
    </row>
    <row r="59" spans="1:4" ht="15.75" customHeight="1" x14ac:dyDescent="0.25">
      <c r="A59" s="31">
        <v>46093</v>
      </c>
      <c r="B59" s="33">
        <v>177025</v>
      </c>
      <c r="D59" s="150" t="s">
        <v>225</v>
      </c>
    </row>
    <row r="60" spans="1:4" ht="15.75" customHeight="1" x14ac:dyDescent="0.25"/>
    <row r="61" spans="1:4" ht="15.75" customHeight="1" x14ac:dyDescent="0.25"/>
    <row r="62" spans="1:4" ht="15.75" customHeight="1" x14ac:dyDescent="0.25"/>
    <row r="63" spans="1:4" ht="15.75" customHeight="1" x14ac:dyDescent="0.25"/>
    <row r="64" spans="1: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</sheetData>
  <hyperlinks>
    <hyperlink ref="D1" location="CLIENTES!A1" display="volver" xr:uid="{00000000-0004-0000-3200-000000000000}"/>
  </hyperlinks>
  <pageMargins left="0.7" right="0.7" top="0.75" bottom="0.75" header="0" footer="0"/>
  <pageSetup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G1000"/>
  <sheetViews>
    <sheetView workbookViewId="0">
      <selection activeCell="D1" sqref="D1"/>
    </sheetView>
  </sheetViews>
  <sheetFormatPr baseColWidth="10" defaultColWidth="14.42578125" defaultRowHeight="15" customHeight="1" x14ac:dyDescent="0.25"/>
  <cols>
    <col min="1" max="1" width="10.7109375" customWidth="1"/>
    <col min="2" max="2" width="14.85546875" style="33" customWidth="1"/>
    <col min="3" max="6" width="10.7109375" customWidth="1"/>
    <col min="7" max="7" width="16" customWidth="1"/>
    <col min="8" max="26" width="10.7109375" customWidth="1"/>
  </cols>
  <sheetData>
    <row r="1" spans="1:7" ht="18.75" x14ac:dyDescent="0.3">
      <c r="A1" s="12" t="s">
        <v>42</v>
      </c>
      <c r="B1"/>
      <c r="D1" s="2" t="s">
        <v>52</v>
      </c>
    </row>
    <row r="2" spans="1:7" x14ac:dyDescent="0.25">
      <c r="A2" s="1" t="s">
        <v>53</v>
      </c>
      <c r="B2" s="3" t="s">
        <v>54</v>
      </c>
      <c r="C2" s="3" t="s">
        <v>55</v>
      </c>
      <c r="D2" s="1" t="s">
        <v>56</v>
      </c>
      <c r="E2" s="1" t="s">
        <v>57</v>
      </c>
      <c r="F2" s="22" t="s">
        <v>58</v>
      </c>
      <c r="G2" s="23">
        <f>SUM(C3:C1048576) - SUM(B3:B1048576)</f>
        <v>-6166094</v>
      </c>
    </row>
    <row r="3" spans="1:7" ht="15" customHeight="1" x14ac:dyDescent="0.25">
      <c r="B3"/>
    </row>
    <row r="4" spans="1:7" x14ac:dyDescent="0.25">
      <c r="A4" s="21">
        <v>41578</v>
      </c>
      <c r="B4" s="32">
        <v>536722</v>
      </c>
      <c r="E4" s="34" t="s">
        <v>42</v>
      </c>
    </row>
    <row r="5" spans="1:7" x14ac:dyDescent="0.25">
      <c r="A5" s="21">
        <v>45260</v>
      </c>
      <c r="B5" s="32">
        <v>746625</v>
      </c>
      <c r="E5" s="34" t="s">
        <v>42</v>
      </c>
    </row>
    <row r="6" spans="1:7" x14ac:dyDescent="0.25">
      <c r="A6" s="21">
        <v>45291</v>
      </c>
      <c r="B6" s="32">
        <v>628630</v>
      </c>
      <c r="E6" s="34" t="s">
        <v>42</v>
      </c>
    </row>
    <row r="7" spans="1:7" x14ac:dyDescent="0.25">
      <c r="A7" s="21">
        <v>45322</v>
      </c>
      <c r="B7" s="32">
        <v>758154</v>
      </c>
      <c r="E7" s="34" t="s">
        <v>42</v>
      </c>
    </row>
    <row r="8" spans="1:7" x14ac:dyDescent="0.25">
      <c r="A8" s="21">
        <v>45351</v>
      </c>
      <c r="B8" s="32">
        <v>603806</v>
      </c>
      <c r="E8" s="34" t="s">
        <v>42</v>
      </c>
    </row>
    <row r="9" spans="1:7" x14ac:dyDescent="0.25">
      <c r="A9" s="21">
        <v>45382</v>
      </c>
      <c r="B9" s="32">
        <v>336528</v>
      </c>
      <c r="E9" s="34" t="s">
        <v>42</v>
      </c>
    </row>
    <row r="10" spans="1:7" x14ac:dyDescent="0.25">
      <c r="A10" s="21">
        <v>45412</v>
      </c>
      <c r="B10" s="32">
        <v>467947</v>
      </c>
      <c r="E10" s="34" t="s">
        <v>42</v>
      </c>
    </row>
    <row r="11" spans="1:7" x14ac:dyDescent="0.25">
      <c r="A11" s="21">
        <v>45443</v>
      </c>
      <c r="B11" s="32">
        <v>310532</v>
      </c>
      <c r="E11" s="34" t="s">
        <v>42</v>
      </c>
    </row>
    <row r="12" spans="1:7" x14ac:dyDescent="0.25">
      <c r="A12" s="21">
        <v>45473</v>
      </c>
      <c r="B12" s="32">
        <v>378777</v>
      </c>
      <c r="E12" s="34" t="s">
        <v>42</v>
      </c>
    </row>
    <row r="13" spans="1:7" ht="15" customHeight="1" x14ac:dyDescent="0.25">
      <c r="A13" s="31">
        <v>45504</v>
      </c>
      <c r="B13" s="33">
        <v>724996</v>
      </c>
      <c r="E13" s="34" t="s">
        <v>42</v>
      </c>
    </row>
    <row r="16" spans="1:7" ht="15" customHeight="1" x14ac:dyDescent="0.25">
      <c r="A16" s="31">
        <v>45625</v>
      </c>
      <c r="C16">
        <v>510361</v>
      </c>
    </row>
    <row r="17" spans="1:2" ht="15" customHeight="1" x14ac:dyDescent="0.25">
      <c r="A17" s="31">
        <v>45626</v>
      </c>
      <c r="B17" s="33">
        <v>1183738</v>
      </c>
    </row>
    <row r="21" spans="1:2" ht="15.75" customHeight="1" x14ac:dyDescent="0.25"/>
    <row r="22" spans="1:2" ht="15.75" customHeight="1" x14ac:dyDescent="0.25"/>
    <row r="23" spans="1:2" ht="15.75" customHeight="1" x14ac:dyDescent="0.25"/>
    <row r="24" spans="1:2" ht="15.75" customHeight="1" x14ac:dyDescent="0.25"/>
    <row r="25" spans="1:2" ht="15.75" customHeight="1" x14ac:dyDescent="0.25"/>
    <row r="26" spans="1:2" ht="15.75" customHeight="1" x14ac:dyDescent="0.25"/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G2">
    <cfRule type="cellIs" dxfId="25" priority="1" operator="lessThan">
      <formula>0</formula>
    </cfRule>
    <cfRule type="cellIs" dxfId="24" priority="2" operator="greaterThan">
      <formula>0</formula>
    </cfRule>
  </conditionalFormatting>
  <hyperlinks>
    <hyperlink ref="D1" location="Hoja1!A1" display="volver" xr:uid="{00000000-0004-0000-3300-000000000000}"/>
  </hyperlinks>
  <pageMargins left="0.7" right="0.7" top="0.75" bottom="0.75" header="0" footer="0"/>
  <pageSetup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G1001"/>
  <sheetViews>
    <sheetView workbookViewId="0">
      <selection activeCell="D1" sqref="D1"/>
    </sheetView>
  </sheetViews>
  <sheetFormatPr baseColWidth="10" defaultColWidth="14.42578125" defaultRowHeight="15" customHeight="1" x14ac:dyDescent="0.25"/>
  <cols>
    <col min="1" max="1" width="14.28515625" customWidth="1"/>
    <col min="2" max="2" width="19.7109375" style="33" bestFit="1" customWidth="1"/>
    <col min="3" max="3" width="14.28515625" style="33" customWidth="1"/>
    <col min="4" max="4" width="18" customWidth="1"/>
    <col min="5" max="7" width="14.28515625" customWidth="1"/>
    <col min="8" max="26" width="10.7109375" customWidth="1"/>
  </cols>
  <sheetData>
    <row r="1" spans="1:7" ht="18.75" x14ac:dyDescent="0.3">
      <c r="A1" s="12" t="s">
        <v>43</v>
      </c>
      <c r="B1"/>
      <c r="C1"/>
      <c r="D1" s="101" t="s">
        <v>52</v>
      </c>
    </row>
    <row r="2" spans="1:7" s="37" customFormat="1" ht="19.5" customHeight="1" x14ac:dyDescent="0.25">
      <c r="A2" s="37" t="s">
        <v>53</v>
      </c>
      <c r="B2" s="38" t="s">
        <v>54</v>
      </c>
      <c r="C2" s="38" t="s">
        <v>55</v>
      </c>
      <c r="D2" s="37" t="s">
        <v>56</v>
      </c>
      <c r="E2" s="37" t="s">
        <v>57</v>
      </c>
      <c r="F2" s="39" t="s">
        <v>58</v>
      </c>
      <c r="G2" s="40">
        <f>SUM(C3:C1048576) - SUM(B3:B1048576)</f>
        <v>-1431612</v>
      </c>
    </row>
    <row r="4" spans="1:7" ht="15" customHeight="1" x14ac:dyDescent="0.25">
      <c r="A4" s="35" t="s">
        <v>94</v>
      </c>
      <c r="B4" s="33">
        <v>1293641</v>
      </c>
    </row>
    <row r="5" spans="1:7" ht="15" customHeight="1" x14ac:dyDescent="0.25">
      <c r="A5" s="35">
        <v>45425</v>
      </c>
      <c r="C5" s="33">
        <v>1293641</v>
      </c>
      <c r="D5" s="34" t="s">
        <v>91</v>
      </c>
    </row>
    <row r="6" spans="1:7" ht="15" customHeight="1" x14ac:dyDescent="0.25">
      <c r="A6" s="31">
        <v>45473</v>
      </c>
      <c r="B6" s="33">
        <v>164115</v>
      </c>
    </row>
    <row r="7" spans="1:7" ht="15" customHeight="1" x14ac:dyDescent="0.25">
      <c r="A7" s="31">
        <v>45504</v>
      </c>
      <c r="B7" s="33">
        <v>646773</v>
      </c>
    </row>
    <row r="8" spans="1:7" ht="15" customHeight="1" x14ac:dyDescent="0.25">
      <c r="B8" s="33">
        <v>170287</v>
      </c>
    </row>
    <row r="9" spans="1:7" ht="15" customHeight="1" x14ac:dyDescent="0.25">
      <c r="A9" s="31">
        <v>45512</v>
      </c>
      <c r="C9" s="33">
        <v>981175</v>
      </c>
    </row>
    <row r="10" spans="1:7" ht="15" customHeight="1" x14ac:dyDescent="0.25">
      <c r="A10" s="31">
        <v>45535</v>
      </c>
      <c r="B10" s="33">
        <v>30504</v>
      </c>
    </row>
    <row r="11" spans="1:7" ht="15" customHeight="1" x14ac:dyDescent="0.25">
      <c r="A11" s="31">
        <v>45565</v>
      </c>
      <c r="B11" s="33">
        <v>50350</v>
      </c>
    </row>
    <row r="12" spans="1:7" ht="15" customHeight="1" x14ac:dyDescent="0.25">
      <c r="A12" s="31">
        <v>45596</v>
      </c>
      <c r="B12" s="33">
        <v>760193</v>
      </c>
    </row>
    <row r="13" spans="1:7" ht="15" customHeight="1" x14ac:dyDescent="0.25">
      <c r="A13" s="31">
        <v>45626</v>
      </c>
      <c r="B13" s="33">
        <v>1760454</v>
      </c>
    </row>
    <row r="14" spans="1:7" ht="15" customHeight="1" x14ac:dyDescent="0.25">
      <c r="A14" s="31">
        <v>45636</v>
      </c>
      <c r="C14" s="33">
        <v>2601501</v>
      </c>
    </row>
    <row r="15" spans="1:7" ht="15" customHeight="1" x14ac:dyDescent="0.25">
      <c r="A15" s="31">
        <v>45657</v>
      </c>
      <c r="B15" s="33">
        <v>944852</v>
      </c>
    </row>
    <row r="16" spans="1:7" ht="15" customHeight="1" x14ac:dyDescent="0.25">
      <c r="A16" s="31">
        <v>45688</v>
      </c>
      <c r="C16" s="33">
        <v>944852</v>
      </c>
    </row>
    <row r="17" spans="1:3" ht="15" customHeight="1" x14ac:dyDescent="0.25">
      <c r="A17" s="31">
        <v>45688</v>
      </c>
      <c r="B17" s="33">
        <v>1577742</v>
      </c>
    </row>
    <row r="18" spans="1:3" ht="15" customHeight="1" x14ac:dyDescent="0.25">
      <c r="A18" s="31">
        <v>45716</v>
      </c>
      <c r="B18" s="33">
        <v>1223828</v>
      </c>
    </row>
    <row r="19" spans="1:3" ht="15" customHeight="1" x14ac:dyDescent="0.25">
      <c r="A19" s="31">
        <v>45726</v>
      </c>
      <c r="C19" s="33">
        <v>1577742</v>
      </c>
    </row>
    <row r="20" spans="1:3" ht="15" customHeight="1" x14ac:dyDescent="0.25">
      <c r="A20" s="31">
        <v>45736</v>
      </c>
      <c r="C20" s="33">
        <v>1223828</v>
      </c>
    </row>
    <row r="21" spans="1:3" ht="15" customHeight="1" x14ac:dyDescent="0.25">
      <c r="A21" s="31">
        <v>45747</v>
      </c>
      <c r="B21" s="33">
        <v>334251</v>
      </c>
    </row>
    <row r="22" spans="1:3" ht="15.75" customHeight="1" x14ac:dyDescent="0.25">
      <c r="A22" s="31">
        <v>45777</v>
      </c>
      <c r="B22" s="33">
        <v>81738</v>
      </c>
    </row>
    <row r="23" spans="1:3" ht="15.75" customHeight="1" x14ac:dyDescent="0.25">
      <c r="A23" s="31">
        <v>45807</v>
      </c>
      <c r="B23" s="33">
        <v>236405</v>
      </c>
    </row>
    <row r="24" spans="1:3" ht="15.75" customHeight="1" x14ac:dyDescent="0.25">
      <c r="A24" s="31">
        <v>45839</v>
      </c>
      <c r="C24" s="33">
        <v>652394</v>
      </c>
    </row>
    <row r="25" spans="1:3" ht="15.75" customHeight="1" x14ac:dyDescent="0.25">
      <c r="A25" s="31">
        <v>45869</v>
      </c>
      <c r="B25" s="33">
        <v>832437</v>
      </c>
    </row>
    <row r="26" spans="1:3" ht="15.75" customHeight="1" x14ac:dyDescent="0.25">
      <c r="A26" s="31">
        <v>45881</v>
      </c>
      <c r="C26" s="33">
        <v>832437</v>
      </c>
    </row>
    <row r="27" spans="1:3" ht="15.75" customHeight="1" x14ac:dyDescent="0.25">
      <c r="A27" s="31">
        <v>45900</v>
      </c>
      <c r="B27" s="33">
        <v>259822</v>
      </c>
    </row>
    <row r="28" spans="1:3" ht="15.75" customHeight="1" x14ac:dyDescent="0.25">
      <c r="A28" s="31">
        <v>45930</v>
      </c>
      <c r="B28" s="33">
        <v>212829</v>
      </c>
    </row>
    <row r="29" spans="1:3" ht="15.75" customHeight="1" x14ac:dyDescent="0.25">
      <c r="A29" s="31">
        <v>45961</v>
      </c>
      <c r="B29" s="33">
        <v>706602</v>
      </c>
    </row>
    <row r="30" spans="1:3" ht="15.75" customHeight="1" x14ac:dyDescent="0.25">
      <c r="A30" s="31">
        <v>45981</v>
      </c>
      <c r="C30" s="33">
        <v>1179253</v>
      </c>
    </row>
    <row r="31" spans="1:3" ht="15.75" customHeight="1" x14ac:dyDescent="0.25">
      <c r="A31" s="31">
        <v>45991</v>
      </c>
      <c r="B31" s="33">
        <v>2473861</v>
      </c>
    </row>
    <row r="32" spans="1:3" ht="15.75" customHeight="1" x14ac:dyDescent="0.25">
      <c r="A32" s="31">
        <v>46015</v>
      </c>
      <c r="C32" s="33">
        <v>1300000</v>
      </c>
    </row>
    <row r="33" spans="1:3" ht="15.75" customHeight="1" x14ac:dyDescent="0.25">
      <c r="A33" s="31">
        <v>46020</v>
      </c>
      <c r="C33" s="33">
        <v>1173861</v>
      </c>
    </row>
    <row r="34" spans="1:3" ht="15.75" customHeight="1" x14ac:dyDescent="0.25">
      <c r="A34" s="31">
        <v>46022</v>
      </c>
      <c r="B34" s="33">
        <v>2905666</v>
      </c>
    </row>
    <row r="35" spans="1:3" ht="15.75" customHeight="1" x14ac:dyDescent="0.25">
      <c r="A35" s="31">
        <v>46042</v>
      </c>
      <c r="C35" s="33">
        <v>2905666</v>
      </c>
    </row>
    <row r="36" spans="1:3" ht="15.75" customHeight="1" x14ac:dyDescent="0.25">
      <c r="A36" s="31">
        <v>46053</v>
      </c>
      <c r="B36" s="33">
        <v>1170902</v>
      </c>
    </row>
    <row r="37" spans="1:3" ht="15.75" customHeight="1" x14ac:dyDescent="0.25">
      <c r="A37" s="31">
        <v>46079</v>
      </c>
      <c r="C37" s="33">
        <v>1170902</v>
      </c>
    </row>
    <row r="38" spans="1:3" ht="15.75" customHeight="1" x14ac:dyDescent="0.25">
      <c r="A38" s="31">
        <v>46081</v>
      </c>
      <c r="B38" s="33">
        <v>1431612</v>
      </c>
    </row>
    <row r="39" spans="1:3" ht="15.75" customHeight="1" x14ac:dyDescent="0.25"/>
    <row r="40" spans="1:3" ht="15.75" customHeight="1" x14ac:dyDescent="0.25"/>
    <row r="41" spans="1:3" ht="15.75" customHeight="1" x14ac:dyDescent="0.25"/>
    <row r="42" spans="1:3" ht="15.75" customHeight="1" x14ac:dyDescent="0.25"/>
    <row r="43" spans="1:3" ht="15.75" customHeight="1" x14ac:dyDescent="0.25"/>
    <row r="44" spans="1:3" ht="15.75" customHeight="1" x14ac:dyDescent="0.25"/>
    <row r="45" spans="1:3" ht="15.75" customHeight="1" x14ac:dyDescent="0.25"/>
    <row r="46" spans="1:3" ht="15.75" customHeight="1" x14ac:dyDescent="0.25"/>
    <row r="47" spans="1:3" ht="15.75" customHeight="1" x14ac:dyDescent="0.25"/>
    <row r="48" spans="1: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conditionalFormatting sqref="G2">
    <cfRule type="cellIs" dxfId="23" priority="1" operator="lessThan">
      <formula>0</formula>
    </cfRule>
    <cfRule type="cellIs" dxfId="22" priority="2" operator="greaterThan">
      <formula>0</formula>
    </cfRule>
  </conditionalFormatting>
  <hyperlinks>
    <hyperlink ref="D1" location="CLIENTES!A1" display="volver" xr:uid="{00000000-0004-0000-3400-000000000000}"/>
  </hyperlinks>
  <pageMargins left="0.7" right="0.7" top="0.75" bottom="0.75" header="0" footer="0"/>
  <pageSetup orientation="landscape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G1003"/>
  <sheetViews>
    <sheetView workbookViewId="0">
      <selection activeCell="D1" sqref="D1"/>
    </sheetView>
  </sheetViews>
  <sheetFormatPr baseColWidth="10" defaultColWidth="14.42578125" defaultRowHeight="15" customHeight="1" x14ac:dyDescent="0.25"/>
  <cols>
    <col min="1" max="1" width="15.28515625" customWidth="1"/>
    <col min="2" max="2" width="19.85546875" style="33" customWidth="1"/>
    <col min="3" max="3" width="15.28515625" style="33" customWidth="1"/>
    <col min="4" max="4" width="17.5703125" customWidth="1"/>
    <col min="5" max="7" width="15.28515625" customWidth="1"/>
    <col min="8" max="26" width="10.7109375" customWidth="1"/>
  </cols>
  <sheetData>
    <row r="1" spans="1:7" ht="18.75" x14ac:dyDescent="0.3">
      <c r="A1" s="12" t="s">
        <v>44</v>
      </c>
      <c r="B1"/>
      <c r="C1"/>
      <c r="D1" s="101" t="s">
        <v>52</v>
      </c>
    </row>
    <row r="2" spans="1:7" s="37" customFormat="1" ht="19.5" customHeight="1" x14ac:dyDescent="0.25">
      <c r="A2" s="37" t="s">
        <v>53</v>
      </c>
      <c r="B2" s="38" t="s">
        <v>54</v>
      </c>
      <c r="C2" s="38" t="s">
        <v>55</v>
      </c>
      <c r="D2" s="37" t="s">
        <v>56</v>
      </c>
      <c r="E2" s="37" t="s">
        <v>57</v>
      </c>
      <c r="F2" s="39" t="s">
        <v>58</v>
      </c>
      <c r="G2" s="40">
        <f>SUM(C3:C1048576) - SUM(B3:B1048576)</f>
        <v>-763464</v>
      </c>
    </row>
    <row r="4" spans="1:7" ht="15" customHeight="1" x14ac:dyDescent="0.25">
      <c r="A4" s="31">
        <v>45443</v>
      </c>
      <c r="B4" s="33">
        <v>86180</v>
      </c>
    </row>
    <row r="5" spans="1:7" ht="15" customHeight="1" x14ac:dyDescent="0.25">
      <c r="A5" s="31"/>
      <c r="C5" s="33">
        <v>86180</v>
      </c>
    </row>
    <row r="6" spans="1:7" ht="15" customHeight="1" x14ac:dyDescent="0.25">
      <c r="A6" s="31">
        <v>45473</v>
      </c>
      <c r="B6" s="33">
        <v>185913</v>
      </c>
    </row>
    <row r="7" spans="1:7" ht="15" customHeight="1" x14ac:dyDescent="0.25">
      <c r="A7" s="31"/>
      <c r="C7" s="33">
        <v>115913</v>
      </c>
    </row>
    <row r="8" spans="1:7" ht="15" customHeight="1" x14ac:dyDescent="0.25">
      <c r="A8" s="31">
        <v>45504</v>
      </c>
      <c r="B8" s="33">
        <v>491694</v>
      </c>
    </row>
    <row r="9" spans="1:7" ht="15" customHeight="1" x14ac:dyDescent="0.25">
      <c r="A9" s="31">
        <v>45525</v>
      </c>
      <c r="C9" s="33">
        <v>150000</v>
      </c>
    </row>
    <row r="10" spans="1:7" ht="15" customHeight="1" x14ac:dyDescent="0.25">
      <c r="A10" s="31">
        <v>45535</v>
      </c>
      <c r="B10" s="33">
        <v>169249</v>
      </c>
    </row>
    <row r="11" spans="1:7" ht="15" customHeight="1" x14ac:dyDescent="0.25">
      <c r="A11" s="31">
        <v>45544</v>
      </c>
      <c r="C11" s="33">
        <v>200000</v>
      </c>
    </row>
    <row r="12" spans="1:7" ht="15" customHeight="1" x14ac:dyDescent="0.25">
      <c r="A12" s="31">
        <v>45553</v>
      </c>
      <c r="C12" s="33">
        <v>380943</v>
      </c>
    </row>
    <row r="13" spans="1:7" ht="15" customHeight="1" x14ac:dyDescent="0.25">
      <c r="A13" s="31">
        <v>45565</v>
      </c>
      <c r="B13" s="33">
        <v>155415</v>
      </c>
    </row>
    <row r="14" spans="1:7" ht="15" customHeight="1" x14ac:dyDescent="0.25">
      <c r="A14" s="31">
        <v>45587</v>
      </c>
      <c r="C14" s="33">
        <v>155415</v>
      </c>
    </row>
    <row r="15" spans="1:7" ht="15" customHeight="1" x14ac:dyDescent="0.25">
      <c r="A15" s="31">
        <v>45596</v>
      </c>
      <c r="B15" s="33">
        <v>328712</v>
      </c>
    </row>
    <row r="16" spans="1:7" ht="15" customHeight="1" x14ac:dyDescent="0.25">
      <c r="A16" s="31">
        <v>45625</v>
      </c>
      <c r="C16" s="33">
        <v>328712</v>
      </c>
    </row>
    <row r="17" spans="1:4" ht="15" customHeight="1" x14ac:dyDescent="0.25">
      <c r="A17" s="31">
        <v>45626</v>
      </c>
      <c r="B17" s="33">
        <v>288311</v>
      </c>
    </row>
    <row r="18" spans="1:4" ht="15" customHeight="1" x14ac:dyDescent="0.25">
      <c r="A18" s="31">
        <v>45646</v>
      </c>
      <c r="C18" s="33">
        <v>200000</v>
      </c>
    </row>
    <row r="19" spans="1:4" ht="15" customHeight="1" x14ac:dyDescent="0.25">
      <c r="A19" s="31">
        <v>45657</v>
      </c>
      <c r="B19" s="33">
        <v>281036</v>
      </c>
    </row>
    <row r="20" spans="1:4" ht="15" customHeight="1" x14ac:dyDescent="0.25">
      <c r="A20" s="31">
        <v>45674</v>
      </c>
      <c r="C20" s="33">
        <v>168000</v>
      </c>
    </row>
    <row r="21" spans="1:4" ht="15" customHeight="1" x14ac:dyDescent="0.25">
      <c r="A21" s="31">
        <v>45679</v>
      </c>
      <c r="C21" s="33">
        <v>201347</v>
      </c>
    </row>
    <row r="22" spans="1:4" ht="15" customHeight="1" x14ac:dyDescent="0.25">
      <c r="A22" s="31">
        <v>45688</v>
      </c>
      <c r="B22" s="33">
        <v>463483</v>
      </c>
    </row>
    <row r="23" spans="1:4" ht="15" customHeight="1" x14ac:dyDescent="0.25">
      <c r="A23" s="31">
        <v>45700</v>
      </c>
      <c r="C23" s="33">
        <v>200000</v>
      </c>
    </row>
    <row r="24" spans="1:4" ht="15.75" customHeight="1" x14ac:dyDescent="0.25">
      <c r="A24" s="31">
        <v>45716</v>
      </c>
      <c r="B24" s="33">
        <v>751052</v>
      </c>
    </row>
    <row r="25" spans="1:4" ht="15.75" customHeight="1" x14ac:dyDescent="0.25">
      <c r="A25" s="31">
        <v>45741</v>
      </c>
      <c r="C25" s="33">
        <v>500000</v>
      </c>
    </row>
    <row r="26" spans="1:4" ht="15.75" customHeight="1" x14ac:dyDescent="0.25">
      <c r="A26" s="31">
        <v>45747</v>
      </c>
      <c r="B26" s="33">
        <v>431941</v>
      </c>
    </row>
    <row r="27" spans="1:4" ht="15.75" customHeight="1" x14ac:dyDescent="0.25">
      <c r="A27" s="31">
        <v>45765</v>
      </c>
      <c r="C27" s="33">
        <v>300000</v>
      </c>
    </row>
    <row r="28" spans="1:4" ht="15.75" customHeight="1" x14ac:dyDescent="0.25">
      <c r="A28" s="31">
        <v>45777</v>
      </c>
      <c r="B28" s="33">
        <v>184722</v>
      </c>
    </row>
    <row r="29" spans="1:4" ht="15.75" customHeight="1" x14ac:dyDescent="0.25">
      <c r="A29" s="31">
        <v>45807</v>
      </c>
      <c r="B29" s="33">
        <v>104559</v>
      </c>
    </row>
    <row r="30" spans="1:4" ht="15.75" customHeight="1" x14ac:dyDescent="0.25">
      <c r="A30" s="31">
        <v>45835</v>
      </c>
      <c r="C30" s="33">
        <v>3300000</v>
      </c>
      <c r="D30" s="94" t="s">
        <v>59</v>
      </c>
    </row>
    <row r="31" spans="1:4" ht="15.75" customHeight="1" x14ac:dyDescent="0.25">
      <c r="A31" s="31">
        <v>45838</v>
      </c>
      <c r="B31" s="33">
        <v>118272</v>
      </c>
    </row>
    <row r="32" spans="1:4" ht="15.75" customHeight="1" x14ac:dyDescent="0.25">
      <c r="A32" s="31">
        <v>45869</v>
      </c>
      <c r="B32" s="33">
        <v>694588</v>
      </c>
    </row>
    <row r="33" spans="1:5" ht="15.75" customHeight="1" x14ac:dyDescent="0.25">
      <c r="A33" s="31">
        <v>45900</v>
      </c>
      <c r="B33" s="33">
        <v>290993</v>
      </c>
    </row>
    <row r="34" spans="1:5" ht="15.75" customHeight="1" x14ac:dyDescent="0.25">
      <c r="A34" s="31">
        <v>45930</v>
      </c>
      <c r="B34" s="33">
        <v>389598</v>
      </c>
      <c r="E34">
        <v>0</v>
      </c>
    </row>
    <row r="35" spans="1:5" ht="15.75" customHeight="1" x14ac:dyDescent="0.25">
      <c r="A35" s="31">
        <v>45961</v>
      </c>
      <c r="B35" s="33">
        <v>292724</v>
      </c>
    </row>
    <row r="36" spans="1:5" ht="15.75" customHeight="1" x14ac:dyDescent="0.25">
      <c r="A36" s="31">
        <v>45991</v>
      </c>
      <c r="B36" s="33">
        <v>480199</v>
      </c>
    </row>
    <row r="37" spans="1:5" ht="15.75" customHeight="1" x14ac:dyDescent="0.25">
      <c r="A37" s="31">
        <v>46022</v>
      </c>
      <c r="B37" s="33">
        <v>385585</v>
      </c>
    </row>
    <row r="38" spans="1:5" ht="15.75" customHeight="1" x14ac:dyDescent="0.25">
      <c r="A38" s="31">
        <v>46041</v>
      </c>
      <c r="C38" s="33">
        <v>287716</v>
      </c>
    </row>
    <row r="39" spans="1:5" ht="15.75" customHeight="1" x14ac:dyDescent="0.25">
      <c r="A39" s="31">
        <v>46053</v>
      </c>
      <c r="B39" s="33">
        <v>880079</v>
      </c>
    </row>
    <row r="40" spans="1:5" ht="15.75" customHeight="1" x14ac:dyDescent="0.25">
      <c r="A40" s="31">
        <v>46073</v>
      </c>
      <c r="C40" s="33">
        <v>500000</v>
      </c>
    </row>
    <row r="41" spans="1:5" ht="15.75" customHeight="1" x14ac:dyDescent="0.25">
      <c r="A41" s="31">
        <v>46081</v>
      </c>
      <c r="C41" s="33">
        <v>380079</v>
      </c>
    </row>
    <row r="42" spans="1:5" ht="15.75" customHeight="1" x14ac:dyDescent="0.25">
      <c r="A42" s="31">
        <v>46081</v>
      </c>
      <c r="B42" s="33">
        <v>763464</v>
      </c>
    </row>
    <row r="43" spans="1:5" ht="15.75" customHeight="1" x14ac:dyDescent="0.25"/>
    <row r="44" spans="1:5" ht="15.75" customHeight="1" x14ac:dyDescent="0.25"/>
    <row r="45" spans="1:5" ht="15.75" customHeight="1" x14ac:dyDescent="0.25"/>
    <row r="46" spans="1:5" ht="15.75" customHeight="1" x14ac:dyDescent="0.25"/>
    <row r="47" spans="1:5" ht="15.75" customHeight="1" x14ac:dyDescent="0.25"/>
    <row r="48" spans="1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conditionalFormatting sqref="G2">
    <cfRule type="cellIs" dxfId="21" priority="1" operator="lessThan">
      <formula>0</formula>
    </cfRule>
    <cfRule type="cellIs" dxfId="20" priority="2" operator="greaterThan">
      <formula>0</formula>
    </cfRule>
  </conditionalFormatting>
  <hyperlinks>
    <hyperlink ref="D1" location="CLIENTES!A1" display="volver" xr:uid="{00000000-0004-0000-3500-000000000000}"/>
  </hyperlinks>
  <pageMargins left="0.7" right="0.7" top="0.75" bottom="0.75" header="0" footer="0"/>
  <pageSetup orientation="landscape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G1002"/>
  <sheetViews>
    <sheetView workbookViewId="0">
      <selection activeCell="D1" sqref="D1"/>
    </sheetView>
  </sheetViews>
  <sheetFormatPr baseColWidth="10" defaultColWidth="14.42578125" defaultRowHeight="15" customHeight="1" x14ac:dyDescent="0.25"/>
  <cols>
    <col min="1" max="1" width="17" customWidth="1"/>
    <col min="2" max="2" width="20.42578125" style="33" customWidth="1"/>
    <col min="3" max="3" width="17" style="33" customWidth="1"/>
    <col min="4" max="4" width="17.28515625" customWidth="1"/>
    <col min="5" max="7" width="17" customWidth="1"/>
    <col min="8" max="26" width="10.7109375" customWidth="1"/>
  </cols>
  <sheetData>
    <row r="1" spans="1:7" ht="18.75" x14ac:dyDescent="0.3">
      <c r="A1" s="12" t="s">
        <v>45</v>
      </c>
      <c r="B1"/>
      <c r="C1"/>
      <c r="D1" s="101" t="s">
        <v>52</v>
      </c>
    </row>
    <row r="2" spans="1:7" s="37" customFormat="1" ht="21" customHeight="1" x14ac:dyDescent="0.25">
      <c r="A2" s="37" t="s">
        <v>53</v>
      </c>
      <c r="B2" s="38" t="s">
        <v>54</v>
      </c>
      <c r="C2" s="38" t="s">
        <v>55</v>
      </c>
      <c r="D2" s="37" t="s">
        <v>56</v>
      </c>
      <c r="E2" s="37" t="s">
        <v>57</v>
      </c>
      <c r="F2" s="39" t="s">
        <v>58</v>
      </c>
      <c r="G2" s="40">
        <f>SUM(C3:C1048576) - SUM(B3:B1048576)</f>
        <v>-1915865</v>
      </c>
    </row>
    <row r="4" spans="1:7" ht="15" customHeight="1" x14ac:dyDescent="0.25">
      <c r="A4" s="31">
        <v>45443</v>
      </c>
      <c r="B4" s="33">
        <v>607452</v>
      </c>
    </row>
    <row r="5" spans="1:7" ht="15" customHeight="1" x14ac:dyDescent="0.25">
      <c r="A5" s="31">
        <v>45455</v>
      </c>
      <c r="C5" s="33">
        <v>607452</v>
      </c>
    </row>
    <row r="6" spans="1:7" ht="15" customHeight="1" x14ac:dyDescent="0.25">
      <c r="A6" s="31">
        <v>45473</v>
      </c>
      <c r="B6" s="33">
        <v>674908</v>
      </c>
    </row>
    <row r="7" spans="1:7" ht="15" customHeight="1" x14ac:dyDescent="0.25">
      <c r="A7" s="31">
        <v>45488</v>
      </c>
      <c r="C7" s="33">
        <v>674908</v>
      </c>
    </row>
    <row r="8" spans="1:7" ht="15" customHeight="1" x14ac:dyDescent="0.25">
      <c r="A8" s="31">
        <v>45504</v>
      </c>
      <c r="B8" s="33">
        <v>837969</v>
      </c>
    </row>
    <row r="9" spans="1:7" ht="15" customHeight="1" x14ac:dyDescent="0.25">
      <c r="A9" s="31">
        <v>45516</v>
      </c>
      <c r="C9" s="33">
        <v>837969</v>
      </c>
    </row>
    <row r="10" spans="1:7" ht="15" customHeight="1" x14ac:dyDescent="0.25">
      <c r="A10" s="31">
        <v>45535</v>
      </c>
      <c r="B10" s="33">
        <v>620451</v>
      </c>
    </row>
    <row r="11" spans="1:7" ht="15" customHeight="1" x14ac:dyDescent="0.25">
      <c r="A11" s="31">
        <v>45553</v>
      </c>
      <c r="C11" s="33">
        <v>620451</v>
      </c>
    </row>
    <row r="12" spans="1:7" ht="15" customHeight="1" x14ac:dyDescent="0.25">
      <c r="A12" s="31">
        <v>45565</v>
      </c>
      <c r="B12" s="33">
        <v>658149</v>
      </c>
    </row>
    <row r="13" spans="1:7" ht="15" customHeight="1" x14ac:dyDescent="0.25">
      <c r="A13" s="31">
        <v>45579</v>
      </c>
      <c r="C13" s="33">
        <v>658149</v>
      </c>
    </row>
    <row r="14" spans="1:7" ht="15" customHeight="1" x14ac:dyDescent="0.25">
      <c r="A14" s="31">
        <v>45596</v>
      </c>
      <c r="B14" s="33">
        <v>569084</v>
      </c>
    </row>
    <row r="15" spans="1:7" ht="15" customHeight="1" x14ac:dyDescent="0.25">
      <c r="A15" s="31">
        <v>45608</v>
      </c>
      <c r="C15" s="33">
        <v>569084</v>
      </c>
    </row>
    <row r="16" spans="1:7" ht="15" customHeight="1" x14ac:dyDescent="0.25">
      <c r="A16" s="31">
        <v>45625</v>
      </c>
      <c r="B16" s="33">
        <v>699684</v>
      </c>
    </row>
    <row r="17" spans="1:4" ht="15" customHeight="1" x14ac:dyDescent="0.25">
      <c r="A17" s="31">
        <v>45635</v>
      </c>
      <c r="C17" s="33">
        <v>699684</v>
      </c>
    </row>
    <row r="18" spans="1:4" ht="15" customHeight="1" x14ac:dyDescent="0.25">
      <c r="A18" s="31">
        <v>45657</v>
      </c>
      <c r="B18" s="33">
        <v>705916</v>
      </c>
    </row>
    <row r="19" spans="1:4" ht="15" customHeight="1" x14ac:dyDescent="0.25">
      <c r="A19" s="31">
        <v>45671</v>
      </c>
      <c r="C19" s="33">
        <v>705916</v>
      </c>
    </row>
    <row r="20" spans="1:4" ht="15" customHeight="1" x14ac:dyDescent="0.25">
      <c r="A20" s="31">
        <v>45688</v>
      </c>
      <c r="B20" s="33">
        <v>890849</v>
      </c>
    </row>
    <row r="21" spans="1:4" ht="15" customHeight="1" x14ac:dyDescent="0.25">
      <c r="A21" s="31">
        <v>45701</v>
      </c>
      <c r="C21" s="33">
        <v>890849</v>
      </c>
    </row>
    <row r="22" spans="1:4" ht="15.75" customHeight="1" x14ac:dyDescent="0.25">
      <c r="A22" s="31">
        <v>45716</v>
      </c>
      <c r="B22" s="33">
        <v>829212</v>
      </c>
    </row>
    <row r="23" spans="1:4" ht="15.75" customHeight="1" x14ac:dyDescent="0.25">
      <c r="A23" s="31">
        <v>45742</v>
      </c>
      <c r="C23" s="33">
        <v>829212</v>
      </c>
      <c r="D23" t="s">
        <v>166</v>
      </c>
    </row>
    <row r="24" spans="1:4" ht="15.75" customHeight="1" x14ac:dyDescent="0.25">
      <c r="A24" s="31">
        <v>45747</v>
      </c>
      <c r="B24" s="33">
        <v>772685</v>
      </c>
    </row>
    <row r="25" spans="1:4" ht="15.75" customHeight="1" x14ac:dyDescent="0.25">
      <c r="A25" s="31">
        <v>45787</v>
      </c>
      <c r="C25" s="33">
        <v>772685</v>
      </c>
    </row>
    <row r="26" spans="1:4" ht="15.75" customHeight="1" x14ac:dyDescent="0.25">
      <c r="A26" s="31">
        <v>45777</v>
      </c>
      <c r="B26" s="33">
        <v>588174</v>
      </c>
    </row>
    <row r="27" spans="1:4" ht="15.75" customHeight="1" x14ac:dyDescent="0.25">
      <c r="C27" s="33">
        <v>588174</v>
      </c>
    </row>
    <row r="28" spans="1:4" ht="15.75" customHeight="1" x14ac:dyDescent="0.25">
      <c r="A28" s="31">
        <v>45807</v>
      </c>
      <c r="B28" s="33">
        <v>554187</v>
      </c>
    </row>
    <row r="29" spans="1:4" ht="15.75" customHeight="1" x14ac:dyDescent="0.25">
      <c r="A29" s="31">
        <v>45838</v>
      </c>
      <c r="B29" s="33">
        <v>310655</v>
      </c>
    </row>
    <row r="30" spans="1:4" ht="15.75" customHeight="1" x14ac:dyDescent="0.25">
      <c r="A30" s="31">
        <v>45869</v>
      </c>
      <c r="B30" s="33">
        <v>554755</v>
      </c>
    </row>
    <row r="31" spans="1:4" ht="15.75" customHeight="1" x14ac:dyDescent="0.25">
      <c r="A31" s="31">
        <v>45871</v>
      </c>
      <c r="C31" s="33">
        <v>554187</v>
      </c>
    </row>
    <row r="32" spans="1:4" ht="15.75" customHeight="1" x14ac:dyDescent="0.25">
      <c r="A32" s="31">
        <v>45897</v>
      </c>
      <c r="C32" s="33">
        <v>310655</v>
      </c>
    </row>
    <row r="33" spans="1:3" ht="15.75" customHeight="1" x14ac:dyDescent="0.25">
      <c r="A33" s="31">
        <v>45900</v>
      </c>
      <c r="B33" s="33">
        <v>614893</v>
      </c>
    </row>
    <row r="34" spans="1:3" ht="15.75" customHeight="1" x14ac:dyDescent="0.25">
      <c r="A34" s="31">
        <v>45924</v>
      </c>
      <c r="C34" s="33">
        <v>554755</v>
      </c>
    </row>
    <row r="35" spans="1:3" ht="15.75" customHeight="1" x14ac:dyDescent="0.25">
      <c r="A35" s="31">
        <v>45930</v>
      </c>
      <c r="B35" s="33">
        <v>672904</v>
      </c>
    </row>
    <row r="36" spans="1:3" ht="15.75" customHeight="1" x14ac:dyDescent="0.25">
      <c r="A36" s="31">
        <v>45948</v>
      </c>
      <c r="C36" s="33">
        <v>614893</v>
      </c>
    </row>
    <row r="37" spans="1:3" ht="15.75" customHeight="1" x14ac:dyDescent="0.25">
      <c r="A37" s="31">
        <v>45961</v>
      </c>
      <c r="B37" s="33">
        <v>695947</v>
      </c>
    </row>
    <row r="38" spans="1:3" ht="15.75" customHeight="1" x14ac:dyDescent="0.25">
      <c r="A38" s="31">
        <v>45987</v>
      </c>
      <c r="C38" s="33">
        <v>672904</v>
      </c>
    </row>
    <row r="39" spans="1:3" ht="15.75" customHeight="1" x14ac:dyDescent="0.25">
      <c r="A39" s="31">
        <v>45991</v>
      </c>
      <c r="B39" s="33">
        <v>754825</v>
      </c>
    </row>
    <row r="40" spans="1:3" ht="15.75" customHeight="1" x14ac:dyDescent="0.25">
      <c r="A40" s="31">
        <v>46011</v>
      </c>
      <c r="C40" s="33">
        <v>695947</v>
      </c>
    </row>
    <row r="41" spans="1:3" ht="15.75" customHeight="1" x14ac:dyDescent="0.25">
      <c r="A41" s="31">
        <v>46022</v>
      </c>
      <c r="B41" s="33">
        <v>752863</v>
      </c>
    </row>
    <row r="42" spans="1:3" ht="15.75" customHeight="1" x14ac:dyDescent="0.25">
      <c r="A42" s="31">
        <v>46028</v>
      </c>
      <c r="C42" s="33">
        <v>754825</v>
      </c>
    </row>
    <row r="43" spans="1:3" ht="15.75" customHeight="1" x14ac:dyDescent="0.25">
      <c r="A43" s="31">
        <v>46043</v>
      </c>
      <c r="C43" s="33">
        <v>752863</v>
      </c>
    </row>
    <row r="44" spans="1:3" ht="15.75" customHeight="1" x14ac:dyDescent="0.25">
      <c r="A44" s="31">
        <v>46053</v>
      </c>
      <c r="B44" s="33">
        <v>1007713</v>
      </c>
    </row>
    <row r="45" spans="1:3" ht="15.75" customHeight="1" x14ac:dyDescent="0.25">
      <c r="A45" s="31">
        <v>46081</v>
      </c>
      <c r="B45" s="33">
        <v>908152</v>
      </c>
    </row>
    <row r="46" spans="1:3" ht="15.75" customHeight="1" x14ac:dyDescent="0.25"/>
    <row r="47" spans="1:3" ht="15.75" customHeight="1" x14ac:dyDescent="0.25"/>
    <row r="48" spans="1: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conditionalFormatting sqref="G2">
    <cfRule type="cellIs" dxfId="19" priority="1" operator="lessThan">
      <formula>0</formula>
    </cfRule>
    <cfRule type="cellIs" dxfId="18" priority="2" operator="greaterThan">
      <formula>0</formula>
    </cfRule>
  </conditionalFormatting>
  <hyperlinks>
    <hyperlink ref="D1" location="CLIENTES!A1" display="volver" xr:uid="{00000000-0004-0000-3600-000000000000}"/>
  </hyperlinks>
  <pageMargins left="0.7" right="0.7" top="0.75" bottom="0.75" header="0" footer="0"/>
  <pageSetup orientation="landscape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G1000"/>
  <sheetViews>
    <sheetView workbookViewId="0">
      <selection activeCell="D1" sqref="D1"/>
    </sheetView>
  </sheetViews>
  <sheetFormatPr baseColWidth="10" defaultColWidth="14.42578125" defaultRowHeight="15" customHeight="1" x14ac:dyDescent="0.25"/>
  <cols>
    <col min="1" max="1" width="15.28515625" customWidth="1"/>
    <col min="2" max="2" width="19.7109375" style="33" customWidth="1"/>
    <col min="3" max="3" width="15.28515625" style="33" customWidth="1"/>
    <col min="4" max="4" width="16.7109375" customWidth="1"/>
    <col min="5" max="7" width="15.28515625" customWidth="1"/>
    <col min="8" max="26" width="10.7109375" customWidth="1"/>
  </cols>
  <sheetData>
    <row r="1" spans="1:7" ht="18.75" x14ac:dyDescent="0.3">
      <c r="A1" s="12" t="s">
        <v>46</v>
      </c>
      <c r="B1"/>
      <c r="C1"/>
      <c r="D1" s="101" t="s">
        <v>52</v>
      </c>
    </row>
    <row r="2" spans="1:7" s="37" customFormat="1" ht="18.75" customHeight="1" x14ac:dyDescent="0.25">
      <c r="A2" s="37" t="s">
        <v>53</v>
      </c>
      <c r="B2" s="38" t="s">
        <v>54</v>
      </c>
      <c r="C2" s="38" t="s">
        <v>55</v>
      </c>
      <c r="D2" s="37" t="s">
        <v>56</v>
      </c>
      <c r="E2" s="37" t="s">
        <v>57</v>
      </c>
      <c r="F2" s="39" t="s">
        <v>58</v>
      </c>
      <c r="G2" s="40">
        <f>SUM(C3:C1048576) - SUM(B3:B1048576)</f>
        <v>-498393</v>
      </c>
    </row>
    <row r="4" spans="1:7" ht="15" customHeight="1" x14ac:dyDescent="0.25">
      <c r="A4" s="31">
        <v>45443</v>
      </c>
      <c r="B4" s="33">
        <v>237593</v>
      </c>
    </row>
    <row r="5" spans="1:7" ht="15" customHeight="1" x14ac:dyDescent="0.25">
      <c r="A5" s="31">
        <v>45455</v>
      </c>
      <c r="C5" s="33">
        <v>237593</v>
      </c>
    </row>
    <row r="6" spans="1:7" ht="15" customHeight="1" x14ac:dyDescent="0.25">
      <c r="A6" s="31">
        <v>45473</v>
      </c>
      <c r="B6" s="33">
        <v>905683</v>
      </c>
    </row>
    <row r="7" spans="1:7" ht="15" customHeight="1" x14ac:dyDescent="0.25">
      <c r="A7" s="31">
        <v>45504</v>
      </c>
      <c r="B7" s="33">
        <v>1675963</v>
      </c>
    </row>
    <row r="8" spans="1:7" ht="15" customHeight="1" x14ac:dyDescent="0.25">
      <c r="A8" s="31">
        <v>45509</v>
      </c>
      <c r="C8" s="33">
        <v>2000000</v>
      </c>
    </row>
    <row r="9" spans="1:7" ht="15" customHeight="1" x14ac:dyDescent="0.25">
      <c r="A9" s="31">
        <v>45526</v>
      </c>
      <c r="C9" s="33">
        <v>300000</v>
      </c>
    </row>
    <row r="10" spans="1:7" ht="15" customHeight="1" x14ac:dyDescent="0.25">
      <c r="A10" s="31">
        <v>45535</v>
      </c>
      <c r="B10" s="33">
        <v>515067</v>
      </c>
    </row>
    <row r="11" spans="1:7" ht="15" customHeight="1" x14ac:dyDescent="0.25">
      <c r="A11" s="31">
        <v>45558</v>
      </c>
      <c r="C11" s="33">
        <v>690000</v>
      </c>
    </row>
    <row r="12" spans="1:7" ht="15" customHeight="1" x14ac:dyDescent="0.25">
      <c r="A12" s="31">
        <v>45565</v>
      </c>
      <c r="B12" s="33">
        <v>700802</v>
      </c>
    </row>
    <row r="13" spans="1:7" ht="15" customHeight="1" x14ac:dyDescent="0.25">
      <c r="A13" s="31">
        <v>45581</v>
      </c>
      <c r="C13" s="33">
        <v>700000</v>
      </c>
    </row>
    <row r="14" spans="1:7" ht="15" customHeight="1" x14ac:dyDescent="0.25">
      <c r="A14" s="31">
        <v>45596</v>
      </c>
      <c r="B14" s="33">
        <v>1510361</v>
      </c>
    </row>
    <row r="15" spans="1:7" ht="15" customHeight="1" x14ac:dyDescent="0.25">
      <c r="A15" s="31">
        <v>45611</v>
      </c>
      <c r="C15" s="33">
        <v>1000000</v>
      </c>
    </row>
    <row r="16" spans="1:7" ht="15" customHeight="1" x14ac:dyDescent="0.25">
      <c r="A16" s="31">
        <v>45625</v>
      </c>
      <c r="C16" s="33">
        <v>510361</v>
      </c>
    </row>
    <row r="17" spans="1:4" ht="15" customHeight="1" x14ac:dyDescent="0.25">
      <c r="A17" s="31">
        <v>45626</v>
      </c>
      <c r="B17" s="33">
        <v>1183738</v>
      </c>
    </row>
    <row r="18" spans="1:4" ht="15" customHeight="1" x14ac:dyDescent="0.25">
      <c r="A18" s="31">
        <v>45645</v>
      </c>
      <c r="C18" s="33">
        <v>1291253</v>
      </c>
    </row>
    <row r="19" spans="1:4" ht="15" customHeight="1" x14ac:dyDescent="0.25">
      <c r="A19" s="31">
        <v>45657</v>
      </c>
      <c r="B19" s="33">
        <v>1213213</v>
      </c>
    </row>
    <row r="20" spans="1:4" ht="15" customHeight="1" x14ac:dyDescent="0.25">
      <c r="A20" s="31">
        <v>45673</v>
      </c>
      <c r="C20" s="33">
        <v>1213213</v>
      </c>
    </row>
    <row r="21" spans="1:4" ht="15" customHeight="1" x14ac:dyDescent="0.25">
      <c r="A21" s="31">
        <v>45688</v>
      </c>
      <c r="B21" s="33">
        <v>2857233</v>
      </c>
    </row>
    <row r="22" spans="1:4" ht="15.75" customHeight="1" x14ac:dyDescent="0.25">
      <c r="A22" s="31">
        <v>45701</v>
      </c>
      <c r="C22" s="33">
        <v>2300000</v>
      </c>
    </row>
    <row r="23" spans="1:4" ht="15.75" customHeight="1" x14ac:dyDescent="0.25">
      <c r="A23" s="31">
        <v>45709</v>
      </c>
      <c r="C23" s="33">
        <v>557233</v>
      </c>
    </row>
    <row r="24" spans="1:4" ht="15.75" customHeight="1" x14ac:dyDescent="0.25">
      <c r="A24" s="31">
        <v>45716</v>
      </c>
      <c r="B24" s="33">
        <v>2382565</v>
      </c>
    </row>
    <row r="25" spans="1:4" ht="15.75" customHeight="1" x14ac:dyDescent="0.25">
      <c r="A25" s="31">
        <v>45734</v>
      </c>
      <c r="C25" s="33">
        <v>2382565</v>
      </c>
    </row>
    <row r="26" spans="1:4" ht="15.75" customHeight="1" x14ac:dyDescent="0.25">
      <c r="A26" s="31">
        <v>45747</v>
      </c>
      <c r="B26" s="33">
        <v>1407414</v>
      </c>
    </row>
    <row r="27" spans="1:4" ht="15.75" customHeight="1" x14ac:dyDescent="0.25">
      <c r="A27" s="31">
        <v>45749</v>
      </c>
      <c r="C27" s="33">
        <v>1008000</v>
      </c>
      <c r="D27" t="s">
        <v>167</v>
      </c>
    </row>
    <row r="28" spans="1:4" ht="15.75" customHeight="1" x14ac:dyDescent="0.25">
      <c r="A28" s="31">
        <v>45749</v>
      </c>
      <c r="C28" s="33">
        <v>400000</v>
      </c>
      <c r="D28" t="s">
        <v>168</v>
      </c>
    </row>
    <row r="29" spans="1:4" ht="15.75" customHeight="1" x14ac:dyDescent="0.25">
      <c r="A29" s="31">
        <v>45777</v>
      </c>
      <c r="B29" s="33">
        <v>1425322</v>
      </c>
    </row>
    <row r="30" spans="1:4" ht="15.75" customHeight="1" x14ac:dyDescent="0.25">
      <c r="A30" s="31">
        <v>45801</v>
      </c>
      <c r="C30" s="33">
        <v>1000000</v>
      </c>
      <c r="D30" t="s">
        <v>167</v>
      </c>
    </row>
    <row r="31" spans="1:4" ht="15.75" customHeight="1" x14ac:dyDescent="0.25">
      <c r="A31" s="31">
        <v>45807</v>
      </c>
      <c r="B31" s="33">
        <v>720651</v>
      </c>
    </row>
    <row r="32" spans="1:4" ht="15.75" customHeight="1" x14ac:dyDescent="0.25">
      <c r="A32" s="31">
        <v>45819</v>
      </c>
      <c r="C32" s="33">
        <v>1000000</v>
      </c>
      <c r="D32" t="s">
        <v>167</v>
      </c>
    </row>
    <row r="33" spans="1:4" ht="15.75" customHeight="1" x14ac:dyDescent="0.25">
      <c r="A33" s="31">
        <v>45838</v>
      </c>
      <c r="B33" s="33">
        <v>653741</v>
      </c>
    </row>
    <row r="34" spans="1:4" ht="15.75" customHeight="1" x14ac:dyDescent="0.25">
      <c r="A34" s="31">
        <v>45849</v>
      </c>
      <c r="C34" s="33">
        <v>800000</v>
      </c>
      <c r="D34" s="104" t="s">
        <v>167</v>
      </c>
    </row>
    <row r="35" spans="1:4" ht="15.75" customHeight="1" x14ac:dyDescent="0.25">
      <c r="A35" s="31">
        <v>45869</v>
      </c>
      <c r="B35" s="33">
        <v>1685724</v>
      </c>
    </row>
    <row r="36" spans="1:4" ht="15.75" customHeight="1" x14ac:dyDescent="0.25">
      <c r="A36" s="31">
        <v>45881</v>
      </c>
      <c r="C36" s="33">
        <v>1325000</v>
      </c>
    </row>
    <row r="37" spans="1:4" ht="15.75" customHeight="1" x14ac:dyDescent="0.25">
      <c r="A37" s="31">
        <v>45900</v>
      </c>
      <c r="B37" s="33">
        <v>921348</v>
      </c>
    </row>
    <row r="38" spans="1:4" ht="15.75" customHeight="1" x14ac:dyDescent="0.25">
      <c r="A38" s="31">
        <v>45908</v>
      </c>
      <c r="C38" s="33">
        <v>1000000</v>
      </c>
    </row>
    <row r="39" spans="1:4" ht="15.75" customHeight="1" x14ac:dyDescent="0.25">
      <c r="A39" s="31">
        <v>45930</v>
      </c>
      <c r="B39" s="33">
        <v>900453</v>
      </c>
    </row>
    <row r="40" spans="1:4" ht="15.75" customHeight="1" x14ac:dyDescent="0.25">
      <c r="A40" s="31">
        <v>45937</v>
      </c>
      <c r="C40" s="33">
        <v>1000000</v>
      </c>
    </row>
    <row r="41" spans="1:4" ht="15.75" customHeight="1" x14ac:dyDescent="0.25">
      <c r="A41" s="31">
        <v>45961</v>
      </c>
      <c r="B41" s="33">
        <v>1160273</v>
      </c>
    </row>
    <row r="42" spans="1:4" ht="15.75" customHeight="1" x14ac:dyDescent="0.25">
      <c r="A42" s="31">
        <v>45973</v>
      </c>
      <c r="C42" s="33">
        <v>1341926</v>
      </c>
    </row>
    <row r="43" spans="1:4" ht="15.75" customHeight="1" x14ac:dyDescent="0.25">
      <c r="A43" s="31">
        <v>45991</v>
      </c>
      <c r="B43" s="33">
        <v>1166754</v>
      </c>
    </row>
    <row r="44" spans="1:4" ht="15.75" customHeight="1" x14ac:dyDescent="0.25">
      <c r="A44" s="31">
        <v>46007</v>
      </c>
      <c r="C44" s="33">
        <v>1150000</v>
      </c>
    </row>
    <row r="45" spans="1:4" ht="15.75" customHeight="1" x14ac:dyDescent="0.25">
      <c r="A45" s="31">
        <v>46022</v>
      </c>
      <c r="B45" s="33">
        <v>1336845</v>
      </c>
    </row>
    <row r="46" spans="1:4" ht="15.75" customHeight="1" x14ac:dyDescent="0.25">
      <c r="A46" s="31">
        <v>46035</v>
      </c>
      <c r="C46" s="33">
        <v>1336845</v>
      </c>
    </row>
    <row r="47" spans="1:4" ht="15.75" customHeight="1" x14ac:dyDescent="0.25">
      <c r="A47" s="31">
        <v>46035</v>
      </c>
      <c r="C47" s="33">
        <v>16754</v>
      </c>
    </row>
    <row r="48" spans="1:4" ht="15.75" customHeight="1" x14ac:dyDescent="0.25">
      <c r="A48" s="31">
        <v>46053</v>
      </c>
      <c r="B48" s="33">
        <v>3367261</v>
      </c>
    </row>
    <row r="49" spans="1:3" ht="15.75" customHeight="1" x14ac:dyDescent="0.25">
      <c r="A49" s="31">
        <v>46063</v>
      </c>
      <c r="C49" s="33">
        <v>3367261</v>
      </c>
    </row>
    <row r="50" spans="1:3" ht="15.75" customHeight="1" x14ac:dyDescent="0.25">
      <c r="A50" s="31">
        <v>46081</v>
      </c>
      <c r="B50" s="33">
        <v>3268393</v>
      </c>
    </row>
    <row r="51" spans="1:3" ht="15.75" customHeight="1" x14ac:dyDescent="0.25">
      <c r="A51" s="31">
        <v>46091</v>
      </c>
      <c r="C51" s="33">
        <v>1500000</v>
      </c>
    </row>
    <row r="52" spans="1:3" ht="15.75" customHeight="1" x14ac:dyDescent="0.25">
      <c r="A52" s="31">
        <v>46094</v>
      </c>
      <c r="C52" s="33">
        <v>1270000</v>
      </c>
    </row>
    <row r="53" spans="1:3" ht="15.75" customHeight="1" x14ac:dyDescent="0.25"/>
    <row r="54" spans="1:3" ht="15.75" customHeight="1" x14ac:dyDescent="0.25"/>
    <row r="55" spans="1:3" ht="15.75" customHeight="1" x14ac:dyDescent="0.25"/>
    <row r="56" spans="1:3" ht="15.75" customHeight="1" x14ac:dyDescent="0.25"/>
    <row r="57" spans="1:3" ht="15.75" customHeight="1" x14ac:dyDescent="0.25"/>
    <row r="58" spans="1:3" ht="15.75" customHeight="1" x14ac:dyDescent="0.25"/>
    <row r="59" spans="1:3" ht="15.75" customHeight="1" x14ac:dyDescent="0.25"/>
    <row r="60" spans="1:3" ht="15.75" customHeight="1" x14ac:dyDescent="0.25"/>
    <row r="61" spans="1:3" ht="15.75" customHeight="1" x14ac:dyDescent="0.25"/>
    <row r="62" spans="1:3" ht="15.75" customHeight="1" x14ac:dyDescent="0.25"/>
    <row r="63" spans="1:3" ht="15.75" customHeight="1" x14ac:dyDescent="0.25"/>
    <row r="64" spans="1: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G2">
    <cfRule type="cellIs" dxfId="17" priority="1" operator="lessThan">
      <formula>0</formula>
    </cfRule>
    <cfRule type="cellIs" dxfId="16" priority="2" operator="greaterThan">
      <formula>0</formula>
    </cfRule>
  </conditionalFormatting>
  <hyperlinks>
    <hyperlink ref="D1" location="CLIENTES!A1" display="volver" xr:uid="{00000000-0004-0000-3700-000000000000}"/>
  </hyperlinks>
  <pageMargins left="0.7" right="0.7" top="0.75" bottom="0.75" header="0" footer="0"/>
  <pageSetup orientation="landscape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G1001"/>
  <sheetViews>
    <sheetView workbookViewId="0">
      <selection activeCell="D1" sqref="D1"/>
    </sheetView>
  </sheetViews>
  <sheetFormatPr baseColWidth="10" defaultColWidth="14.42578125" defaultRowHeight="15" customHeight="1" x14ac:dyDescent="0.25"/>
  <cols>
    <col min="1" max="1" width="15.5703125" customWidth="1"/>
    <col min="2" max="2" width="19.5703125" style="33" customWidth="1"/>
    <col min="3" max="3" width="15.5703125" style="33" customWidth="1"/>
    <col min="4" max="4" width="16.140625" customWidth="1"/>
    <col min="5" max="7" width="15.5703125" customWidth="1"/>
    <col min="8" max="26" width="10.7109375" customWidth="1"/>
  </cols>
  <sheetData>
    <row r="1" spans="1:7" ht="18.75" x14ac:dyDescent="0.3">
      <c r="A1" s="12" t="s">
        <v>47</v>
      </c>
      <c r="B1"/>
      <c r="C1"/>
      <c r="D1" s="101" t="s">
        <v>52</v>
      </c>
    </row>
    <row r="2" spans="1:7" s="37" customFormat="1" ht="18.75" customHeight="1" x14ac:dyDescent="0.25">
      <c r="A2" s="37" t="s">
        <v>53</v>
      </c>
      <c r="B2" s="38" t="s">
        <v>54</v>
      </c>
      <c r="C2" s="38" t="s">
        <v>55</v>
      </c>
      <c r="D2" s="37" t="s">
        <v>56</v>
      </c>
      <c r="E2" s="37" t="s">
        <v>57</v>
      </c>
      <c r="F2" s="39" t="s">
        <v>58</v>
      </c>
      <c r="G2" s="40">
        <f>SUM(C3:C1048576) - SUM(B3:B1048576)</f>
        <v>0</v>
      </c>
    </row>
    <row r="4" spans="1:7" ht="15" customHeight="1" x14ac:dyDescent="0.25">
      <c r="A4" s="31">
        <v>45473</v>
      </c>
      <c r="B4" s="33">
        <v>1054973</v>
      </c>
    </row>
    <row r="5" spans="1:7" ht="15" customHeight="1" x14ac:dyDescent="0.25">
      <c r="A5" s="31">
        <v>45488</v>
      </c>
      <c r="C5" s="33">
        <v>1054973</v>
      </c>
    </row>
    <row r="6" spans="1:7" ht="15" customHeight="1" x14ac:dyDescent="0.25">
      <c r="A6" s="31">
        <v>45504</v>
      </c>
      <c r="B6" s="33">
        <v>1636590</v>
      </c>
    </row>
    <row r="7" spans="1:7" ht="15" customHeight="1" x14ac:dyDescent="0.25">
      <c r="A7" s="31">
        <v>45519</v>
      </c>
      <c r="C7" s="33">
        <v>1636590</v>
      </c>
    </row>
    <row r="8" spans="1:7" ht="15" customHeight="1" x14ac:dyDescent="0.25">
      <c r="A8" s="31">
        <v>45535</v>
      </c>
      <c r="B8" s="33">
        <v>1183847</v>
      </c>
    </row>
    <row r="9" spans="1:7" ht="15" customHeight="1" x14ac:dyDescent="0.25">
      <c r="A9" s="31">
        <v>45551</v>
      </c>
      <c r="C9" s="33">
        <v>1183847</v>
      </c>
    </row>
    <row r="10" spans="1:7" ht="15" customHeight="1" x14ac:dyDescent="0.25">
      <c r="A10" s="31">
        <v>45565</v>
      </c>
      <c r="B10" s="33">
        <v>1440186</v>
      </c>
    </row>
    <row r="11" spans="1:7" ht="15" customHeight="1" x14ac:dyDescent="0.25">
      <c r="A11" s="31">
        <v>45583</v>
      </c>
      <c r="C11" s="33">
        <v>1440186</v>
      </c>
    </row>
    <row r="12" spans="1:7" ht="15" customHeight="1" x14ac:dyDescent="0.25">
      <c r="A12" s="31">
        <v>45596</v>
      </c>
      <c r="B12" s="33">
        <v>1705233</v>
      </c>
    </row>
    <row r="13" spans="1:7" ht="15" customHeight="1" x14ac:dyDescent="0.25">
      <c r="A13" s="31">
        <v>45608</v>
      </c>
      <c r="C13" s="33">
        <v>1705233</v>
      </c>
    </row>
    <row r="14" spans="1:7" ht="15" customHeight="1" x14ac:dyDescent="0.25">
      <c r="A14" s="31">
        <v>45626</v>
      </c>
      <c r="B14" s="33">
        <v>1152720</v>
      </c>
    </row>
    <row r="15" spans="1:7" ht="15" customHeight="1" x14ac:dyDescent="0.25">
      <c r="A15" s="31">
        <v>45636</v>
      </c>
      <c r="C15" s="33">
        <v>1152720</v>
      </c>
    </row>
    <row r="16" spans="1:7" ht="15" customHeight="1" x14ac:dyDescent="0.25">
      <c r="A16" s="31">
        <v>45657</v>
      </c>
      <c r="B16" s="33">
        <v>1622076</v>
      </c>
    </row>
    <row r="17" spans="1:3" ht="15" customHeight="1" x14ac:dyDescent="0.25">
      <c r="A17" s="31">
        <v>45681</v>
      </c>
      <c r="C17" s="33">
        <v>1622076</v>
      </c>
    </row>
    <row r="18" spans="1:3" ht="15" customHeight="1" x14ac:dyDescent="0.25">
      <c r="A18" s="31">
        <v>45688</v>
      </c>
      <c r="B18" s="33">
        <v>3047925</v>
      </c>
    </row>
    <row r="19" spans="1:3" ht="15" customHeight="1" x14ac:dyDescent="0.25">
      <c r="A19" s="31">
        <v>45696</v>
      </c>
      <c r="C19" s="33">
        <v>3047925</v>
      </c>
    </row>
    <row r="20" spans="1:3" ht="15" customHeight="1" x14ac:dyDescent="0.25">
      <c r="A20" s="31">
        <v>45716</v>
      </c>
      <c r="B20" s="33">
        <v>2670643</v>
      </c>
    </row>
    <row r="21" spans="1:3" ht="15" customHeight="1" x14ac:dyDescent="0.25">
      <c r="A21" s="31">
        <v>45734</v>
      </c>
      <c r="C21" s="33">
        <v>2670643</v>
      </c>
    </row>
    <row r="22" spans="1:3" ht="15.75" customHeight="1" x14ac:dyDescent="0.25">
      <c r="A22" s="31">
        <v>45747</v>
      </c>
      <c r="B22" s="33">
        <v>1482278</v>
      </c>
    </row>
    <row r="23" spans="1:3" ht="15.75" customHeight="1" x14ac:dyDescent="0.25">
      <c r="A23" s="31">
        <v>45765</v>
      </c>
      <c r="C23" s="33">
        <v>1482278</v>
      </c>
    </row>
    <row r="24" spans="1:3" ht="15.75" customHeight="1" x14ac:dyDescent="0.25">
      <c r="A24" s="31">
        <v>45777</v>
      </c>
      <c r="B24" s="33">
        <v>1545313</v>
      </c>
    </row>
    <row r="25" spans="1:3" ht="15.75" customHeight="1" x14ac:dyDescent="0.25">
      <c r="A25" s="31">
        <v>45786</v>
      </c>
      <c r="C25" s="33">
        <v>1545313</v>
      </c>
    </row>
    <row r="26" spans="1:3" ht="15.75" customHeight="1" x14ac:dyDescent="0.25">
      <c r="A26" s="31">
        <v>45807</v>
      </c>
      <c r="B26" s="33">
        <v>1447682</v>
      </c>
    </row>
    <row r="27" spans="1:3" ht="15.75" customHeight="1" x14ac:dyDescent="0.25">
      <c r="A27" s="31">
        <v>45813</v>
      </c>
      <c r="C27" s="33">
        <v>1447682</v>
      </c>
    </row>
    <row r="28" spans="1:3" ht="15.75" customHeight="1" x14ac:dyDescent="0.25">
      <c r="A28" s="31">
        <v>45838</v>
      </c>
      <c r="B28" s="33">
        <v>1361087</v>
      </c>
    </row>
    <row r="29" spans="1:3" ht="15.75" customHeight="1" x14ac:dyDescent="0.25">
      <c r="A29" s="31">
        <v>45855</v>
      </c>
      <c r="C29" s="33">
        <v>1361087</v>
      </c>
    </row>
    <row r="30" spans="1:3" ht="15.75" customHeight="1" x14ac:dyDescent="0.25">
      <c r="A30" s="31">
        <v>45869</v>
      </c>
      <c r="B30" s="33">
        <v>2173510</v>
      </c>
    </row>
    <row r="31" spans="1:3" ht="15.75" customHeight="1" x14ac:dyDescent="0.25">
      <c r="C31" s="33">
        <v>2173510</v>
      </c>
    </row>
    <row r="32" spans="1:3" ht="15.75" customHeight="1" x14ac:dyDescent="0.25">
      <c r="A32" s="31">
        <v>45900</v>
      </c>
      <c r="B32" s="33">
        <v>1478821</v>
      </c>
    </row>
    <row r="33" spans="1:3" ht="15.75" customHeight="1" x14ac:dyDescent="0.25">
      <c r="A33" s="31">
        <v>45909</v>
      </c>
      <c r="C33" s="33">
        <v>1478821</v>
      </c>
    </row>
    <row r="34" spans="1:3" ht="15.75" customHeight="1" x14ac:dyDescent="0.25">
      <c r="A34" s="31">
        <v>45930</v>
      </c>
      <c r="B34" s="33">
        <v>1494707</v>
      </c>
    </row>
    <row r="35" spans="1:3" ht="15.75" customHeight="1" x14ac:dyDescent="0.25">
      <c r="A35" s="31">
        <v>45941</v>
      </c>
      <c r="C35" s="33">
        <v>1494707</v>
      </c>
    </row>
    <row r="36" spans="1:3" ht="15.75" customHeight="1" x14ac:dyDescent="0.25">
      <c r="A36" s="31">
        <v>45961</v>
      </c>
      <c r="B36" s="33">
        <v>1423666</v>
      </c>
    </row>
    <row r="37" spans="1:3" ht="15.75" customHeight="1" x14ac:dyDescent="0.25">
      <c r="A37" s="31">
        <v>45968</v>
      </c>
      <c r="C37" s="33">
        <v>1423666</v>
      </c>
    </row>
    <row r="38" spans="1:3" ht="15.75" customHeight="1" x14ac:dyDescent="0.25">
      <c r="A38" s="31">
        <v>45991</v>
      </c>
      <c r="B38" s="33">
        <v>1496037</v>
      </c>
    </row>
    <row r="39" spans="1:3" ht="15.75" customHeight="1" x14ac:dyDescent="0.25">
      <c r="A39" s="31">
        <v>46008</v>
      </c>
      <c r="C39" s="33">
        <v>1496037</v>
      </c>
    </row>
    <row r="40" spans="1:3" ht="15.75" customHeight="1" x14ac:dyDescent="0.25">
      <c r="A40" s="31">
        <v>46022</v>
      </c>
      <c r="B40" s="33">
        <v>1672905</v>
      </c>
    </row>
    <row r="41" spans="1:3" ht="15.75" customHeight="1" x14ac:dyDescent="0.25">
      <c r="A41" s="31">
        <v>46031</v>
      </c>
      <c r="C41" s="33">
        <v>1672905</v>
      </c>
    </row>
    <row r="42" spans="1:3" ht="15.75" customHeight="1" x14ac:dyDescent="0.25">
      <c r="A42" s="31">
        <v>46053</v>
      </c>
      <c r="B42" s="33">
        <v>2289344</v>
      </c>
    </row>
    <row r="43" spans="1:3" ht="15.75" customHeight="1" x14ac:dyDescent="0.25">
      <c r="A43" s="31">
        <v>46059</v>
      </c>
      <c r="C43" s="33">
        <v>2289344</v>
      </c>
    </row>
    <row r="44" spans="1:3" ht="15.75" customHeight="1" x14ac:dyDescent="0.25">
      <c r="A44" s="31">
        <v>46081</v>
      </c>
      <c r="B44" s="33">
        <v>3047883</v>
      </c>
    </row>
    <row r="45" spans="1:3" ht="15.75" customHeight="1" x14ac:dyDescent="0.25">
      <c r="A45" s="31">
        <v>46091</v>
      </c>
      <c r="C45" s="33">
        <v>3047883</v>
      </c>
    </row>
    <row r="46" spans="1:3" ht="15.75" customHeight="1" x14ac:dyDescent="0.25"/>
    <row r="47" spans="1:3" ht="15.75" customHeight="1" x14ac:dyDescent="0.25"/>
    <row r="48" spans="1: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conditionalFormatting sqref="G2">
    <cfRule type="cellIs" dxfId="15" priority="1" operator="lessThan">
      <formula>0</formula>
    </cfRule>
    <cfRule type="cellIs" dxfId="14" priority="2" operator="greaterThan">
      <formula>0</formula>
    </cfRule>
  </conditionalFormatting>
  <hyperlinks>
    <hyperlink ref="D1" location="CLIENTES!A1" display="volver" xr:uid="{00000000-0004-0000-3800-000000000000}"/>
  </hyperlinks>
  <pageMargins left="0.7" right="0.7" top="0.75" bottom="0.75" header="0" footer="0"/>
  <pageSetup orientation="landscape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G1008"/>
  <sheetViews>
    <sheetView zoomScale="94" workbookViewId="0">
      <pane ySplit="1" topLeftCell="A2" activePane="bottomLeft" state="frozen"/>
      <selection pane="bottomLeft" activeCell="D1" sqref="D1"/>
    </sheetView>
  </sheetViews>
  <sheetFormatPr baseColWidth="10" defaultColWidth="14.42578125" defaultRowHeight="15" customHeight="1" x14ac:dyDescent="0.25"/>
  <cols>
    <col min="1" max="1" width="19.28515625" customWidth="1"/>
    <col min="2" max="2" width="20.140625" style="33" customWidth="1"/>
    <col min="3" max="3" width="16.5703125" style="33" customWidth="1"/>
    <col min="4" max="4" width="16.42578125" style="57" customWidth="1"/>
    <col min="5" max="7" width="14.42578125" customWidth="1"/>
    <col min="8" max="26" width="10.7109375" customWidth="1"/>
  </cols>
  <sheetData>
    <row r="1" spans="1:7" ht="19.5" thickBot="1" x14ac:dyDescent="0.35">
      <c r="A1" s="154" t="s">
        <v>48</v>
      </c>
      <c r="B1" s="155"/>
      <c r="C1"/>
      <c r="D1" s="101" t="s">
        <v>52</v>
      </c>
    </row>
    <row r="2" spans="1:7" s="37" customFormat="1" ht="19.5" customHeight="1" x14ac:dyDescent="0.25">
      <c r="A2" s="37" t="s">
        <v>53</v>
      </c>
      <c r="B2" s="38" t="s">
        <v>54</v>
      </c>
      <c r="C2" s="38" t="s">
        <v>55</v>
      </c>
      <c r="D2" s="37" t="s">
        <v>56</v>
      </c>
      <c r="E2" s="37" t="s">
        <v>57</v>
      </c>
      <c r="F2" s="39" t="s">
        <v>58</v>
      </c>
      <c r="G2" s="40">
        <f>SUM(C3:C1048576) - SUM(B3:B1048576)</f>
        <v>-6016929</v>
      </c>
    </row>
    <row r="3" spans="1:7" ht="15" customHeight="1" x14ac:dyDescent="0.25">
      <c r="D3"/>
    </row>
    <row r="4" spans="1:7" ht="15" customHeight="1" x14ac:dyDescent="0.25">
      <c r="A4" s="55" t="s">
        <v>103</v>
      </c>
      <c r="B4" s="33">
        <v>590048</v>
      </c>
    </row>
    <row r="5" spans="1:7" ht="15" customHeight="1" x14ac:dyDescent="0.25">
      <c r="A5" s="55"/>
      <c r="C5" s="33">
        <v>590048</v>
      </c>
      <c r="D5" s="57" t="s">
        <v>117</v>
      </c>
    </row>
    <row r="6" spans="1:7" ht="15" customHeight="1" x14ac:dyDescent="0.25">
      <c r="A6" t="s">
        <v>106</v>
      </c>
      <c r="B6" s="33">
        <v>526426</v>
      </c>
      <c r="E6" t="s">
        <v>107</v>
      </c>
    </row>
    <row r="7" spans="1:7" ht="15" customHeight="1" x14ac:dyDescent="0.25">
      <c r="A7" t="s">
        <v>106</v>
      </c>
      <c r="B7" s="33">
        <v>533482</v>
      </c>
      <c r="E7" t="s">
        <v>108</v>
      </c>
    </row>
    <row r="8" spans="1:7" ht="15" customHeight="1" x14ac:dyDescent="0.25">
      <c r="A8" t="s">
        <v>115</v>
      </c>
      <c r="B8" s="33">
        <v>641417</v>
      </c>
      <c r="E8" t="s">
        <v>108</v>
      </c>
    </row>
    <row r="9" spans="1:7" ht="15" customHeight="1" x14ac:dyDescent="0.25">
      <c r="A9" t="s">
        <v>116</v>
      </c>
      <c r="B9" s="33">
        <v>418099</v>
      </c>
      <c r="E9" t="s">
        <v>107</v>
      </c>
    </row>
    <row r="10" spans="1:7" ht="15" customHeight="1" x14ac:dyDescent="0.25">
      <c r="A10" s="31">
        <v>45533</v>
      </c>
      <c r="C10" s="33">
        <v>1059908</v>
      </c>
      <c r="D10" s="75" t="s">
        <v>117</v>
      </c>
    </row>
    <row r="11" spans="1:7" ht="15" customHeight="1" x14ac:dyDescent="0.25">
      <c r="A11" t="s">
        <v>121</v>
      </c>
      <c r="B11" s="33">
        <v>801908</v>
      </c>
      <c r="E11" t="s">
        <v>122</v>
      </c>
    </row>
    <row r="12" spans="1:7" ht="15" customHeight="1" x14ac:dyDescent="0.25">
      <c r="A12" t="s">
        <v>121</v>
      </c>
      <c r="B12" s="33">
        <v>443216</v>
      </c>
      <c r="E12" t="s">
        <v>107</v>
      </c>
    </row>
    <row r="13" spans="1:7" ht="15" customHeight="1" x14ac:dyDescent="0.25">
      <c r="A13" s="31">
        <v>45575</v>
      </c>
      <c r="C13" s="33">
        <v>641417</v>
      </c>
    </row>
    <row r="14" spans="1:7" ht="15" customHeight="1" x14ac:dyDescent="0.25">
      <c r="A14" t="s">
        <v>135</v>
      </c>
      <c r="B14" s="33">
        <v>1318792</v>
      </c>
      <c r="E14" t="s">
        <v>136</v>
      </c>
    </row>
    <row r="15" spans="1:7" ht="15" customHeight="1" x14ac:dyDescent="0.25">
      <c r="A15" t="s">
        <v>135</v>
      </c>
      <c r="B15" s="33">
        <v>1352497</v>
      </c>
      <c r="E15" t="s">
        <v>108</v>
      </c>
    </row>
    <row r="16" spans="1:7" x14ac:dyDescent="0.25">
      <c r="A16" s="31">
        <v>45584</v>
      </c>
      <c r="C16" s="33">
        <v>1245124</v>
      </c>
      <c r="D16" s="57" t="s">
        <v>117</v>
      </c>
    </row>
    <row r="18" spans="1:5" ht="15" customHeight="1" x14ac:dyDescent="0.25">
      <c r="A18" t="s">
        <v>145</v>
      </c>
      <c r="B18" s="33">
        <v>948304</v>
      </c>
      <c r="E18" t="s">
        <v>107</v>
      </c>
    </row>
    <row r="19" spans="1:5" ht="15" customHeight="1" x14ac:dyDescent="0.25">
      <c r="A19" t="s">
        <v>145</v>
      </c>
      <c r="B19" s="33">
        <v>1258258</v>
      </c>
      <c r="E19" t="s">
        <v>108</v>
      </c>
    </row>
    <row r="20" spans="1:5" ht="15" customHeight="1" x14ac:dyDescent="0.25">
      <c r="A20" s="31">
        <v>45618</v>
      </c>
      <c r="C20" s="33">
        <v>1352497</v>
      </c>
    </row>
    <row r="21" spans="1:5" ht="15" customHeight="1" x14ac:dyDescent="0.25">
      <c r="A21" t="s">
        <v>146</v>
      </c>
      <c r="B21" s="33">
        <v>1296569</v>
      </c>
      <c r="E21" t="s">
        <v>107</v>
      </c>
    </row>
    <row r="22" spans="1:5" ht="15" customHeight="1" x14ac:dyDescent="0.25">
      <c r="A22" t="s">
        <v>146</v>
      </c>
      <c r="B22" s="33">
        <v>1667460</v>
      </c>
      <c r="E22" t="s">
        <v>108</v>
      </c>
    </row>
    <row r="23" spans="1:5" ht="15.75" customHeight="1" x14ac:dyDescent="0.25">
      <c r="A23" s="31">
        <v>45637</v>
      </c>
      <c r="C23" s="33">
        <v>3525354</v>
      </c>
    </row>
    <row r="24" spans="1:5" ht="15.75" customHeight="1" x14ac:dyDescent="0.25">
      <c r="A24" s="31">
        <v>45657</v>
      </c>
      <c r="B24" s="33">
        <v>888668</v>
      </c>
      <c r="E24" t="s">
        <v>153</v>
      </c>
    </row>
    <row r="25" spans="1:5" ht="15.75" customHeight="1" x14ac:dyDescent="0.25">
      <c r="A25" s="31">
        <v>45657</v>
      </c>
      <c r="B25" s="33">
        <v>1119225</v>
      </c>
    </row>
    <row r="26" spans="1:5" ht="15.75" customHeight="1" x14ac:dyDescent="0.25">
      <c r="A26" s="31">
        <v>45657</v>
      </c>
      <c r="C26" s="33">
        <v>2964029</v>
      </c>
    </row>
    <row r="27" spans="1:5" ht="15.75" customHeight="1" x14ac:dyDescent="0.25">
      <c r="A27" s="31">
        <v>45667</v>
      </c>
      <c r="C27" s="33">
        <v>1119225</v>
      </c>
    </row>
    <row r="28" spans="1:5" ht="15.75" customHeight="1" x14ac:dyDescent="0.25">
      <c r="A28" s="31">
        <v>45680</v>
      </c>
      <c r="C28" s="33">
        <v>1306767</v>
      </c>
    </row>
    <row r="29" spans="1:5" ht="15.75" customHeight="1" x14ac:dyDescent="0.25">
      <c r="A29" s="31">
        <v>45707</v>
      </c>
      <c r="B29" s="33">
        <v>882150</v>
      </c>
      <c r="E29" t="s">
        <v>108</v>
      </c>
    </row>
    <row r="30" spans="1:5" ht="15.75" customHeight="1" x14ac:dyDescent="0.25">
      <c r="A30" s="31">
        <v>45707</v>
      </c>
      <c r="B30" s="33">
        <v>628858</v>
      </c>
      <c r="E30" t="s">
        <v>107</v>
      </c>
    </row>
    <row r="31" spans="1:5" ht="15.75" customHeight="1" x14ac:dyDescent="0.25">
      <c r="A31" s="31">
        <v>45712</v>
      </c>
      <c r="C31" s="33">
        <v>1511008</v>
      </c>
    </row>
    <row r="32" spans="1:5" ht="15.75" customHeight="1" x14ac:dyDescent="0.25">
      <c r="A32" s="31"/>
      <c r="D32" s="89"/>
    </row>
    <row r="33" spans="1:5" ht="15.75" customHeight="1" x14ac:dyDescent="0.25">
      <c r="A33" s="31">
        <v>45751</v>
      </c>
      <c r="B33" s="33">
        <v>721548</v>
      </c>
      <c r="D33" s="89"/>
      <c r="E33" t="s">
        <v>108</v>
      </c>
    </row>
    <row r="34" spans="1:5" ht="15.75" customHeight="1" x14ac:dyDescent="0.25">
      <c r="A34" s="31">
        <v>45751</v>
      </c>
      <c r="B34" s="33">
        <v>387855</v>
      </c>
      <c r="E34" t="s">
        <v>107</v>
      </c>
    </row>
    <row r="35" spans="1:5" ht="15.75" customHeight="1" x14ac:dyDescent="0.25">
      <c r="A35" s="31">
        <v>45791</v>
      </c>
      <c r="B35" s="33">
        <v>1766971</v>
      </c>
      <c r="E35" t="s">
        <v>108</v>
      </c>
    </row>
    <row r="36" spans="1:5" ht="15.75" customHeight="1" x14ac:dyDescent="0.25">
      <c r="A36" s="31">
        <v>45791</v>
      </c>
      <c r="B36" s="33">
        <v>1194941</v>
      </c>
      <c r="E36" t="s">
        <v>107</v>
      </c>
    </row>
    <row r="37" spans="1:5" ht="15.75" customHeight="1" x14ac:dyDescent="0.25">
      <c r="A37" s="31">
        <v>45800</v>
      </c>
      <c r="C37" s="33">
        <v>1000000</v>
      </c>
      <c r="D37" s="57" t="s">
        <v>171</v>
      </c>
    </row>
    <row r="38" spans="1:5" ht="15.75" customHeight="1" x14ac:dyDescent="0.25">
      <c r="A38" s="31">
        <v>45800</v>
      </c>
      <c r="C38" s="33">
        <v>1000000</v>
      </c>
      <c r="D38" s="57" t="s">
        <v>171</v>
      </c>
    </row>
    <row r="39" spans="1:5" ht="15.75" customHeight="1" x14ac:dyDescent="0.25">
      <c r="A39" s="31">
        <v>45800</v>
      </c>
      <c r="C39" s="33">
        <v>1000000</v>
      </c>
      <c r="D39" s="57" t="s">
        <v>171</v>
      </c>
    </row>
    <row r="40" spans="1:5" ht="15.75" customHeight="1" x14ac:dyDescent="0.25">
      <c r="A40" s="31">
        <v>45800</v>
      </c>
      <c r="C40" s="33">
        <v>1071315</v>
      </c>
      <c r="D40" s="57" t="s">
        <v>171</v>
      </c>
    </row>
    <row r="41" spans="1:5" ht="15.75" customHeight="1" x14ac:dyDescent="0.25">
      <c r="A41" s="31">
        <v>45832</v>
      </c>
      <c r="B41" s="33">
        <v>1191424</v>
      </c>
      <c r="E41" t="s">
        <v>107</v>
      </c>
    </row>
    <row r="42" spans="1:5" ht="15.75" customHeight="1" x14ac:dyDescent="0.25">
      <c r="A42" s="31">
        <v>45832</v>
      </c>
      <c r="B42" s="33">
        <v>1886996</v>
      </c>
      <c r="E42" t="s">
        <v>108</v>
      </c>
    </row>
    <row r="43" spans="1:5" ht="15.75" customHeight="1" x14ac:dyDescent="0.25">
      <c r="A43" s="31">
        <v>45845</v>
      </c>
      <c r="C43" s="33">
        <v>500000</v>
      </c>
    </row>
    <row r="44" spans="1:5" ht="15.75" customHeight="1" x14ac:dyDescent="0.25">
      <c r="A44" s="31">
        <v>45849</v>
      </c>
      <c r="C44" s="33">
        <v>691424</v>
      </c>
      <c r="D44" s="103" t="s">
        <v>171</v>
      </c>
    </row>
    <row r="45" spans="1:5" ht="15.75" customHeight="1" x14ac:dyDescent="0.25">
      <c r="A45" s="31">
        <v>45861</v>
      </c>
      <c r="B45" s="33">
        <v>1753344</v>
      </c>
      <c r="E45" t="s">
        <v>108</v>
      </c>
    </row>
    <row r="46" spans="1:5" ht="15.75" customHeight="1" x14ac:dyDescent="0.25">
      <c r="A46" s="31">
        <v>45861</v>
      </c>
      <c r="B46" s="33">
        <v>1284832</v>
      </c>
      <c r="E46" t="s">
        <v>107</v>
      </c>
    </row>
    <row r="47" spans="1:5" ht="15.75" customHeight="1" x14ac:dyDescent="0.25">
      <c r="A47" s="31">
        <v>45869</v>
      </c>
      <c r="C47" s="33">
        <v>3640340</v>
      </c>
    </row>
    <row r="48" spans="1:5" ht="15.75" customHeight="1" x14ac:dyDescent="0.25">
      <c r="A48" s="31">
        <v>45883</v>
      </c>
      <c r="C48" s="33">
        <v>1284832</v>
      </c>
    </row>
    <row r="49" spans="1:6" ht="15.75" customHeight="1" x14ac:dyDescent="0.25">
      <c r="A49" s="31">
        <v>45882</v>
      </c>
      <c r="B49" s="33">
        <v>789595</v>
      </c>
      <c r="E49" t="s">
        <v>108</v>
      </c>
      <c r="F49">
        <v>390</v>
      </c>
    </row>
    <row r="50" spans="1:6" ht="15.75" customHeight="1" x14ac:dyDescent="0.25">
      <c r="A50" s="31">
        <v>45882</v>
      </c>
      <c r="B50" s="33">
        <v>877080</v>
      </c>
      <c r="E50" t="s">
        <v>107</v>
      </c>
      <c r="F50">
        <v>391</v>
      </c>
    </row>
    <row r="51" spans="1:6" ht="15.75" customHeight="1" x14ac:dyDescent="0.25">
      <c r="A51" s="31">
        <v>45904</v>
      </c>
      <c r="C51" s="33">
        <v>1666675</v>
      </c>
    </row>
    <row r="52" spans="1:6" ht="15.75" customHeight="1" x14ac:dyDescent="0.25">
      <c r="A52" s="31">
        <v>45925</v>
      </c>
      <c r="B52" s="33">
        <v>2196023</v>
      </c>
      <c r="D52" s="126"/>
      <c r="E52" s="128" t="s">
        <v>122</v>
      </c>
      <c r="F52">
        <v>396</v>
      </c>
    </row>
    <row r="53" spans="1:6" ht="15.75" customHeight="1" x14ac:dyDescent="0.25">
      <c r="A53" s="31">
        <v>45925</v>
      </c>
      <c r="B53" s="33">
        <v>1829191</v>
      </c>
      <c r="D53" s="126"/>
      <c r="E53" s="128" t="s">
        <v>153</v>
      </c>
      <c r="F53">
        <v>397</v>
      </c>
    </row>
    <row r="54" spans="1:6" ht="15.75" customHeight="1" x14ac:dyDescent="0.25">
      <c r="A54" s="31">
        <v>45954</v>
      </c>
      <c r="C54" s="33">
        <v>2196023</v>
      </c>
      <c r="F54">
        <v>396</v>
      </c>
    </row>
    <row r="55" spans="1:6" ht="15.75" customHeight="1" x14ac:dyDescent="0.25">
      <c r="A55" s="31">
        <v>45954</v>
      </c>
      <c r="B55" s="33">
        <v>1582736</v>
      </c>
      <c r="E55" s="129" t="s">
        <v>122</v>
      </c>
      <c r="F55">
        <v>401</v>
      </c>
    </row>
    <row r="56" spans="1:6" ht="15.75" customHeight="1" x14ac:dyDescent="0.25">
      <c r="A56" s="31">
        <v>45954</v>
      </c>
      <c r="B56" s="33">
        <v>1479265</v>
      </c>
      <c r="E56" s="129" t="s">
        <v>153</v>
      </c>
      <c r="F56">
        <v>400</v>
      </c>
    </row>
    <row r="57" spans="1:6" ht="15.75" customHeight="1" x14ac:dyDescent="0.25">
      <c r="A57" s="31">
        <v>45965</v>
      </c>
      <c r="C57" s="33">
        <v>1829191</v>
      </c>
      <c r="E57" s="142" t="s">
        <v>153</v>
      </c>
    </row>
    <row r="58" spans="1:6" ht="15.75" customHeight="1" x14ac:dyDescent="0.25">
      <c r="A58" s="31">
        <v>45989</v>
      </c>
      <c r="C58" s="33">
        <v>1479265</v>
      </c>
      <c r="E58" t="s">
        <v>153</v>
      </c>
    </row>
    <row r="59" spans="1:6" ht="15.75" customHeight="1" x14ac:dyDescent="0.25">
      <c r="A59" s="31">
        <v>45995</v>
      </c>
      <c r="C59" s="33">
        <v>1582736</v>
      </c>
      <c r="E59" t="s">
        <v>122</v>
      </c>
      <c r="F59">
        <v>401</v>
      </c>
    </row>
    <row r="60" spans="1:6" ht="15.75" customHeight="1" x14ac:dyDescent="0.25">
      <c r="A60" s="31">
        <v>46008</v>
      </c>
      <c r="B60" s="33">
        <v>2345643</v>
      </c>
      <c r="E60" t="s">
        <v>153</v>
      </c>
      <c r="F60">
        <v>52</v>
      </c>
    </row>
    <row r="61" spans="1:6" ht="15.75" customHeight="1" x14ac:dyDescent="0.25">
      <c r="A61" s="31">
        <v>46008</v>
      </c>
      <c r="B61" s="33">
        <v>3267807</v>
      </c>
      <c r="E61" t="s">
        <v>122</v>
      </c>
      <c r="F61">
        <v>51</v>
      </c>
    </row>
    <row r="62" spans="1:6" ht="15.75" customHeight="1" x14ac:dyDescent="0.25">
      <c r="A62" s="31">
        <v>46022</v>
      </c>
      <c r="B62" s="33">
        <v>1313461</v>
      </c>
      <c r="E62" t="s">
        <v>122</v>
      </c>
    </row>
    <row r="63" spans="1:6" ht="15.75" customHeight="1" x14ac:dyDescent="0.25">
      <c r="A63" s="31">
        <v>46022</v>
      </c>
      <c r="B63" s="33">
        <v>766002</v>
      </c>
      <c r="E63" t="s">
        <v>153</v>
      </c>
    </row>
    <row r="64" spans="1:6" ht="15.75" customHeight="1" x14ac:dyDescent="0.25">
      <c r="A64" s="31">
        <v>46037</v>
      </c>
      <c r="C64" s="33">
        <v>5613450</v>
      </c>
      <c r="F64">
        <v>51.52</v>
      </c>
    </row>
    <row r="65" spans="1:6" ht="15.75" customHeight="1" x14ac:dyDescent="0.25">
      <c r="A65" s="31">
        <v>46053</v>
      </c>
      <c r="B65" s="33">
        <v>2508880</v>
      </c>
      <c r="D65" s="145"/>
      <c r="E65" t="s">
        <v>122</v>
      </c>
      <c r="F65">
        <v>416</v>
      </c>
    </row>
    <row r="66" spans="1:6" ht="15.75" customHeight="1" x14ac:dyDescent="0.25">
      <c r="A66" s="31">
        <v>46053</v>
      </c>
      <c r="B66" s="33">
        <v>1728520</v>
      </c>
      <c r="D66" s="145"/>
      <c r="E66" t="s">
        <v>153</v>
      </c>
      <c r="F66">
        <v>417</v>
      </c>
    </row>
    <row r="67" spans="1:6" ht="15.75" customHeight="1" x14ac:dyDescent="0.25">
      <c r="A67" s="31">
        <v>46065</v>
      </c>
      <c r="C67" s="33">
        <v>2079463</v>
      </c>
    </row>
    <row r="68" spans="1:6" ht="15.75" customHeight="1" x14ac:dyDescent="0.25">
      <c r="A68" s="31">
        <v>46073</v>
      </c>
      <c r="C68" s="33">
        <v>2508880</v>
      </c>
      <c r="E68" t="s">
        <v>122</v>
      </c>
      <c r="F68">
        <v>416</v>
      </c>
    </row>
    <row r="69" spans="1:6" ht="15.75" customHeight="1" x14ac:dyDescent="0.25">
      <c r="A69" s="31">
        <v>46081</v>
      </c>
      <c r="B69" s="33">
        <v>1669693</v>
      </c>
      <c r="E69" t="s">
        <v>107</v>
      </c>
    </row>
    <row r="70" spans="1:6" ht="15.75" customHeight="1" x14ac:dyDescent="0.25">
      <c r="A70" s="31">
        <v>46081</v>
      </c>
      <c r="B70" s="33">
        <v>2618716</v>
      </c>
      <c r="E70" t="s">
        <v>108</v>
      </c>
    </row>
    <row r="71" spans="1:6" ht="15.75" customHeight="1" x14ac:dyDescent="0.25"/>
    <row r="72" spans="1:6" ht="15.75" customHeight="1" x14ac:dyDescent="0.25"/>
    <row r="73" spans="1:6" ht="15.75" customHeight="1" x14ac:dyDescent="0.25"/>
    <row r="74" spans="1:6" ht="15.75" customHeight="1" x14ac:dyDescent="0.25"/>
    <row r="75" spans="1:6" ht="15.75" customHeight="1" x14ac:dyDescent="0.25"/>
    <row r="76" spans="1:6" ht="15.75" customHeight="1" x14ac:dyDescent="0.25"/>
    <row r="77" spans="1:6" ht="15.75" customHeight="1" x14ac:dyDescent="0.25"/>
    <row r="78" spans="1:6" ht="15.75" customHeight="1" x14ac:dyDescent="0.25"/>
    <row r="79" spans="1:6" ht="15.75" customHeight="1" x14ac:dyDescent="0.25"/>
    <row r="80" spans="1:6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</sheetData>
  <mergeCells count="1">
    <mergeCell ref="A1:B1"/>
  </mergeCells>
  <conditionalFormatting sqref="G2">
    <cfRule type="cellIs" dxfId="13" priority="1" operator="lessThan">
      <formula>0</formula>
    </cfRule>
    <cfRule type="cellIs" dxfId="12" priority="2" operator="greaterThan">
      <formula>0</formula>
    </cfRule>
  </conditionalFormatting>
  <hyperlinks>
    <hyperlink ref="D1" location="CLIENTES!A1" display="volver" xr:uid="{00000000-0004-0000-3900-000000000000}"/>
  </hyperlinks>
  <pageMargins left="0.7" right="0.7" top="0.75" bottom="0.75" header="0" footer="0"/>
  <pageSetup orientation="landscape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G1001"/>
  <sheetViews>
    <sheetView workbookViewId="0">
      <selection activeCell="D1" sqref="D1"/>
    </sheetView>
  </sheetViews>
  <sheetFormatPr baseColWidth="10" defaultColWidth="14.42578125" defaultRowHeight="15" customHeight="1" x14ac:dyDescent="0.25"/>
  <cols>
    <col min="1" max="1" width="17.140625" customWidth="1"/>
    <col min="2" max="2" width="21.42578125" style="33" customWidth="1"/>
    <col min="3" max="3" width="17.140625" style="33" customWidth="1"/>
    <col min="4" max="7" width="17.140625" customWidth="1"/>
    <col min="8" max="26" width="10.7109375" customWidth="1"/>
  </cols>
  <sheetData>
    <row r="1" spans="1:7" ht="18.75" x14ac:dyDescent="0.3">
      <c r="A1" s="12" t="s">
        <v>49</v>
      </c>
      <c r="B1"/>
      <c r="C1"/>
      <c r="D1" s="101" t="s">
        <v>52</v>
      </c>
    </row>
    <row r="2" spans="1:7" s="37" customFormat="1" ht="21.75" customHeight="1" x14ac:dyDescent="0.25">
      <c r="A2" s="37" t="s">
        <v>53</v>
      </c>
      <c r="B2" s="38" t="s">
        <v>54</v>
      </c>
      <c r="C2" s="38" t="s">
        <v>55</v>
      </c>
      <c r="D2" s="37" t="s">
        <v>56</v>
      </c>
      <c r="E2" s="37" t="s">
        <v>57</v>
      </c>
      <c r="F2" s="39" t="s">
        <v>58</v>
      </c>
      <c r="G2" s="40">
        <f>SUM(C3:C1048576) - SUM(B3:B1048576)</f>
        <v>0</v>
      </c>
    </row>
    <row r="4" spans="1:7" ht="15" customHeight="1" x14ac:dyDescent="0.25">
      <c r="A4" s="31">
        <v>45504</v>
      </c>
      <c r="B4" s="33">
        <v>85599</v>
      </c>
    </row>
    <row r="5" spans="1:7" ht="15" customHeight="1" x14ac:dyDescent="0.25">
      <c r="A5" s="31">
        <v>45519</v>
      </c>
      <c r="C5" s="33">
        <v>85599</v>
      </c>
    </row>
    <row r="6" spans="1:7" ht="15" customHeight="1" x14ac:dyDescent="0.25">
      <c r="A6" s="31">
        <v>45535</v>
      </c>
      <c r="B6" s="33">
        <v>36645</v>
      </c>
    </row>
    <row r="7" spans="1:7" ht="15" customHeight="1" x14ac:dyDescent="0.25">
      <c r="A7" s="31">
        <v>45551</v>
      </c>
      <c r="C7" s="33">
        <v>36645</v>
      </c>
    </row>
    <row r="8" spans="1:7" ht="15" customHeight="1" x14ac:dyDescent="0.25">
      <c r="A8" s="31">
        <v>45565</v>
      </c>
      <c r="B8" s="33">
        <v>72885</v>
      </c>
    </row>
    <row r="9" spans="1:7" ht="15" customHeight="1" x14ac:dyDescent="0.25">
      <c r="A9" s="31">
        <v>45583</v>
      </c>
      <c r="C9" s="33">
        <v>72885</v>
      </c>
    </row>
    <row r="10" spans="1:7" ht="15" customHeight="1" x14ac:dyDescent="0.25">
      <c r="A10" s="31">
        <v>45596</v>
      </c>
      <c r="B10" s="33">
        <v>51108</v>
      </c>
    </row>
    <row r="11" spans="1:7" ht="15" customHeight="1" x14ac:dyDescent="0.25">
      <c r="A11" s="31">
        <v>45602</v>
      </c>
      <c r="C11" s="33">
        <v>51108</v>
      </c>
    </row>
    <row r="12" spans="1:7" ht="15" customHeight="1" x14ac:dyDescent="0.25">
      <c r="A12" s="31">
        <v>45626</v>
      </c>
      <c r="B12" s="33">
        <v>79139</v>
      </c>
    </row>
    <row r="13" spans="1:7" ht="15" customHeight="1" x14ac:dyDescent="0.25">
      <c r="A13" s="31">
        <v>45636</v>
      </c>
      <c r="C13" s="33">
        <v>79139</v>
      </c>
    </row>
    <row r="14" spans="1:7" ht="15" customHeight="1" x14ac:dyDescent="0.25">
      <c r="A14" s="31">
        <v>45657</v>
      </c>
      <c r="B14" s="33">
        <v>122301</v>
      </c>
    </row>
    <row r="15" spans="1:7" ht="15" customHeight="1" x14ac:dyDescent="0.25">
      <c r="A15" s="31">
        <v>45315</v>
      </c>
      <c r="C15" s="33">
        <v>122301</v>
      </c>
    </row>
    <row r="16" spans="1:7" ht="15" customHeight="1" x14ac:dyDescent="0.25">
      <c r="A16" s="31">
        <v>45688</v>
      </c>
      <c r="B16" s="33">
        <v>144211</v>
      </c>
    </row>
    <row r="17" spans="1:3" ht="15" customHeight="1" x14ac:dyDescent="0.25">
      <c r="A17" s="31">
        <v>45696</v>
      </c>
      <c r="C17" s="33">
        <v>144211</v>
      </c>
    </row>
    <row r="18" spans="1:3" ht="15" customHeight="1" x14ac:dyDescent="0.25">
      <c r="A18" s="31">
        <v>45716</v>
      </c>
      <c r="B18" s="33">
        <v>248362</v>
      </c>
    </row>
    <row r="19" spans="1:3" ht="15" customHeight="1" x14ac:dyDescent="0.25">
      <c r="A19" s="31">
        <v>45734</v>
      </c>
      <c r="C19" s="33">
        <v>248362</v>
      </c>
    </row>
    <row r="20" spans="1:3" ht="15" customHeight="1" x14ac:dyDescent="0.25">
      <c r="A20" s="31">
        <v>45747</v>
      </c>
      <c r="B20" s="33">
        <v>109521</v>
      </c>
    </row>
    <row r="21" spans="1:3" ht="15" customHeight="1" x14ac:dyDescent="0.25">
      <c r="A21" s="31">
        <v>45777</v>
      </c>
      <c r="B21" s="33">
        <v>95232</v>
      </c>
    </row>
    <row r="22" spans="1:3" ht="15.75" customHeight="1" x14ac:dyDescent="0.25">
      <c r="A22" s="31">
        <v>45756</v>
      </c>
      <c r="C22" s="33">
        <v>204753</v>
      </c>
    </row>
    <row r="23" spans="1:3" ht="15.75" customHeight="1" x14ac:dyDescent="0.25">
      <c r="A23" s="31">
        <v>45807</v>
      </c>
      <c r="B23" s="33">
        <v>188495</v>
      </c>
    </row>
    <row r="24" spans="1:3" ht="15.75" customHeight="1" x14ac:dyDescent="0.25">
      <c r="A24" s="31">
        <v>45813</v>
      </c>
      <c r="C24" s="33">
        <v>188495</v>
      </c>
    </row>
    <row r="25" spans="1:3" ht="15.75" customHeight="1" x14ac:dyDescent="0.25">
      <c r="A25" s="31">
        <v>45838</v>
      </c>
      <c r="B25" s="33">
        <v>51076</v>
      </c>
    </row>
    <row r="26" spans="1:3" ht="15.75" customHeight="1" x14ac:dyDescent="0.25">
      <c r="C26" s="33">
        <v>51076</v>
      </c>
    </row>
    <row r="27" spans="1:3" ht="15.75" customHeight="1" x14ac:dyDescent="0.25">
      <c r="A27" s="31">
        <v>45869</v>
      </c>
      <c r="B27" s="33">
        <v>204487</v>
      </c>
    </row>
    <row r="28" spans="1:3" ht="15.75" customHeight="1" x14ac:dyDescent="0.25">
      <c r="C28" s="33">
        <v>204487</v>
      </c>
    </row>
    <row r="29" spans="1:3" ht="15.75" customHeight="1" x14ac:dyDescent="0.25">
      <c r="A29" s="31">
        <v>45900</v>
      </c>
      <c r="B29" s="33">
        <v>223197</v>
      </c>
    </row>
    <row r="30" spans="1:3" ht="15.75" customHeight="1" x14ac:dyDescent="0.25">
      <c r="A30" s="31">
        <v>45909</v>
      </c>
      <c r="C30" s="33">
        <v>223197</v>
      </c>
    </row>
    <row r="31" spans="1:3" ht="15.75" customHeight="1" x14ac:dyDescent="0.25">
      <c r="A31" s="31">
        <v>45930</v>
      </c>
      <c r="B31" s="33">
        <v>57329</v>
      </c>
    </row>
    <row r="32" spans="1:3" ht="15.75" customHeight="1" x14ac:dyDescent="0.25">
      <c r="A32" s="31">
        <v>45941</v>
      </c>
      <c r="C32" s="33">
        <v>57329</v>
      </c>
    </row>
    <row r="33" spans="1:3" ht="15.75" customHeight="1" x14ac:dyDescent="0.25">
      <c r="A33" s="31">
        <v>45961</v>
      </c>
      <c r="B33" s="33">
        <v>138798</v>
      </c>
    </row>
    <row r="34" spans="1:3" ht="15.75" customHeight="1" x14ac:dyDescent="0.25">
      <c r="A34" s="31">
        <v>45968</v>
      </c>
      <c r="C34" s="33">
        <v>138798</v>
      </c>
    </row>
    <row r="35" spans="1:3" ht="15.75" customHeight="1" x14ac:dyDescent="0.25">
      <c r="A35" s="31">
        <v>45991</v>
      </c>
      <c r="B35" s="33">
        <v>80046</v>
      </c>
    </row>
    <row r="36" spans="1:3" ht="15.75" customHeight="1" x14ac:dyDescent="0.25">
      <c r="A36" s="31">
        <v>46008</v>
      </c>
      <c r="C36" s="33">
        <v>80046</v>
      </c>
    </row>
    <row r="37" spans="1:3" ht="15.75" customHeight="1" x14ac:dyDescent="0.25">
      <c r="A37" s="31">
        <v>46022</v>
      </c>
      <c r="B37" s="33">
        <v>195171</v>
      </c>
    </row>
    <row r="38" spans="1:3" ht="15.75" customHeight="1" x14ac:dyDescent="0.25">
      <c r="A38" s="31">
        <v>46031</v>
      </c>
      <c r="C38" s="33">
        <v>195171</v>
      </c>
    </row>
    <row r="39" spans="1:3" ht="15.75" customHeight="1" x14ac:dyDescent="0.25">
      <c r="A39" s="31">
        <v>46053</v>
      </c>
      <c r="B39" s="33">
        <v>293569</v>
      </c>
    </row>
    <row r="40" spans="1:3" ht="15.75" customHeight="1" x14ac:dyDescent="0.25">
      <c r="A40" s="31">
        <v>46059</v>
      </c>
      <c r="C40" s="33">
        <v>293569</v>
      </c>
    </row>
    <row r="41" spans="1:3" ht="15.75" customHeight="1" x14ac:dyDescent="0.25">
      <c r="A41" s="31">
        <v>46081</v>
      </c>
      <c r="B41" s="33">
        <v>331604</v>
      </c>
    </row>
    <row r="42" spans="1:3" ht="15.75" customHeight="1" x14ac:dyDescent="0.25">
      <c r="A42" s="31">
        <v>46091</v>
      </c>
      <c r="C42" s="33">
        <v>331604</v>
      </c>
    </row>
    <row r="43" spans="1:3" ht="15.75" customHeight="1" x14ac:dyDescent="0.25"/>
    <row r="44" spans="1:3" ht="15.75" customHeight="1" x14ac:dyDescent="0.25"/>
    <row r="45" spans="1:3" ht="15.75" customHeight="1" x14ac:dyDescent="0.25"/>
    <row r="46" spans="1:3" ht="15.75" customHeight="1" x14ac:dyDescent="0.25"/>
    <row r="47" spans="1:3" ht="15.75" customHeight="1" x14ac:dyDescent="0.25"/>
    <row r="48" spans="1: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conditionalFormatting sqref="G2">
    <cfRule type="cellIs" dxfId="11" priority="1" operator="lessThan">
      <formula>0</formula>
    </cfRule>
    <cfRule type="cellIs" dxfId="10" priority="2" operator="greaterThan">
      <formula>0</formula>
    </cfRule>
  </conditionalFormatting>
  <hyperlinks>
    <hyperlink ref="D1" location="CLIENTES!A1" display="volver" xr:uid="{00000000-0004-0000-3A00-000000000000}"/>
  </hyperlinks>
  <pageMargins left="0.7" right="0.7" top="0.75" bottom="0.75" header="0" footer="0"/>
  <pageSetup orientation="landscape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G1000"/>
  <sheetViews>
    <sheetView workbookViewId="0">
      <selection activeCell="D1" sqref="D1"/>
    </sheetView>
  </sheetViews>
  <sheetFormatPr baseColWidth="10" defaultColWidth="14.42578125" defaultRowHeight="15" customHeight="1" x14ac:dyDescent="0.25"/>
  <cols>
    <col min="1" max="6" width="10.7109375" customWidth="1"/>
    <col min="7" max="7" width="14" customWidth="1"/>
    <col min="8" max="26" width="10.7109375" customWidth="1"/>
  </cols>
  <sheetData>
    <row r="1" spans="1:7" ht="18.75" x14ac:dyDescent="0.3">
      <c r="A1" s="12" t="s">
        <v>50</v>
      </c>
      <c r="D1" s="2" t="s">
        <v>52</v>
      </c>
    </row>
    <row r="2" spans="1:7" x14ac:dyDescent="0.25">
      <c r="A2" s="1" t="s">
        <v>53</v>
      </c>
      <c r="B2" s="3" t="s">
        <v>54</v>
      </c>
      <c r="C2" s="3" t="s">
        <v>55</v>
      </c>
      <c r="D2" s="1" t="s">
        <v>56</v>
      </c>
      <c r="E2" s="1" t="s">
        <v>57</v>
      </c>
      <c r="F2" s="22" t="s">
        <v>58</v>
      </c>
      <c r="G2" s="23">
        <f>SUM(C3:C1048576) - SUM(B3:B1048576)</f>
        <v>-527000</v>
      </c>
    </row>
    <row r="4" spans="1:7" ht="15" customHeight="1" x14ac:dyDescent="0.25">
      <c r="A4" s="31">
        <v>45443</v>
      </c>
      <c r="B4">
        <v>52258</v>
      </c>
      <c r="E4" s="55" t="s">
        <v>99</v>
      </c>
    </row>
    <row r="5" spans="1:7" ht="15" customHeight="1" x14ac:dyDescent="0.25">
      <c r="A5" s="31">
        <v>45473</v>
      </c>
      <c r="B5">
        <v>187075</v>
      </c>
      <c r="E5" s="55" t="s">
        <v>99</v>
      </c>
    </row>
    <row r="6" spans="1:7" ht="15" customHeight="1" x14ac:dyDescent="0.25">
      <c r="A6" s="31">
        <v>45504</v>
      </c>
      <c r="B6">
        <v>287667</v>
      </c>
      <c r="E6" s="55" t="s">
        <v>99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G2">
    <cfRule type="cellIs" dxfId="9" priority="1" operator="lessThan">
      <formula>0</formula>
    </cfRule>
    <cfRule type="cellIs" dxfId="8" priority="2" operator="greaterThan">
      <formula>0</formula>
    </cfRule>
  </conditionalFormatting>
  <hyperlinks>
    <hyperlink ref="D1" location="Hoja1!A1" display="volver" xr:uid="{00000000-0004-0000-3B00-000000000000}"/>
  </hyperlinks>
  <pageMargins left="0.7" right="0.7" top="0.75" bottom="0.75" header="0" footer="0"/>
  <pageSetup orientation="landscape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G1002"/>
  <sheetViews>
    <sheetView workbookViewId="0">
      <selection activeCell="D1" sqref="D1"/>
    </sheetView>
  </sheetViews>
  <sheetFormatPr baseColWidth="10" defaultColWidth="14.42578125" defaultRowHeight="15" customHeight="1" x14ac:dyDescent="0.25"/>
  <cols>
    <col min="1" max="1" width="13" customWidth="1"/>
    <col min="2" max="2" width="19.42578125" style="33" customWidth="1"/>
    <col min="3" max="3" width="15.42578125" style="33" customWidth="1"/>
    <col min="4" max="4" width="16.42578125" customWidth="1"/>
    <col min="5" max="7" width="15.42578125" customWidth="1"/>
    <col min="8" max="26" width="10.7109375" customWidth="1"/>
  </cols>
  <sheetData>
    <row r="1" spans="1:7" ht="18.75" x14ac:dyDescent="0.3">
      <c r="A1" s="12" t="s">
        <v>51</v>
      </c>
      <c r="B1"/>
      <c r="C1"/>
      <c r="D1" s="101" t="s">
        <v>52</v>
      </c>
    </row>
    <row r="2" spans="1:7" s="37" customFormat="1" ht="17.25" customHeight="1" x14ac:dyDescent="0.25">
      <c r="A2" s="37" t="s">
        <v>53</v>
      </c>
      <c r="B2" s="38" t="s">
        <v>54</v>
      </c>
      <c r="C2" s="38" t="s">
        <v>55</v>
      </c>
      <c r="D2" s="37" t="s">
        <v>56</v>
      </c>
      <c r="E2" s="37" t="s">
        <v>57</v>
      </c>
      <c r="F2" s="39" t="s">
        <v>58</v>
      </c>
      <c r="G2" s="40">
        <f>SUM(C3:C1048576) - SUM(B3:B1048576)</f>
        <v>0</v>
      </c>
    </row>
    <row r="4" spans="1:7" ht="15" customHeight="1" x14ac:dyDescent="0.25">
      <c r="A4" s="31">
        <v>45473</v>
      </c>
      <c r="B4" s="33">
        <v>4198390</v>
      </c>
    </row>
    <row r="5" spans="1:7" ht="15" customHeight="1" x14ac:dyDescent="0.25">
      <c r="A5" s="31">
        <v>45488</v>
      </c>
      <c r="C5" s="33">
        <v>4198390</v>
      </c>
    </row>
    <row r="6" spans="1:7" ht="15" customHeight="1" x14ac:dyDescent="0.25">
      <c r="A6" s="31">
        <v>45504</v>
      </c>
      <c r="B6" s="33">
        <v>4689338</v>
      </c>
    </row>
    <row r="7" spans="1:7" ht="15" customHeight="1" x14ac:dyDescent="0.25">
      <c r="A7" s="31">
        <v>45516</v>
      </c>
      <c r="C7" s="33">
        <v>4689338</v>
      </c>
    </row>
    <row r="8" spans="1:7" ht="15" customHeight="1" x14ac:dyDescent="0.25">
      <c r="A8" s="31">
        <v>45535</v>
      </c>
      <c r="B8" s="33">
        <v>3851464</v>
      </c>
    </row>
    <row r="9" spans="1:7" ht="15" customHeight="1" x14ac:dyDescent="0.25">
      <c r="A9" s="31">
        <v>45548</v>
      </c>
      <c r="C9" s="33">
        <v>3851464</v>
      </c>
    </row>
    <row r="10" spans="1:7" ht="15" customHeight="1" x14ac:dyDescent="0.25">
      <c r="A10" s="31">
        <v>45565</v>
      </c>
      <c r="B10" s="33">
        <v>3959487</v>
      </c>
    </row>
    <row r="11" spans="1:7" ht="15" customHeight="1" x14ac:dyDescent="0.25">
      <c r="A11" s="31">
        <v>45579</v>
      </c>
      <c r="C11" s="33">
        <v>3959487</v>
      </c>
    </row>
    <row r="12" spans="1:7" ht="15" customHeight="1" x14ac:dyDescent="0.25">
      <c r="A12" s="31">
        <v>45596</v>
      </c>
      <c r="B12" s="33">
        <v>5196001</v>
      </c>
    </row>
    <row r="13" spans="1:7" ht="15" customHeight="1" x14ac:dyDescent="0.25">
      <c r="A13" s="31">
        <v>45611</v>
      </c>
      <c r="C13" s="33">
        <v>5196001</v>
      </c>
    </row>
    <row r="14" spans="1:7" ht="15" customHeight="1" x14ac:dyDescent="0.25">
      <c r="A14" s="31">
        <v>45626</v>
      </c>
      <c r="B14" s="33">
        <v>4827721</v>
      </c>
    </row>
    <row r="15" spans="1:7" ht="15" customHeight="1" x14ac:dyDescent="0.25">
      <c r="A15" s="31">
        <v>45638</v>
      </c>
      <c r="C15" s="33">
        <v>4827721</v>
      </c>
    </row>
    <row r="16" spans="1:7" ht="15" customHeight="1" x14ac:dyDescent="0.25">
      <c r="A16" s="31">
        <v>45657</v>
      </c>
      <c r="B16" s="33">
        <v>4266986</v>
      </c>
    </row>
    <row r="17" spans="1:4" ht="15" customHeight="1" x14ac:dyDescent="0.25">
      <c r="A17" s="31">
        <v>45674</v>
      </c>
      <c r="C17" s="33">
        <v>4266986</v>
      </c>
    </row>
    <row r="18" spans="1:4" ht="15" customHeight="1" x14ac:dyDescent="0.25">
      <c r="A18" s="31">
        <v>45688</v>
      </c>
      <c r="B18" s="33">
        <v>3102424</v>
      </c>
    </row>
    <row r="19" spans="1:4" ht="15" customHeight="1" x14ac:dyDescent="0.25">
      <c r="A19" s="31">
        <v>45702</v>
      </c>
      <c r="C19" s="33">
        <v>3102424</v>
      </c>
    </row>
    <row r="20" spans="1:4" ht="15" customHeight="1" x14ac:dyDescent="0.25">
      <c r="A20" s="31">
        <v>45716</v>
      </c>
      <c r="B20" s="33">
        <v>4365802</v>
      </c>
    </row>
    <row r="21" spans="1:4" ht="15" customHeight="1" x14ac:dyDescent="0.25">
      <c r="A21" s="31">
        <v>45730</v>
      </c>
      <c r="C21" s="33">
        <v>4365802</v>
      </c>
    </row>
    <row r="22" spans="1:4" ht="15" customHeight="1" x14ac:dyDescent="0.25">
      <c r="A22" s="31">
        <v>45747</v>
      </c>
      <c r="B22" s="33">
        <v>5476379</v>
      </c>
    </row>
    <row r="23" spans="1:4" ht="15.75" customHeight="1" x14ac:dyDescent="0.25">
      <c r="A23" s="31">
        <v>45761</v>
      </c>
      <c r="C23" s="33">
        <v>5476379</v>
      </c>
    </row>
    <row r="24" spans="1:4" ht="15.75" customHeight="1" x14ac:dyDescent="0.25">
      <c r="A24" s="31">
        <v>45777</v>
      </c>
      <c r="B24" s="33">
        <v>5928398</v>
      </c>
    </row>
    <row r="25" spans="1:4" ht="15.75" customHeight="1" x14ac:dyDescent="0.25">
      <c r="A25" s="31">
        <v>45792</v>
      </c>
      <c r="C25" s="33">
        <v>5928398</v>
      </c>
    </row>
    <row r="26" spans="1:4" ht="15.75" customHeight="1" x14ac:dyDescent="0.25">
      <c r="A26" s="31">
        <v>45807</v>
      </c>
      <c r="B26" s="33">
        <v>6988338</v>
      </c>
    </row>
    <row r="27" spans="1:4" ht="15.75" customHeight="1" x14ac:dyDescent="0.25">
      <c r="A27" s="31">
        <v>45824</v>
      </c>
      <c r="C27" s="33">
        <v>6988338</v>
      </c>
      <c r="D27" t="s">
        <v>165</v>
      </c>
    </row>
    <row r="28" spans="1:4" ht="15.75" customHeight="1" x14ac:dyDescent="0.25">
      <c r="A28" s="31">
        <v>45838</v>
      </c>
      <c r="B28" s="33">
        <v>6857542</v>
      </c>
    </row>
    <row r="29" spans="1:4" ht="15.75" customHeight="1" x14ac:dyDescent="0.25">
      <c r="A29" s="31">
        <v>45849</v>
      </c>
      <c r="C29" s="33">
        <v>6857542</v>
      </c>
      <c r="D29" t="s">
        <v>165</v>
      </c>
    </row>
    <row r="30" spans="1:4" ht="15.75" customHeight="1" x14ac:dyDescent="0.25">
      <c r="A30" s="31">
        <v>45869</v>
      </c>
      <c r="B30" s="33">
        <v>8251085</v>
      </c>
    </row>
    <row r="31" spans="1:4" ht="15.75" customHeight="1" x14ac:dyDescent="0.25">
      <c r="A31" s="31">
        <v>45883</v>
      </c>
      <c r="C31" s="33">
        <v>8251085</v>
      </c>
      <c r="D31" t="s">
        <v>165</v>
      </c>
    </row>
    <row r="32" spans="1:4" ht="15.75" customHeight="1" x14ac:dyDescent="0.25">
      <c r="A32" s="31">
        <v>45900</v>
      </c>
      <c r="B32" s="33">
        <v>8346848</v>
      </c>
    </row>
    <row r="33" spans="1:4" ht="15.75" customHeight="1" x14ac:dyDescent="0.25">
      <c r="A33" s="31">
        <v>45911</v>
      </c>
      <c r="C33" s="33">
        <v>8346848</v>
      </c>
    </row>
    <row r="34" spans="1:4" ht="15.75" customHeight="1" x14ac:dyDescent="0.25">
      <c r="A34" s="31">
        <v>45930</v>
      </c>
      <c r="B34" s="33">
        <v>9067690</v>
      </c>
    </row>
    <row r="35" spans="1:4" ht="15.75" customHeight="1" x14ac:dyDescent="0.25">
      <c r="A35" s="31">
        <v>45940</v>
      </c>
      <c r="C35" s="33">
        <v>8919154.2300000004</v>
      </c>
      <c r="D35" t="s">
        <v>165</v>
      </c>
    </row>
    <row r="36" spans="1:4" ht="15.75" customHeight="1" x14ac:dyDescent="0.25">
      <c r="A36" s="31">
        <v>45961</v>
      </c>
      <c r="B36" s="33">
        <v>8064396</v>
      </c>
    </row>
    <row r="37" spans="1:4" ht="15.75" customHeight="1" x14ac:dyDescent="0.25">
      <c r="A37" s="31">
        <v>45974</v>
      </c>
      <c r="C37" s="33">
        <v>8212931.7699999996</v>
      </c>
      <c r="D37" t="s">
        <v>67</v>
      </c>
    </row>
    <row r="38" spans="1:4" ht="15.75" customHeight="1" x14ac:dyDescent="0.25">
      <c r="A38" s="31">
        <v>45991</v>
      </c>
      <c r="B38" s="33">
        <v>8817747</v>
      </c>
    </row>
    <row r="39" spans="1:4" ht="15.75" customHeight="1" x14ac:dyDescent="0.25">
      <c r="A39" s="31">
        <v>46002</v>
      </c>
      <c r="C39" s="33">
        <v>8817747</v>
      </c>
      <c r="D39" t="s">
        <v>165</v>
      </c>
    </row>
    <row r="40" spans="1:4" ht="15.75" customHeight="1" x14ac:dyDescent="0.25">
      <c r="A40" s="31">
        <v>46022</v>
      </c>
      <c r="B40" s="33">
        <v>8221860</v>
      </c>
    </row>
    <row r="41" spans="1:4" ht="15.75" customHeight="1" x14ac:dyDescent="0.25">
      <c r="A41" s="31">
        <v>46037</v>
      </c>
      <c r="C41" s="33">
        <v>8221860</v>
      </c>
    </row>
    <row r="42" spans="1:4" ht="15.75" customHeight="1" x14ac:dyDescent="0.25">
      <c r="A42" s="31">
        <v>46053</v>
      </c>
      <c r="B42" s="33">
        <v>8127937</v>
      </c>
    </row>
    <row r="43" spans="1:4" ht="15.75" customHeight="1" x14ac:dyDescent="0.25">
      <c r="A43" s="31">
        <v>46062</v>
      </c>
      <c r="C43" s="33">
        <v>8127937</v>
      </c>
    </row>
    <row r="44" spans="1:4" ht="15.75" customHeight="1" x14ac:dyDescent="0.25">
      <c r="A44" s="31">
        <v>46081</v>
      </c>
      <c r="B44" s="33">
        <v>8527957</v>
      </c>
    </row>
    <row r="45" spans="1:4" ht="15.75" customHeight="1" x14ac:dyDescent="0.25">
      <c r="A45" s="31">
        <v>46081</v>
      </c>
      <c r="C45" s="33">
        <v>433088</v>
      </c>
      <c r="D45" s="150" t="s">
        <v>232</v>
      </c>
    </row>
    <row r="46" spans="1:4" ht="15.75" customHeight="1" x14ac:dyDescent="0.25">
      <c r="A46" s="31">
        <v>46093</v>
      </c>
      <c r="C46" s="33">
        <v>8094869</v>
      </c>
    </row>
    <row r="47" spans="1:4" ht="15.75" customHeight="1" x14ac:dyDescent="0.25"/>
    <row r="48" spans="1: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conditionalFormatting sqref="G2">
    <cfRule type="cellIs" dxfId="7" priority="1" operator="lessThan">
      <formula>0</formula>
    </cfRule>
    <cfRule type="cellIs" dxfId="6" priority="2" operator="greaterThan">
      <formula>0</formula>
    </cfRule>
  </conditionalFormatting>
  <hyperlinks>
    <hyperlink ref="D1" location="CLIENTES!A1" display="volver" xr:uid="{00000000-0004-0000-3C00-000000000000}"/>
  </hyperlinks>
  <pageMargins left="0.7" right="0.7" top="0.75" bottom="0.75" header="0" footer="0"/>
  <pageSetup orientation="landscape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7E899-E009-424E-B19A-4D90C3B8D082}">
  <dimension ref="A1:G22"/>
  <sheetViews>
    <sheetView workbookViewId="0">
      <selection activeCell="D1" sqref="D1"/>
    </sheetView>
  </sheetViews>
  <sheetFormatPr baseColWidth="10" defaultRowHeight="15" x14ac:dyDescent="0.25"/>
  <cols>
    <col min="1" max="1" width="20.42578125" customWidth="1"/>
    <col min="2" max="2" width="25.28515625" customWidth="1"/>
    <col min="3" max="3" width="16.140625" customWidth="1"/>
    <col min="4" max="4" width="17.42578125" customWidth="1"/>
    <col min="5" max="5" width="17.5703125" customWidth="1"/>
    <col min="6" max="6" width="16.42578125" customWidth="1"/>
    <col min="7" max="7" width="22.28515625" customWidth="1"/>
  </cols>
  <sheetData>
    <row r="1" spans="1:7" ht="15.75" thickBot="1" x14ac:dyDescent="0.3">
      <c r="A1" s="100" t="s">
        <v>210</v>
      </c>
      <c r="B1" s="5"/>
      <c r="C1" s="5"/>
      <c r="D1" s="100" t="s">
        <v>52</v>
      </c>
      <c r="E1" s="6"/>
      <c r="F1" s="6"/>
      <c r="G1" s="6"/>
    </row>
    <row r="2" spans="1:7" ht="16.5" thickBot="1" x14ac:dyDescent="0.3">
      <c r="A2" s="96" t="s">
        <v>53</v>
      </c>
      <c r="B2" s="97" t="s">
        <v>54</v>
      </c>
      <c r="C2" s="97" t="s">
        <v>55</v>
      </c>
      <c r="D2" s="96" t="s">
        <v>56</v>
      </c>
      <c r="E2" s="96" t="s">
        <v>57</v>
      </c>
      <c r="F2" s="98" t="s">
        <v>58</v>
      </c>
      <c r="G2" s="99">
        <f>SUM(C3:C1048576) - SUM(B3:B1048576)</f>
        <v>0</v>
      </c>
    </row>
    <row r="3" spans="1:7" x14ac:dyDescent="0.25">
      <c r="A3" s="50">
        <v>45991</v>
      </c>
      <c r="B3" s="5">
        <v>85874</v>
      </c>
      <c r="C3" s="5"/>
      <c r="D3" s="11"/>
      <c r="E3" s="6"/>
      <c r="F3" s="6"/>
      <c r="G3" s="6"/>
    </row>
    <row r="4" spans="1:7" x14ac:dyDescent="0.25">
      <c r="A4" s="50">
        <v>46053</v>
      </c>
      <c r="B4" s="5">
        <v>133653</v>
      </c>
      <c r="C4" s="5"/>
      <c r="D4" s="11"/>
      <c r="E4" s="6"/>
      <c r="F4" s="6"/>
      <c r="G4" s="6"/>
    </row>
    <row r="5" spans="1:7" x14ac:dyDescent="0.25">
      <c r="A5" s="50">
        <v>46087</v>
      </c>
      <c r="B5" s="5"/>
      <c r="C5" s="5">
        <v>219527</v>
      </c>
      <c r="D5" s="11"/>
      <c r="E5" s="6"/>
      <c r="F5" s="6"/>
      <c r="G5" s="6"/>
    </row>
    <row r="6" spans="1:7" x14ac:dyDescent="0.25">
      <c r="A6" s="50"/>
      <c r="B6" s="5"/>
      <c r="C6" s="5"/>
      <c r="D6" s="11"/>
      <c r="E6" s="6"/>
      <c r="F6" s="6"/>
      <c r="G6" s="6"/>
    </row>
    <row r="7" spans="1:7" x14ac:dyDescent="0.25">
      <c r="A7" s="50"/>
      <c r="B7" s="5"/>
      <c r="C7" s="5"/>
      <c r="D7" s="11"/>
      <c r="E7" s="6"/>
      <c r="F7" s="6"/>
      <c r="G7" s="6"/>
    </row>
    <row r="8" spans="1:7" x14ac:dyDescent="0.25">
      <c r="A8" s="50"/>
      <c r="B8" s="5"/>
      <c r="C8" s="5"/>
      <c r="D8" s="6"/>
      <c r="E8" s="6"/>
      <c r="F8" s="6"/>
      <c r="G8" s="6"/>
    </row>
    <row r="9" spans="1:7" x14ac:dyDescent="0.25">
      <c r="A9" s="50"/>
      <c r="B9" s="5"/>
      <c r="C9" s="5"/>
      <c r="D9" s="6"/>
      <c r="E9" s="6"/>
      <c r="F9" s="6"/>
      <c r="G9" s="6"/>
    </row>
    <row r="10" spans="1:7" x14ac:dyDescent="0.25">
      <c r="A10" s="50"/>
      <c r="B10" s="5"/>
      <c r="C10" s="77"/>
      <c r="D10" s="6"/>
      <c r="E10" s="6"/>
      <c r="F10" s="6"/>
      <c r="G10" s="6"/>
    </row>
    <row r="11" spans="1:7" x14ac:dyDescent="0.25">
      <c r="A11" s="50"/>
      <c r="B11" s="5"/>
      <c r="C11" s="5"/>
      <c r="D11" s="6"/>
      <c r="E11" s="6"/>
      <c r="F11" s="6"/>
      <c r="G11" s="6"/>
    </row>
    <row r="12" spans="1:7" x14ac:dyDescent="0.25">
      <c r="A12" s="50"/>
      <c r="B12" s="5"/>
      <c r="C12" s="5"/>
      <c r="D12" s="6"/>
      <c r="E12" s="6"/>
      <c r="F12" s="6"/>
      <c r="G12" s="6"/>
    </row>
    <row r="13" spans="1:7" x14ac:dyDescent="0.25">
      <c r="A13" s="50"/>
      <c r="B13" s="5"/>
      <c r="C13" s="5"/>
      <c r="D13" s="6"/>
      <c r="E13" s="6"/>
      <c r="F13" s="6"/>
      <c r="G13" s="6"/>
    </row>
    <row r="14" spans="1:7" x14ac:dyDescent="0.25">
      <c r="A14" s="50"/>
      <c r="B14" s="5"/>
      <c r="C14" s="5"/>
      <c r="D14" s="6"/>
      <c r="E14" s="6"/>
      <c r="F14" s="6"/>
      <c r="G14" s="6"/>
    </row>
    <row r="15" spans="1:7" x14ac:dyDescent="0.25">
      <c r="A15" s="50"/>
      <c r="B15" s="5"/>
      <c r="C15" s="5"/>
      <c r="D15" s="6"/>
      <c r="E15" s="6"/>
      <c r="F15" s="6"/>
      <c r="G15" s="6"/>
    </row>
    <row r="16" spans="1:7" x14ac:dyDescent="0.25">
      <c r="A16" s="50"/>
      <c r="B16" s="5"/>
      <c r="C16" s="5"/>
      <c r="D16" s="6"/>
      <c r="E16" s="6"/>
      <c r="F16" s="6"/>
      <c r="G16" s="6"/>
    </row>
    <row r="17" spans="1:7" x14ac:dyDescent="0.25">
      <c r="A17" s="50"/>
      <c r="B17" s="5"/>
      <c r="C17" s="5"/>
      <c r="D17" s="6"/>
      <c r="E17" s="6"/>
      <c r="F17" s="6"/>
      <c r="G17" s="6"/>
    </row>
    <row r="18" spans="1:7" x14ac:dyDescent="0.25">
      <c r="A18" s="50"/>
      <c r="B18" s="5"/>
      <c r="C18" s="5"/>
      <c r="D18" s="6"/>
      <c r="E18" s="6"/>
      <c r="F18" s="6"/>
      <c r="G18" s="6"/>
    </row>
    <row r="19" spans="1:7" x14ac:dyDescent="0.25">
      <c r="A19" s="50"/>
      <c r="B19" s="5"/>
      <c r="C19" s="5"/>
      <c r="D19" s="6"/>
      <c r="E19" s="6"/>
      <c r="F19" s="6"/>
      <c r="G19" s="6"/>
    </row>
    <row r="20" spans="1:7" x14ac:dyDescent="0.25">
      <c r="A20" s="50"/>
      <c r="B20" s="5"/>
      <c r="C20" s="5"/>
      <c r="D20" s="6"/>
      <c r="E20" s="6"/>
      <c r="F20" s="6"/>
      <c r="G20" s="6"/>
    </row>
    <row r="21" spans="1:7" x14ac:dyDescent="0.25">
      <c r="A21" s="50"/>
      <c r="B21" s="5"/>
      <c r="C21" s="5"/>
      <c r="D21" s="6"/>
      <c r="E21" s="6"/>
      <c r="F21" s="6"/>
      <c r="G21" s="6"/>
    </row>
    <row r="22" spans="1:7" x14ac:dyDescent="0.25">
      <c r="A22" s="50"/>
      <c r="B22" s="5"/>
      <c r="C22" s="5"/>
      <c r="D22" s="6"/>
      <c r="E22" s="6"/>
      <c r="F22" s="6"/>
      <c r="G22" s="6"/>
    </row>
  </sheetData>
  <conditionalFormatting sqref="G2">
    <cfRule type="cellIs" dxfId="5" priority="1" operator="lessThan">
      <formula>0</formula>
    </cfRule>
    <cfRule type="cellIs" dxfId="4" priority="2" operator="greaterThan">
      <formula>0</formula>
    </cfRule>
  </conditionalFormatting>
  <hyperlinks>
    <hyperlink ref="D1" location="CLIENTES!A1" display="volver" xr:uid="{5B538436-0018-4BE5-9BA9-A67A7255F5F5}"/>
    <hyperlink ref="A1" r:id="rId1" display="FLY KITCHEN" xr:uid="{C59F297F-B117-41A0-895F-F69A4368C22D}"/>
  </hyperlinks>
  <pageMargins left="0.7" right="0.7" top="0.75" bottom="0.75" header="0.3" footer="0.3"/>
  <pageSetup paperSize="9" orientation="portrait"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FC0A6-BFFC-4728-B4C4-822A073A2704}">
  <dimension ref="A1:G5"/>
  <sheetViews>
    <sheetView workbookViewId="0"/>
  </sheetViews>
  <sheetFormatPr baseColWidth="10" defaultRowHeight="15" x14ac:dyDescent="0.25"/>
  <cols>
    <col min="1" max="1" width="18.7109375" customWidth="1"/>
    <col min="2" max="2" width="21.7109375" customWidth="1"/>
    <col min="3" max="3" width="19" customWidth="1"/>
    <col min="4" max="4" width="21" customWidth="1"/>
    <col min="5" max="5" width="17.28515625" customWidth="1"/>
    <col min="6" max="6" width="18" customWidth="1"/>
    <col min="7" max="7" width="19.7109375" customWidth="1"/>
  </cols>
  <sheetData>
    <row r="1" spans="1:7" ht="15.75" thickBot="1" x14ac:dyDescent="0.3">
      <c r="A1" s="132" t="s">
        <v>209</v>
      </c>
      <c r="B1" s="5"/>
      <c r="C1" s="5"/>
      <c r="D1" s="100" t="s">
        <v>52</v>
      </c>
      <c r="E1" s="6"/>
      <c r="F1" s="6"/>
      <c r="G1" s="6"/>
    </row>
    <row r="2" spans="1:7" ht="16.5" thickBot="1" x14ac:dyDescent="0.3">
      <c r="A2" s="96" t="s">
        <v>53</v>
      </c>
      <c r="B2" s="97" t="s">
        <v>54</v>
      </c>
      <c r="C2" s="97" t="s">
        <v>55</v>
      </c>
      <c r="D2" s="96" t="s">
        <v>56</v>
      </c>
      <c r="E2" s="96" t="s">
        <v>57</v>
      </c>
      <c r="F2" s="98" t="s">
        <v>58</v>
      </c>
      <c r="G2" s="99">
        <f>SUM(C4:C179) - SUM(B3:B179)</f>
        <v>-380420</v>
      </c>
    </row>
    <row r="3" spans="1:7" x14ac:dyDescent="0.25">
      <c r="A3" s="50">
        <v>45960</v>
      </c>
      <c r="B3" s="5">
        <v>1380420</v>
      </c>
      <c r="C3" s="5"/>
      <c r="D3" s="11"/>
      <c r="E3" s="6"/>
      <c r="F3" s="6"/>
      <c r="G3" s="6"/>
    </row>
    <row r="4" spans="1:7" x14ac:dyDescent="0.25">
      <c r="A4" s="50">
        <v>45976</v>
      </c>
      <c r="B4" s="5"/>
      <c r="C4" s="5">
        <v>1000000</v>
      </c>
      <c r="D4" s="11"/>
      <c r="E4" s="6"/>
      <c r="F4" s="6"/>
      <c r="G4" s="6"/>
    </row>
    <row r="5" spans="1:7" x14ac:dyDescent="0.25">
      <c r="A5" s="50"/>
      <c r="B5" s="5"/>
      <c r="C5" s="5"/>
      <c r="D5" s="11"/>
      <c r="E5" s="6"/>
      <c r="F5" s="6"/>
      <c r="G5" s="6"/>
    </row>
  </sheetData>
  <conditionalFormatting sqref="G2">
    <cfRule type="cellIs" dxfId="3" priority="1" operator="lessThan">
      <formula>0</formula>
    </cfRule>
    <cfRule type="cellIs" dxfId="2" priority="2" operator="greaterThan">
      <formula>0</formula>
    </cfRule>
  </conditionalFormatting>
  <hyperlinks>
    <hyperlink ref="D1" location="CLIENTES!A1" display="volver" xr:uid="{9359CCA0-BE1A-4BDC-84B5-8514E348A77C}"/>
    <hyperlink ref="A1" r:id="rId1" xr:uid="{44573258-D8C1-4EA2-97A8-43C72E01B983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0F13F-A545-47AC-83AB-E2A1097B3B6A}">
  <dimension ref="A1:G41"/>
  <sheetViews>
    <sheetView workbookViewId="0">
      <selection activeCell="D1" sqref="D1"/>
    </sheetView>
  </sheetViews>
  <sheetFormatPr baseColWidth="10" defaultRowHeight="15" x14ac:dyDescent="0.25"/>
  <cols>
    <col min="1" max="1" width="17.85546875" style="133" customWidth="1"/>
    <col min="2" max="2" width="25.42578125" style="133" customWidth="1"/>
    <col min="3" max="3" width="18.28515625" style="133" customWidth="1"/>
    <col min="4" max="4" width="22.7109375" customWidth="1"/>
    <col min="7" max="7" width="21.28515625" customWidth="1"/>
  </cols>
  <sheetData>
    <row r="1" spans="1:7" ht="19.5" thickBot="1" x14ac:dyDescent="0.35">
      <c r="A1" s="135" t="s">
        <v>204</v>
      </c>
      <c r="B1" s="5"/>
      <c r="C1" s="5"/>
      <c r="D1" s="100" t="s">
        <v>52</v>
      </c>
      <c r="E1" s="6"/>
      <c r="F1" s="6"/>
      <c r="G1" s="6"/>
    </row>
    <row r="2" spans="1:7" ht="16.5" thickBot="1" x14ac:dyDescent="0.3">
      <c r="A2" s="96" t="s">
        <v>53</v>
      </c>
      <c r="B2" s="97" t="s">
        <v>54</v>
      </c>
      <c r="C2" s="97" t="s">
        <v>55</v>
      </c>
      <c r="D2" s="96" t="s">
        <v>56</v>
      </c>
      <c r="E2" s="96" t="s">
        <v>57</v>
      </c>
      <c r="F2" s="98" t="s">
        <v>58</v>
      </c>
      <c r="G2" s="99">
        <f>SUM(C3:C107) - SUM(B3:B107)</f>
        <v>0</v>
      </c>
    </row>
    <row r="3" spans="1:7" x14ac:dyDescent="0.25">
      <c r="A3" s="50">
        <v>45930</v>
      </c>
      <c r="B3" s="5">
        <v>476000</v>
      </c>
      <c r="C3" s="5"/>
      <c r="D3" s="11"/>
      <c r="E3" s="6"/>
      <c r="F3" s="6"/>
      <c r="G3" s="6"/>
    </row>
    <row r="4" spans="1:7" x14ac:dyDescent="0.25">
      <c r="A4" s="50">
        <v>45952</v>
      </c>
      <c r="B4" s="5"/>
      <c r="C4" s="5">
        <v>476000</v>
      </c>
      <c r="D4" s="11"/>
      <c r="E4" s="6"/>
      <c r="F4" s="6"/>
      <c r="G4" s="6"/>
    </row>
    <row r="5" spans="1:7" x14ac:dyDescent="0.25">
      <c r="A5" s="50">
        <v>45961</v>
      </c>
      <c r="B5" s="5">
        <v>1587738</v>
      </c>
      <c r="C5" s="5"/>
      <c r="D5" s="11"/>
      <c r="E5" s="6"/>
      <c r="F5" s="6"/>
      <c r="G5" s="6"/>
    </row>
    <row r="6" spans="1:7" x14ac:dyDescent="0.25">
      <c r="A6" s="87">
        <v>45978</v>
      </c>
      <c r="B6" s="136"/>
      <c r="C6" s="136">
        <v>1000000</v>
      </c>
    </row>
    <row r="7" spans="1:7" x14ac:dyDescent="0.25">
      <c r="A7" s="87">
        <v>46009</v>
      </c>
      <c r="B7" s="136"/>
      <c r="C7" s="136">
        <v>500000</v>
      </c>
    </row>
    <row r="8" spans="1:7" x14ac:dyDescent="0.25">
      <c r="A8" s="87">
        <v>46022</v>
      </c>
      <c r="B8" s="136">
        <v>1719081</v>
      </c>
      <c r="C8" s="136"/>
    </row>
    <row r="9" spans="1:7" x14ac:dyDescent="0.25">
      <c r="A9" s="87">
        <v>46030</v>
      </c>
      <c r="B9" s="136"/>
      <c r="C9" s="136">
        <v>1250000</v>
      </c>
    </row>
    <row r="10" spans="1:7" x14ac:dyDescent="0.25">
      <c r="A10" s="50">
        <v>46034</v>
      </c>
      <c r="B10" s="5"/>
      <c r="C10" s="5">
        <v>1000000</v>
      </c>
      <c r="D10" s="11"/>
      <c r="E10" s="6"/>
      <c r="F10" s="6"/>
      <c r="G10" s="6"/>
    </row>
    <row r="11" spans="1:7" x14ac:dyDescent="0.25">
      <c r="A11" s="50">
        <v>46053</v>
      </c>
      <c r="B11" s="5">
        <v>1443181</v>
      </c>
      <c r="C11" s="5"/>
      <c r="D11" s="6"/>
      <c r="E11" s="6"/>
      <c r="F11" s="6"/>
      <c r="G11" s="6"/>
    </row>
    <row r="12" spans="1:7" x14ac:dyDescent="0.25">
      <c r="A12" s="50">
        <v>46055</v>
      </c>
      <c r="B12" s="5"/>
      <c r="C12" s="5">
        <v>1000000</v>
      </c>
      <c r="D12" s="6"/>
      <c r="E12" s="6"/>
      <c r="F12" s="6"/>
      <c r="G12" s="6"/>
    </row>
    <row r="13" spans="1:7" x14ac:dyDescent="0.25">
      <c r="A13" s="50">
        <v>46081</v>
      </c>
      <c r="B13" s="5">
        <v>1665191</v>
      </c>
      <c r="C13" s="77"/>
      <c r="D13" s="6"/>
      <c r="E13" s="6"/>
      <c r="F13" s="6"/>
      <c r="G13" s="6"/>
    </row>
    <row r="14" spans="1:7" x14ac:dyDescent="0.25">
      <c r="A14" s="50">
        <v>46082</v>
      </c>
      <c r="B14" s="5"/>
      <c r="C14" s="5">
        <v>1000000</v>
      </c>
      <c r="D14" s="6"/>
      <c r="E14" s="6"/>
      <c r="F14" s="6"/>
      <c r="G14" s="6"/>
    </row>
    <row r="15" spans="1:7" x14ac:dyDescent="0.25">
      <c r="A15" s="87">
        <v>46100</v>
      </c>
      <c r="B15" s="136"/>
      <c r="C15" s="136">
        <v>665191</v>
      </c>
    </row>
    <row r="16" spans="1:7" x14ac:dyDescent="0.25">
      <c r="B16" s="136"/>
      <c r="C16" s="136"/>
    </row>
    <row r="17" spans="2:3" x14ac:dyDescent="0.25">
      <c r="B17" s="136"/>
      <c r="C17" s="136"/>
    </row>
    <row r="18" spans="2:3" x14ac:dyDescent="0.25">
      <c r="B18" s="136"/>
      <c r="C18" s="136"/>
    </row>
    <row r="19" spans="2:3" x14ac:dyDescent="0.25">
      <c r="B19" s="136"/>
      <c r="C19" s="136"/>
    </row>
    <row r="20" spans="2:3" x14ac:dyDescent="0.25">
      <c r="B20" s="136"/>
      <c r="C20" s="136"/>
    </row>
    <row r="21" spans="2:3" x14ac:dyDescent="0.25">
      <c r="B21" s="136"/>
      <c r="C21" s="136"/>
    </row>
    <row r="22" spans="2:3" x14ac:dyDescent="0.25">
      <c r="B22" s="136"/>
      <c r="C22" s="136"/>
    </row>
    <row r="23" spans="2:3" x14ac:dyDescent="0.25">
      <c r="B23" s="136"/>
      <c r="C23" s="136"/>
    </row>
    <row r="24" spans="2:3" x14ac:dyDescent="0.25">
      <c r="B24" s="136"/>
      <c r="C24" s="136"/>
    </row>
    <row r="25" spans="2:3" x14ac:dyDescent="0.25">
      <c r="B25" s="136"/>
      <c r="C25" s="136"/>
    </row>
    <row r="26" spans="2:3" x14ac:dyDescent="0.25">
      <c r="B26" s="136"/>
      <c r="C26" s="136"/>
    </row>
    <row r="27" spans="2:3" x14ac:dyDescent="0.25">
      <c r="B27" s="136"/>
      <c r="C27" s="136"/>
    </row>
    <row r="28" spans="2:3" x14ac:dyDescent="0.25">
      <c r="B28" s="136"/>
      <c r="C28" s="136"/>
    </row>
    <row r="29" spans="2:3" x14ac:dyDescent="0.25">
      <c r="B29" s="136"/>
      <c r="C29" s="136"/>
    </row>
    <row r="30" spans="2:3" x14ac:dyDescent="0.25">
      <c r="B30" s="136"/>
      <c r="C30" s="136"/>
    </row>
    <row r="31" spans="2:3" x14ac:dyDescent="0.25">
      <c r="B31" s="136"/>
      <c r="C31" s="136"/>
    </row>
    <row r="32" spans="2:3" x14ac:dyDescent="0.25">
      <c r="B32" s="136"/>
      <c r="C32" s="136"/>
    </row>
    <row r="33" spans="2:3" x14ac:dyDescent="0.25">
      <c r="B33" s="136"/>
      <c r="C33" s="136"/>
    </row>
    <row r="34" spans="2:3" x14ac:dyDescent="0.25">
      <c r="B34" s="136"/>
      <c r="C34" s="136"/>
    </row>
    <row r="35" spans="2:3" x14ac:dyDescent="0.25">
      <c r="B35" s="136"/>
      <c r="C35" s="136"/>
    </row>
    <row r="36" spans="2:3" x14ac:dyDescent="0.25">
      <c r="B36" s="136"/>
    </row>
    <row r="37" spans="2:3" x14ac:dyDescent="0.25">
      <c r="B37" s="136"/>
    </row>
    <row r="38" spans="2:3" x14ac:dyDescent="0.25">
      <c r="B38" s="136"/>
    </row>
    <row r="39" spans="2:3" x14ac:dyDescent="0.25">
      <c r="B39" s="136"/>
    </row>
    <row r="40" spans="2:3" x14ac:dyDescent="0.25">
      <c r="B40" s="136"/>
    </row>
    <row r="41" spans="2:3" x14ac:dyDescent="0.25">
      <c r="B41" s="136"/>
    </row>
  </sheetData>
  <conditionalFormatting sqref="G2">
    <cfRule type="cellIs" dxfId="1" priority="1" operator="lessThan">
      <formula>0</formula>
    </cfRule>
    <cfRule type="cellIs" dxfId="0" priority="2" operator="greaterThan">
      <formula>0</formula>
    </cfRule>
  </conditionalFormatting>
  <hyperlinks>
    <hyperlink ref="D1" location="CLIENTES!A1" display="volver" xr:uid="{4D9CEE97-1C44-4DAC-BF35-A11044B35EF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65</vt:i4>
      </vt:variant>
      <vt:variant>
        <vt:lpstr>Rangos con nombre</vt:lpstr>
      </vt:variant>
      <vt:variant>
        <vt:i4>4</vt:i4>
      </vt:variant>
    </vt:vector>
  </HeadingPairs>
  <TitlesOfParts>
    <vt:vector size="69" baseType="lpstr">
      <vt:lpstr>CLIENTES</vt:lpstr>
      <vt:lpstr>AOMA</vt:lpstr>
      <vt:lpstr>DOMUS CENTER</vt:lpstr>
      <vt:lpstr>DOMUS AUDITORIUM </vt:lpstr>
      <vt:lpstr>BRISA DEL LAGO</vt:lpstr>
      <vt:lpstr>BUENA VISTA</vt:lpstr>
      <vt:lpstr>CAPVIO</vt:lpstr>
      <vt:lpstr>CIERVO DE ORO</vt:lpstr>
      <vt:lpstr>CLARITA</vt:lpstr>
      <vt:lpstr>COLEGIO FARMACEUTICOS</vt:lpstr>
      <vt:lpstr>COLONIA 12 DE OCTUBRE</vt:lpstr>
      <vt:lpstr>COMARCA</vt:lpstr>
      <vt:lpstr>CONDOR</vt:lpstr>
      <vt:lpstr>COLONIA 8 DE MARZO</vt:lpstr>
      <vt:lpstr>CONTINENTAL</vt:lpstr>
      <vt:lpstr>CORONADO</vt:lpstr>
      <vt:lpstr>COSTA LAGO</vt:lpstr>
      <vt:lpstr>CYBELES</vt:lpstr>
      <vt:lpstr>DUPLEX</vt:lpstr>
      <vt:lpstr>EL CONDADO</vt:lpstr>
      <vt:lpstr>EMBAJADOR</vt:lpstr>
      <vt:lpstr>ERNESTINA</vt:lpstr>
      <vt:lpstr>GALA</vt:lpstr>
      <vt:lpstr>ESTILO</vt:lpstr>
      <vt:lpstr>GOLDEN ROSS</vt:lpstr>
      <vt:lpstr>HOTEL 376</vt:lpstr>
      <vt:lpstr>IMPERIAL</vt:lpstr>
      <vt:lpstr>INTERLAC</vt:lpstr>
      <vt:lpstr>INTI HUASI</vt:lpstr>
      <vt:lpstr>LAGO AZUL</vt:lpstr>
      <vt:lpstr>LAKE DOMUS</vt:lpstr>
      <vt:lpstr>LE MIRAGE</vt:lpstr>
      <vt:lpstr>LUCAS</vt:lpstr>
      <vt:lpstr>MADERO</vt:lpstr>
      <vt:lpstr>MARBOT</vt:lpstr>
      <vt:lpstr>MIRADOR DE LA VILLA</vt:lpstr>
      <vt:lpstr>MIRADOR DE LAS SIERRAS</vt:lpstr>
      <vt:lpstr>MIRADOR DEL NEVADO</vt:lpstr>
      <vt:lpstr>MONTECATINI</vt:lpstr>
      <vt:lpstr>MORADILLO</vt:lpstr>
      <vt:lpstr>NAZARETH</vt:lpstr>
      <vt:lpstr>PANORAMA</vt:lpstr>
      <vt:lpstr>PARQUE</vt:lpstr>
      <vt:lpstr>PINARES CERRO HOTEL</vt:lpstr>
      <vt:lpstr>PINARES CERRO MANTELERIA</vt:lpstr>
      <vt:lpstr>PINARES PANORAMA HOTEL</vt:lpstr>
      <vt:lpstr>PINARES PANORAMA MANTELERIA</vt:lpstr>
      <vt:lpstr>POSADA DEL ANGEL</vt:lpstr>
      <vt:lpstr>PRESIDENTE</vt:lpstr>
      <vt:lpstr>QUORUM</vt:lpstr>
      <vt:lpstr>RANQUELES </vt:lpstr>
      <vt:lpstr>RIVIERA</vt:lpstr>
      <vt:lpstr>RUCA</vt:lpstr>
      <vt:lpstr>TAGORE</vt:lpstr>
      <vt:lpstr>TOULON</vt:lpstr>
      <vt:lpstr>VAIVEN POSADA</vt:lpstr>
      <vt:lpstr>VENETO</vt:lpstr>
      <vt:lpstr>VILLA PAZ</vt:lpstr>
      <vt:lpstr>VILLA PIREN</vt:lpstr>
      <vt:lpstr>VITTO</vt:lpstr>
      <vt:lpstr>WYNWOOD</vt:lpstr>
      <vt:lpstr>Y 111</vt:lpstr>
      <vt:lpstr>FLY KITCHEN</vt:lpstr>
      <vt:lpstr>TRES PIRCAS</vt:lpstr>
      <vt:lpstr>HENIA</vt:lpstr>
      <vt:lpstr>CLIENTES!DUPLEX_CYBELES_CLARITA_WYNWOOD</vt:lpstr>
      <vt:lpstr>DUPLEX_CYBELES_WYNWOOD</vt:lpstr>
      <vt:lpstr>HENIA</vt:lpstr>
      <vt:lpstr>HENIIA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Oficina</cp:lastModifiedBy>
  <dcterms:created xsi:type="dcterms:W3CDTF">2024-07-24T20:06:46Z</dcterms:created>
  <dcterms:modified xsi:type="dcterms:W3CDTF">2026-03-20T18:18:49Z</dcterms:modified>
</cp:coreProperties>
</file>