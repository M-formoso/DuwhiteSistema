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icina\Desktop\"/>
    </mc:Choice>
  </mc:AlternateContent>
  <xr:revisionPtr revIDLastSave="0" documentId="13_ncr:1_{A0276F38-78C1-4975-8D90-3C1848924C19}" xr6:coauthVersionLast="47" xr6:coauthVersionMax="47" xr10:uidLastSave="{00000000-0000-0000-0000-000000000000}"/>
  <bookViews>
    <workbookView xWindow="-120" yWindow="-120" windowWidth="24240" windowHeight="13020" tabRatio="683" activeTab="2" xr2:uid="{31FB475E-C4FD-4E9D-9254-0D6C4BD54085}"/>
  </bookViews>
  <sheets>
    <sheet name="ENERO" sheetId="17" r:id="rId1"/>
    <sheet name="FEBRERO" sheetId="18" r:id="rId2"/>
    <sheet name="MARZO" sheetId="14" r:id="rId3"/>
    <sheet name="ABRIL" sheetId="16" r:id="rId4"/>
    <sheet name="MAYO" sheetId="6" r:id="rId5"/>
    <sheet name="JUNIO" sheetId="7" r:id="rId6"/>
    <sheet name="JULIO" sheetId="8" r:id="rId7"/>
    <sheet name="AGOSTO" sheetId="9" r:id="rId8"/>
    <sheet name="SEPTIEMBRE" sheetId="10" r:id="rId9"/>
    <sheet name="OCTUBRE" sheetId="13" r:id="rId10"/>
    <sheet name="NOVIEMBRE" sheetId="11" r:id="rId11"/>
    <sheet name="DICIEMBRE" sheetId="4" r:id="rId12"/>
  </sheets>
  <definedNames>
    <definedName name="_xlnm.Print_Area" localSheetId="3">ABRIL!$C$4:$Z$17</definedName>
    <definedName name="_xlnm.Print_Area" localSheetId="7">AGOSTO!$C$4:$Z$21</definedName>
    <definedName name="_xlnm.Print_Area" localSheetId="11">DICIEMBRE!$C$4:$Z$25</definedName>
    <definedName name="_xlnm.Print_Area" localSheetId="0">ENERO!$C$4:$W$27</definedName>
    <definedName name="_xlnm.Print_Area" localSheetId="1">FEBRERO!$C$4:$AR$27</definedName>
    <definedName name="_xlnm.Print_Area" localSheetId="6">JULIO!$C$4:$Z$21</definedName>
    <definedName name="_xlnm.Print_Area" localSheetId="5">JUNIO!$C$4:$Z$21</definedName>
    <definedName name="_xlnm.Print_Area" localSheetId="2">MARZO!$C$4:$Z$17</definedName>
    <definedName name="_xlnm.Print_Area" localSheetId="4">MAYO!$C$4:$Z$21</definedName>
    <definedName name="_xlnm.Print_Area" localSheetId="10">NOVIEMBRE!$C$4:$Z$24</definedName>
    <definedName name="_xlnm.Print_Area" localSheetId="9">OCTUBRE!$C$4:$Z$21</definedName>
    <definedName name="_xlnm.Print_Area" localSheetId="8">SEPTIEMBRE!$C$4:$Z$21</definedName>
    <definedName name="_xlnm.Print_Titles" localSheetId="3">ABRIL!$A:$A,ABRIL!$1:$3</definedName>
    <definedName name="_xlnm.Print_Titles" localSheetId="7">AGOSTO!$A:$A,AGOSTO!$1:$3</definedName>
    <definedName name="_xlnm.Print_Titles" localSheetId="11">DICIEMBRE!$A:$A,DICIEMBRE!$1:$3</definedName>
    <definedName name="_xlnm.Print_Titles" localSheetId="0">ENERO!$A:$A,ENERO!$1:$3</definedName>
    <definedName name="_xlnm.Print_Titles" localSheetId="1">FEBRERO!$A:$A,FEBRERO!$1:$3</definedName>
    <definedName name="_xlnm.Print_Titles" localSheetId="6">JULIO!$A:$A,JULIO!$1:$3</definedName>
    <definedName name="_xlnm.Print_Titles" localSheetId="5">JUNIO!$A:$A,JUNIO!$1:$3</definedName>
    <definedName name="_xlnm.Print_Titles" localSheetId="2">MARZO!$A:$A,MARZO!$1:$3</definedName>
    <definedName name="_xlnm.Print_Titles" localSheetId="4">MAYO!$A:$A,MAYO!$1:$3</definedName>
    <definedName name="_xlnm.Print_Titles" localSheetId="10">NOVIEMBRE!$A:$A,NOVIEMBRE!$1:$3</definedName>
    <definedName name="_xlnm.Print_Titles" localSheetId="9">OCTUBRE!$A:$A,OCTUBRE!$1:$3</definedName>
    <definedName name="_xlnm.Print_Titles" localSheetId="8">SEPTIEMBRE!$A:$A,SEPTIEMBRE!$1:$3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18" l="1"/>
  <c r="H20" i="18"/>
  <c r="K20" i="18"/>
  <c r="N20" i="18"/>
  <c r="Q20" i="18"/>
  <c r="T20" i="18"/>
  <c r="W20" i="18"/>
  <c r="Z20" i="18"/>
  <c r="AC20" i="18"/>
  <c r="AF20" i="18"/>
  <c r="AI20" i="18"/>
  <c r="AL20" i="18"/>
  <c r="AO20" i="18"/>
  <c r="AP20" i="18"/>
  <c r="AU20" i="18"/>
  <c r="AX20" i="18"/>
  <c r="BA20" i="18"/>
  <c r="BD20" i="18"/>
  <c r="BG20" i="18"/>
  <c r="BJ20" i="18"/>
  <c r="BM20" i="18"/>
  <c r="BN20" i="18"/>
  <c r="BS20" i="18"/>
  <c r="BV20" i="18"/>
  <c r="BY20" i="18"/>
  <c r="CB20" i="18"/>
  <c r="CE20" i="18"/>
  <c r="CH20" i="18"/>
  <c r="CK20" i="18"/>
  <c r="CL20" i="18"/>
  <c r="CM20" i="18"/>
  <c r="CN20" i="18"/>
  <c r="CQ20" i="18"/>
  <c r="CR20" i="18"/>
  <c r="CS20" i="18"/>
  <c r="CT20" i="18"/>
  <c r="CW20" i="18"/>
  <c r="CZ20" i="18"/>
  <c r="DC20" i="18"/>
  <c r="DF20" i="18"/>
  <c r="DR20" i="18" s="1"/>
  <c r="DI20" i="18"/>
  <c r="DL20" i="18"/>
  <c r="DO20" i="18"/>
  <c r="DP20" i="18"/>
  <c r="DS20" i="18" s="1"/>
  <c r="DQ20" i="18"/>
  <c r="DT20" i="18"/>
  <c r="DU20" i="18" l="1"/>
  <c r="AC17" i="16"/>
  <c r="AF17" i="16"/>
  <c r="AI17" i="16"/>
  <c r="AL17" i="16"/>
  <c r="AO17" i="16"/>
  <c r="AR17" i="16"/>
  <c r="AU17" i="16"/>
  <c r="AV17" i="16"/>
  <c r="AW17" i="16"/>
  <c r="BA17" i="16"/>
  <c r="BD17" i="16"/>
  <c r="BG17" i="16"/>
  <c r="BJ17" i="16"/>
  <c r="BM17" i="16"/>
  <c r="BP17" i="16"/>
  <c r="BS17" i="16"/>
  <c r="BT17" i="16"/>
  <c r="BU17" i="16"/>
  <c r="BY17" i="16"/>
  <c r="CB17" i="16"/>
  <c r="CE17" i="16"/>
  <c r="CH17" i="16"/>
  <c r="CK17" i="16"/>
  <c r="CN17" i="16"/>
  <c r="CQ17" i="16"/>
  <c r="CR17" i="16"/>
  <c r="CS17" i="16"/>
  <c r="CW17" i="16"/>
  <c r="CZ17" i="16"/>
  <c r="DC17" i="16"/>
  <c r="DF17" i="16"/>
  <c r="DI17" i="16"/>
  <c r="DL17" i="16"/>
  <c r="DO17" i="16"/>
  <c r="DP17" i="16"/>
  <c r="DQ17" i="16"/>
  <c r="AC18" i="16"/>
  <c r="AF18" i="16"/>
  <c r="AI18" i="16"/>
  <c r="AL18" i="16"/>
  <c r="AO18" i="16"/>
  <c r="AR18" i="16"/>
  <c r="AU18" i="16"/>
  <c r="AV18" i="16"/>
  <c r="AW18" i="16"/>
  <c r="BA18" i="16"/>
  <c r="BD18" i="16"/>
  <c r="BG18" i="16"/>
  <c r="BJ18" i="16"/>
  <c r="BM18" i="16"/>
  <c r="BP18" i="16"/>
  <c r="BS18" i="16"/>
  <c r="BT18" i="16"/>
  <c r="BU18" i="16"/>
  <c r="BY18" i="16"/>
  <c r="CB18" i="16"/>
  <c r="CE18" i="16"/>
  <c r="CH18" i="16"/>
  <c r="CK18" i="16"/>
  <c r="CN18" i="16"/>
  <c r="CT18" i="16" s="1"/>
  <c r="CQ18" i="16"/>
  <c r="CR18" i="16"/>
  <c r="CS18" i="16"/>
  <c r="CW18" i="16"/>
  <c r="CZ18" i="16"/>
  <c r="DC18" i="16"/>
  <c r="DF18" i="16"/>
  <c r="DI18" i="16"/>
  <c r="DL18" i="16"/>
  <c r="DO18" i="16"/>
  <c r="DP18" i="16"/>
  <c r="DQ18" i="16"/>
  <c r="AC19" i="16"/>
  <c r="AF19" i="16"/>
  <c r="AI19" i="16"/>
  <c r="AL19" i="16"/>
  <c r="AO19" i="16"/>
  <c r="AR19" i="16"/>
  <c r="AU19" i="16"/>
  <c r="AV19" i="16"/>
  <c r="AW19" i="16"/>
  <c r="BA19" i="16"/>
  <c r="BD19" i="16"/>
  <c r="BG19" i="16"/>
  <c r="BJ19" i="16"/>
  <c r="BM19" i="16"/>
  <c r="BP19" i="16"/>
  <c r="BS19" i="16"/>
  <c r="BT19" i="16"/>
  <c r="BU19" i="16"/>
  <c r="BY19" i="16"/>
  <c r="CB19" i="16"/>
  <c r="CE19" i="16"/>
  <c r="CH19" i="16"/>
  <c r="CK19" i="16"/>
  <c r="CN19" i="16"/>
  <c r="CQ19" i="16"/>
  <c r="CR19" i="16"/>
  <c r="CS19" i="16"/>
  <c r="CW19" i="16"/>
  <c r="CZ19" i="16"/>
  <c r="DC19" i="16"/>
  <c r="DF19" i="16"/>
  <c r="DI19" i="16"/>
  <c r="DL19" i="16"/>
  <c r="DO19" i="16"/>
  <c r="DP19" i="16"/>
  <c r="DQ19" i="16"/>
  <c r="AC20" i="16"/>
  <c r="AF20" i="16"/>
  <c r="AI20" i="16"/>
  <c r="AL20" i="16"/>
  <c r="AO20" i="16"/>
  <c r="AR20" i="16"/>
  <c r="AU20" i="16"/>
  <c r="AV20" i="16"/>
  <c r="AW20" i="16"/>
  <c r="BA20" i="16"/>
  <c r="BD20" i="16"/>
  <c r="BG20" i="16"/>
  <c r="BJ20" i="16"/>
  <c r="BM20" i="16"/>
  <c r="BP20" i="16"/>
  <c r="BS20" i="16"/>
  <c r="BT20" i="16"/>
  <c r="BU20" i="16"/>
  <c r="BY20" i="16"/>
  <c r="CB20" i="16"/>
  <c r="CE20" i="16"/>
  <c r="CH20" i="16"/>
  <c r="CK20" i="16"/>
  <c r="CN20" i="16"/>
  <c r="CQ20" i="16"/>
  <c r="CR20" i="16"/>
  <c r="CS20" i="16"/>
  <c r="CW20" i="16"/>
  <c r="CZ20" i="16"/>
  <c r="DC20" i="16"/>
  <c r="DF20" i="16"/>
  <c r="DI20" i="16"/>
  <c r="DL20" i="16"/>
  <c r="DO20" i="16"/>
  <c r="DP20" i="16"/>
  <c r="DQ20" i="16"/>
  <c r="AC21" i="16"/>
  <c r="AF21" i="16"/>
  <c r="AI21" i="16"/>
  <c r="AL21" i="16"/>
  <c r="AO21" i="16"/>
  <c r="AR21" i="16"/>
  <c r="AU21" i="16"/>
  <c r="AV21" i="16"/>
  <c r="AW21" i="16"/>
  <c r="BA21" i="16"/>
  <c r="BD21" i="16"/>
  <c r="BG21" i="16"/>
  <c r="BJ21" i="16"/>
  <c r="BM21" i="16"/>
  <c r="BP21" i="16"/>
  <c r="BS21" i="16"/>
  <c r="BT21" i="16"/>
  <c r="BU21" i="16"/>
  <c r="BY21" i="16"/>
  <c r="CB21" i="16"/>
  <c r="CE21" i="16"/>
  <c r="CH21" i="16"/>
  <c r="CK21" i="16"/>
  <c r="CN21" i="16"/>
  <c r="CQ21" i="16"/>
  <c r="CR21" i="16"/>
  <c r="CS21" i="16"/>
  <c r="CW21" i="16"/>
  <c r="CZ21" i="16"/>
  <c r="DC21" i="16"/>
  <c r="DF21" i="16"/>
  <c r="DI21" i="16"/>
  <c r="DL21" i="16"/>
  <c r="DO21" i="16"/>
  <c r="DP21" i="16"/>
  <c r="DQ21" i="16"/>
  <c r="AC22" i="16"/>
  <c r="AF22" i="16"/>
  <c r="AI22" i="16"/>
  <c r="AL22" i="16"/>
  <c r="AO22" i="16"/>
  <c r="AR22" i="16"/>
  <c r="AU22" i="16"/>
  <c r="AV22" i="16"/>
  <c r="AW22" i="16"/>
  <c r="BA22" i="16"/>
  <c r="BD22" i="16"/>
  <c r="BG22" i="16"/>
  <c r="BJ22" i="16"/>
  <c r="BM22" i="16"/>
  <c r="BP22" i="16"/>
  <c r="BS22" i="16"/>
  <c r="BT22" i="16"/>
  <c r="BU22" i="16"/>
  <c r="BY22" i="16"/>
  <c r="CB22" i="16"/>
  <c r="CE22" i="16"/>
  <c r="CH22" i="16"/>
  <c r="CK22" i="16"/>
  <c r="CN22" i="16"/>
  <c r="CQ22" i="16"/>
  <c r="CR22" i="16"/>
  <c r="CS22" i="16"/>
  <c r="CW22" i="16"/>
  <c r="CZ22" i="16"/>
  <c r="DC22" i="16"/>
  <c r="DF22" i="16"/>
  <c r="DI22" i="16"/>
  <c r="DL22" i="16"/>
  <c r="DO22" i="16"/>
  <c r="DP22" i="16"/>
  <c r="DQ22" i="16"/>
  <c r="W17" i="16"/>
  <c r="X17" i="16"/>
  <c r="Y17" i="16"/>
  <c r="W18" i="16"/>
  <c r="X18" i="16"/>
  <c r="Y18" i="16"/>
  <c r="W19" i="16"/>
  <c r="X19" i="16"/>
  <c r="Y19" i="16"/>
  <c r="W20" i="16"/>
  <c r="X20" i="16"/>
  <c r="Y20" i="16"/>
  <c r="W21" i="16"/>
  <c r="X21" i="16"/>
  <c r="Y21" i="16"/>
  <c r="W22" i="16"/>
  <c r="X22" i="16"/>
  <c r="Y22" i="16"/>
  <c r="T17" i="16"/>
  <c r="T18" i="16"/>
  <c r="T19" i="16"/>
  <c r="T20" i="16"/>
  <c r="T21" i="16"/>
  <c r="T22" i="16"/>
  <c r="Q17" i="16"/>
  <c r="Q18" i="16"/>
  <c r="Q19" i="16"/>
  <c r="Q20" i="16"/>
  <c r="Q21" i="16"/>
  <c r="Q22" i="16"/>
  <c r="N17" i="16"/>
  <c r="N18" i="16"/>
  <c r="N19" i="16"/>
  <c r="N20" i="16"/>
  <c r="N21" i="16"/>
  <c r="N22" i="16"/>
  <c r="K17" i="16"/>
  <c r="K18" i="16"/>
  <c r="K19" i="16"/>
  <c r="K20" i="16"/>
  <c r="K21" i="16"/>
  <c r="EA21" i="14"/>
  <c r="EA20" i="14"/>
  <c r="EA19" i="14"/>
  <c r="EA18" i="14"/>
  <c r="EA17" i="14"/>
  <c r="EA16" i="14"/>
  <c r="EA15" i="14"/>
  <c r="EA14" i="14"/>
  <c r="EA13" i="14"/>
  <c r="EA12" i="14"/>
  <c r="EA11" i="14"/>
  <c r="EA10" i="14"/>
  <c r="EA9" i="14"/>
  <c r="EA8" i="14"/>
  <c r="EA7" i="14"/>
  <c r="EA6" i="14"/>
  <c r="EA5" i="14"/>
  <c r="EA4" i="14"/>
  <c r="DO6" i="14"/>
  <c r="DP6" i="14"/>
  <c r="DQ6" i="14"/>
  <c r="DU6" i="14"/>
  <c r="DO7" i="14"/>
  <c r="DP7" i="14"/>
  <c r="EB7" i="14" s="1"/>
  <c r="DQ7" i="14"/>
  <c r="DU7" i="14"/>
  <c r="DO8" i="14"/>
  <c r="DP8" i="14"/>
  <c r="DQ8" i="14"/>
  <c r="DU8" i="14"/>
  <c r="DO9" i="14"/>
  <c r="DP9" i="14"/>
  <c r="EB9" i="14" s="1"/>
  <c r="DQ9" i="14"/>
  <c r="DU9" i="14"/>
  <c r="DO10" i="14"/>
  <c r="DP10" i="14"/>
  <c r="DQ10" i="14"/>
  <c r="EC10" i="14" s="1"/>
  <c r="DU10" i="14"/>
  <c r="DO11" i="14"/>
  <c r="DP11" i="14"/>
  <c r="EB11" i="14" s="1"/>
  <c r="DQ11" i="14"/>
  <c r="DU11" i="14"/>
  <c r="DO12" i="14"/>
  <c r="DP12" i="14"/>
  <c r="DQ12" i="14"/>
  <c r="DU12" i="14"/>
  <c r="DO13" i="14"/>
  <c r="DP13" i="14"/>
  <c r="DQ13" i="14"/>
  <c r="DU13" i="14"/>
  <c r="DO14" i="14"/>
  <c r="DP14" i="14"/>
  <c r="EB14" i="14" s="1"/>
  <c r="DQ14" i="14"/>
  <c r="DU14" i="14"/>
  <c r="DO15" i="14"/>
  <c r="DP15" i="14"/>
  <c r="EB15" i="14" s="1"/>
  <c r="DQ15" i="14"/>
  <c r="DU15" i="14"/>
  <c r="DO16" i="14"/>
  <c r="DP16" i="14"/>
  <c r="EB16" i="14" s="1"/>
  <c r="DQ16" i="14"/>
  <c r="DU16" i="14"/>
  <c r="CW6" i="14"/>
  <c r="CZ6" i="14"/>
  <c r="DC6" i="14"/>
  <c r="DF6" i="14"/>
  <c r="DI6" i="14"/>
  <c r="DL6" i="14"/>
  <c r="CW7" i="14"/>
  <c r="CZ7" i="14"/>
  <c r="DC7" i="14"/>
  <c r="DF7" i="14"/>
  <c r="DI7" i="14"/>
  <c r="DL7" i="14"/>
  <c r="CW8" i="14"/>
  <c r="CZ8" i="14"/>
  <c r="DC8" i="14"/>
  <c r="DF8" i="14"/>
  <c r="DI8" i="14"/>
  <c r="DL8" i="14"/>
  <c r="CW9" i="14"/>
  <c r="CZ9" i="14"/>
  <c r="DC9" i="14"/>
  <c r="DF9" i="14"/>
  <c r="DI9" i="14"/>
  <c r="DL9" i="14"/>
  <c r="CW10" i="14"/>
  <c r="CZ10" i="14"/>
  <c r="DC10" i="14"/>
  <c r="DF10" i="14"/>
  <c r="DI10" i="14"/>
  <c r="DL10" i="14"/>
  <c r="CW11" i="14"/>
  <c r="CZ11" i="14"/>
  <c r="DC11" i="14"/>
  <c r="DF11" i="14"/>
  <c r="DI11" i="14"/>
  <c r="DL11" i="14"/>
  <c r="CW12" i="14"/>
  <c r="CZ12" i="14"/>
  <c r="DC12" i="14"/>
  <c r="DF12" i="14"/>
  <c r="DI12" i="14"/>
  <c r="DL12" i="14"/>
  <c r="CW13" i="14"/>
  <c r="CZ13" i="14"/>
  <c r="DC13" i="14"/>
  <c r="DF13" i="14"/>
  <c r="DI13" i="14"/>
  <c r="DL13" i="14"/>
  <c r="CW14" i="14"/>
  <c r="CZ14" i="14"/>
  <c r="DC14" i="14"/>
  <c r="DF14" i="14"/>
  <c r="DI14" i="14"/>
  <c r="DL14" i="14"/>
  <c r="CW15" i="14"/>
  <c r="CZ15" i="14"/>
  <c r="DC15" i="14"/>
  <c r="DF15" i="14"/>
  <c r="DI15" i="14"/>
  <c r="DL15" i="14"/>
  <c r="CW16" i="14"/>
  <c r="CZ16" i="14"/>
  <c r="DC16" i="14"/>
  <c r="DF16" i="14"/>
  <c r="DI16" i="14"/>
  <c r="DL16" i="14"/>
  <c r="CS6" i="14"/>
  <c r="CS7" i="14"/>
  <c r="CS8" i="14"/>
  <c r="CS9" i="14"/>
  <c r="CS10" i="14"/>
  <c r="CS11" i="14"/>
  <c r="CS12" i="14"/>
  <c r="CS13" i="14"/>
  <c r="CS14" i="14"/>
  <c r="CS15" i="14"/>
  <c r="CS16" i="14"/>
  <c r="CQ6" i="14"/>
  <c r="CQ7" i="14"/>
  <c r="CQ8" i="14"/>
  <c r="CQ9" i="14"/>
  <c r="CQ10" i="14"/>
  <c r="CQ11" i="14"/>
  <c r="CQ12" i="14"/>
  <c r="CQ13" i="14"/>
  <c r="CQ14" i="14"/>
  <c r="CQ15" i="14"/>
  <c r="CQ16" i="14"/>
  <c r="CB5" i="14"/>
  <c r="CE5" i="14"/>
  <c r="CH5" i="14"/>
  <c r="CK5" i="14"/>
  <c r="CN5" i="14"/>
  <c r="CB6" i="14"/>
  <c r="CE6" i="14"/>
  <c r="CH6" i="14"/>
  <c r="CK6" i="14"/>
  <c r="CN6" i="14"/>
  <c r="CB7" i="14"/>
  <c r="CE7" i="14"/>
  <c r="CH7" i="14"/>
  <c r="CK7" i="14"/>
  <c r="CN7" i="14"/>
  <c r="CB8" i="14"/>
  <c r="CE8" i="14"/>
  <c r="CH8" i="14"/>
  <c r="CK8" i="14"/>
  <c r="CN8" i="14"/>
  <c r="CB9" i="14"/>
  <c r="CE9" i="14"/>
  <c r="CH9" i="14"/>
  <c r="CK9" i="14"/>
  <c r="CN9" i="14"/>
  <c r="CB10" i="14"/>
  <c r="CE10" i="14"/>
  <c r="CH10" i="14"/>
  <c r="CK10" i="14"/>
  <c r="CN10" i="14"/>
  <c r="CB11" i="14"/>
  <c r="CE11" i="14"/>
  <c r="CH11" i="14"/>
  <c r="CK11" i="14"/>
  <c r="CN11" i="14"/>
  <c r="CB12" i="14"/>
  <c r="CE12" i="14"/>
  <c r="CH12" i="14"/>
  <c r="CK12" i="14"/>
  <c r="CN12" i="14"/>
  <c r="CB13" i="14"/>
  <c r="CE13" i="14"/>
  <c r="CH13" i="14"/>
  <c r="CK13" i="14"/>
  <c r="CN13" i="14"/>
  <c r="CB14" i="14"/>
  <c r="CE14" i="14"/>
  <c r="CH14" i="14"/>
  <c r="CK14" i="14"/>
  <c r="CN14" i="14"/>
  <c r="CB15" i="14"/>
  <c r="CE15" i="14"/>
  <c r="CH15" i="14"/>
  <c r="CK15" i="14"/>
  <c r="CN15" i="14"/>
  <c r="CB16" i="14"/>
  <c r="CE16" i="14"/>
  <c r="CH16" i="14"/>
  <c r="CK16" i="14"/>
  <c r="CN16" i="14"/>
  <c r="BS12" i="14"/>
  <c r="BT12" i="14"/>
  <c r="BU12" i="14"/>
  <c r="BY12" i="14"/>
  <c r="BS13" i="14"/>
  <c r="BT13" i="14"/>
  <c r="BU13" i="14"/>
  <c r="BY13" i="14"/>
  <c r="BS14" i="14"/>
  <c r="BT14" i="14"/>
  <c r="BU14" i="14"/>
  <c r="BY14" i="14"/>
  <c r="BS15" i="14"/>
  <c r="BT15" i="14"/>
  <c r="BU15" i="14"/>
  <c r="BY15" i="14"/>
  <c r="BS16" i="14"/>
  <c r="BT16" i="14"/>
  <c r="BU16" i="14"/>
  <c r="BY16" i="14"/>
  <c r="BD12" i="14"/>
  <c r="BD13" i="14"/>
  <c r="BD14" i="14"/>
  <c r="BD15" i="14"/>
  <c r="BD16" i="14"/>
  <c r="BG12" i="14"/>
  <c r="BJ12" i="14"/>
  <c r="BM12" i="14"/>
  <c r="BP12" i="14"/>
  <c r="BG13" i="14"/>
  <c r="BJ13" i="14"/>
  <c r="BM13" i="14"/>
  <c r="BP13" i="14"/>
  <c r="BG14" i="14"/>
  <c r="BJ14" i="14"/>
  <c r="BM14" i="14"/>
  <c r="BP14" i="14"/>
  <c r="BG15" i="14"/>
  <c r="BJ15" i="14"/>
  <c r="BM15" i="14"/>
  <c r="BP15" i="14"/>
  <c r="BG16" i="14"/>
  <c r="BJ16" i="14"/>
  <c r="BM16" i="14"/>
  <c r="BP16" i="14"/>
  <c r="BA12" i="14"/>
  <c r="BA13" i="14"/>
  <c r="BA14" i="14"/>
  <c r="BA15" i="14"/>
  <c r="BA16" i="14"/>
  <c r="AW11" i="14"/>
  <c r="AW12" i="14"/>
  <c r="AW13" i="14"/>
  <c r="AW14" i="14"/>
  <c r="AW15" i="14"/>
  <c r="AW16" i="14"/>
  <c r="AU12" i="14"/>
  <c r="AR12" i="14"/>
  <c r="Y18" i="14"/>
  <c r="AC18" i="14"/>
  <c r="AF18" i="14"/>
  <c r="AI18" i="14"/>
  <c r="AL18" i="14"/>
  <c r="AO18" i="14"/>
  <c r="AR18" i="14"/>
  <c r="AU18" i="14"/>
  <c r="AV18" i="14"/>
  <c r="AW18" i="14"/>
  <c r="BA18" i="14"/>
  <c r="BD18" i="14"/>
  <c r="BG18" i="14"/>
  <c r="BJ18" i="14"/>
  <c r="BM18" i="14"/>
  <c r="BP18" i="14"/>
  <c r="BS18" i="14"/>
  <c r="BT18" i="14"/>
  <c r="BU18" i="14"/>
  <c r="BY18" i="14"/>
  <c r="CB18" i="14"/>
  <c r="CE18" i="14"/>
  <c r="CH18" i="14"/>
  <c r="CK18" i="14"/>
  <c r="CN18" i="14"/>
  <c r="CQ18" i="14"/>
  <c r="CR18" i="14"/>
  <c r="CS18" i="14"/>
  <c r="CW18" i="14"/>
  <c r="CZ18" i="14"/>
  <c r="DC18" i="14"/>
  <c r="DF18" i="14"/>
  <c r="DI18" i="14"/>
  <c r="DL18" i="14"/>
  <c r="DO18" i="14"/>
  <c r="DP18" i="14"/>
  <c r="DQ18" i="14"/>
  <c r="DU18" i="14"/>
  <c r="DX18" i="14"/>
  <c r="Y19" i="14"/>
  <c r="AC19" i="14"/>
  <c r="AF19" i="14"/>
  <c r="AI19" i="14"/>
  <c r="AL19" i="14"/>
  <c r="AO19" i="14"/>
  <c r="AR19" i="14"/>
  <c r="AU19" i="14"/>
  <c r="AV19" i="14"/>
  <c r="AW19" i="14"/>
  <c r="BA19" i="14"/>
  <c r="BD19" i="14"/>
  <c r="BG19" i="14"/>
  <c r="BJ19" i="14"/>
  <c r="BM19" i="14"/>
  <c r="BP19" i="14"/>
  <c r="BS19" i="14"/>
  <c r="BT19" i="14"/>
  <c r="BU19" i="14"/>
  <c r="BY19" i="14"/>
  <c r="CB19" i="14"/>
  <c r="CE19" i="14"/>
  <c r="CH19" i="14"/>
  <c r="CK19" i="14"/>
  <c r="CN19" i="14"/>
  <c r="CQ19" i="14"/>
  <c r="CR19" i="14"/>
  <c r="CS19" i="14"/>
  <c r="CW19" i="14"/>
  <c r="CZ19" i="14"/>
  <c r="DC19" i="14"/>
  <c r="DF19" i="14"/>
  <c r="DI19" i="14"/>
  <c r="DL19" i="14"/>
  <c r="DO19" i="14"/>
  <c r="DP19" i="14"/>
  <c r="EB19" i="14" s="1"/>
  <c r="DQ19" i="14"/>
  <c r="EC19" i="14" s="1"/>
  <c r="DU19" i="14"/>
  <c r="DX19" i="14"/>
  <c r="Y20" i="14"/>
  <c r="AC20" i="14"/>
  <c r="AF20" i="14"/>
  <c r="AI20" i="14"/>
  <c r="AL20" i="14"/>
  <c r="AO20" i="14"/>
  <c r="AR20" i="14"/>
  <c r="AU20" i="14"/>
  <c r="AV20" i="14"/>
  <c r="AW20" i="14"/>
  <c r="BA20" i="14"/>
  <c r="BD20" i="14"/>
  <c r="BG20" i="14"/>
  <c r="BJ20" i="14"/>
  <c r="BM20" i="14"/>
  <c r="BP20" i="14"/>
  <c r="BS20" i="14"/>
  <c r="BT20" i="14"/>
  <c r="BU20" i="14"/>
  <c r="BY20" i="14"/>
  <c r="CB20" i="14"/>
  <c r="CE20" i="14"/>
  <c r="CH20" i="14"/>
  <c r="CK20" i="14"/>
  <c r="CN20" i="14"/>
  <c r="CQ20" i="14"/>
  <c r="CR20" i="14"/>
  <c r="CS20" i="14"/>
  <c r="CW20" i="14"/>
  <c r="CZ20" i="14"/>
  <c r="DC20" i="14"/>
  <c r="DF20" i="14"/>
  <c r="DI20" i="14"/>
  <c r="DL20" i="14"/>
  <c r="DO20" i="14"/>
  <c r="DP20" i="14"/>
  <c r="EB20" i="14" s="1"/>
  <c r="DQ20" i="14"/>
  <c r="EC20" i="14" s="1"/>
  <c r="DU20" i="14"/>
  <c r="DX20" i="14"/>
  <c r="Y21" i="14"/>
  <c r="AC21" i="14"/>
  <c r="AF21" i="14"/>
  <c r="AI21" i="14"/>
  <c r="AL21" i="14"/>
  <c r="AO21" i="14"/>
  <c r="AR21" i="14"/>
  <c r="AU21" i="14"/>
  <c r="AV21" i="14"/>
  <c r="AW21" i="14"/>
  <c r="BA21" i="14"/>
  <c r="BD21" i="14"/>
  <c r="BG21" i="14"/>
  <c r="BJ21" i="14"/>
  <c r="BM21" i="14"/>
  <c r="BP21" i="14"/>
  <c r="BS21" i="14"/>
  <c r="BT21" i="14"/>
  <c r="BU21" i="14"/>
  <c r="BY21" i="14"/>
  <c r="CB21" i="14"/>
  <c r="CE21" i="14"/>
  <c r="CH21" i="14"/>
  <c r="CK21" i="14"/>
  <c r="CN21" i="14"/>
  <c r="CQ21" i="14"/>
  <c r="CR21" i="14"/>
  <c r="CS21" i="14"/>
  <c r="CW21" i="14"/>
  <c r="CZ21" i="14"/>
  <c r="DC21" i="14"/>
  <c r="DF21" i="14"/>
  <c r="DI21" i="14"/>
  <c r="DL21" i="14"/>
  <c r="DO21" i="14"/>
  <c r="DP21" i="14"/>
  <c r="EB21" i="14" s="1"/>
  <c r="DQ21" i="14"/>
  <c r="DU21" i="14"/>
  <c r="DX21" i="14"/>
  <c r="X18" i="14"/>
  <c r="X19" i="14"/>
  <c r="X20" i="14"/>
  <c r="X21" i="14"/>
  <c r="W18" i="14"/>
  <c r="Z18" i="14" s="1"/>
  <c r="W19" i="14"/>
  <c r="Z19" i="14" s="1"/>
  <c r="W20" i="14"/>
  <c r="Z20" i="14" s="1"/>
  <c r="W21" i="14"/>
  <c r="Z21" i="14" s="1"/>
  <c r="CL9" i="18"/>
  <c r="BN16" i="18"/>
  <c r="BG7" i="18"/>
  <c r="DR29" i="17"/>
  <c r="DP14" i="18"/>
  <c r="DS14" i="18" s="1"/>
  <c r="CL14" i="18"/>
  <c r="E14" i="18"/>
  <c r="H14" i="18"/>
  <c r="K14" i="18"/>
  <c r="N14" i="18"/>
  <c r="Q14" i="18"/>
  <c r="T14" i="18"/>
  <c r="W14" i="18"/>
  <c r="Z14" i="18"/>
  <c r="AC14" i="18"/>
  <c r="AF14" i="18"/>
  <c r="AI14" i="18"/>
  <c r="AL14" i="18"/>
  <c r="AO14" i="18"/>
  <c r="AU14" i="18"/>
  <c r="AX14" i="18"/>
  <c r="BA14" i="18"/>
  <c r="BD14" i="18"/>
  <c r="BG14" i="18"/>
  <c r="BJ14" i="18"/>
  <c r="BM14" i="18"/>
  <c r="BS14" i="18"/>
  <c r="BV14" i="18"/>
  <c r="BY14" i="18"/>
  <c r="CB14" i="18"/>
  <c r="CE14" i="18"/>
  <c r="CH14" i="18"/>
  <c r="CK14" i="18"/>
  <c r="CQ14" i="18"/>
  <c r="CW14" i="18"/>
  <c r="CZ14" i="18"/>
  <c r="DC14" i="18"/>
  <c r="DF14" i="18"/>
  <c r="DI14" i="18"/>
  <c r="DL14" i="18"/>
  <c r="DO14" i="18"/>
  <c r="DQ14" i="17"/>
  <c r="BQ15" i="17"/>
  <c r="CO15" i="17"/>
  <c r="DP15" i="17" s="1"/>
  <c r="CP15" i="17"/>
  <c r="CQ15" i="17"/>
  <c r="BM15" i="17"/>
  <c r="AS15" i="17"/>
  <c r="AL15" i="17"/>
  <c r="Z15" i="17"/>
  <c r="AU15" i="17" s="1"/>
  <c r="W17" i="17"/>
  <c r="W15" i="17"/>
  <c r="E15" i="17"/>
  <c r="H15" i="17"/>
  <c r="K15" i="17"/>
  <c r="N15" i="17"/>
  <c r="Q15" i="17"/>
  <c r="T15" i="17"/>
  <c r="AC15" i="17"/>
  <c r="AF15" i="17"/>
  <c r="AI15" i="17"/>
  <c r="AO15" i="17"/>
  <c r="AR15" i="17"/>
  <c r="AX15" i="17"/>
  <c r="BS15" i="17" s="1"/>
  <c r="BA15" i="17"/>
  <c r="BD15" i="17"/>
  <c r="BG15" i="17"/>
  <c r="BJ15" i="17"/>
  <c r="BP15" i="17"/>
  <c r="BV15" i="17"/>
  <c r="BY15" i="17"/>
  <c r="CB15" i="17"/>
  <c r="CE15" i="17"/>
  <c r="CH15" i="17"/>
  <c r="CK15" i="17"/>
  <c r="CN15" i="17"/>
  <c r="CT15" i="17"/>
  <c r="CW15" i="17"/>
  <c r="CZ15" i="17"/>
  <c r="DC15" i="17"/>
  <c r="DF15" i="17"/>
  <c r="DI15" i="17"/>
  <c r="DL15" i="17"/>
  <c r="P29" i="17"/>
  <c r="AQ29" i="17"/>
  <c r="DR20" i="16" l="1"/>
  <c r="Z19" i="16"/>
  <c r="Z21" i="16"/>
  <c r="Z18" i="16"/>
  <c r="DT22" i="16"/>
  <c r="DT18" i="16"/>
  <c r="CT22" i="16"/>
  <c r="Z20" i="16"/>
  <c r="Z22" i="16"/>
  <c r="AX22" i="16"/>
  <c r="DT20" i="16"/>
  <c r="BV20" i="16"/>
  <c r="DS21" i="16"/>
  <c r="DS17" i="16"/>
  <c r="AX18" i="16"/>
  <c r="DS22" i="16"/>
  <c r="BV22" i="16"/>
  <c r="DR21" i="16"/>
  <c r="DS20" i="16"/>
  <c r="DR19" i="16"/>
  <c r="BV17" i="16"/>
  <c r="DR22" i="16"/>
  <c r="DT21" i="16"/>
  <c r="AX21" i="16"/>
  <c r="AX20" i="16"/>
  <c r="DS19" i="16"/>
  <c r="AX19" i="16"/>
  <c r="CT17" i="16"/>
  <c r="BV21" i="16"/>
  <c r="CT20" i="16"/>
  <c r="DT19" i="16"/>
  <c r="BV19" i="16"/>
  <c r="DU19" i="16" s="1"/>
  <c r="DS18" i="16"/>
  <c r="BV18" i="16"/>
  <c r="DR17" i="16"/>
  <c r="CT21" i="16"/>
  <c r="CT19" i="16"/>
  <c r="DR18" i="16"/>
  <c r="DT17" i="16"/>
  <c r="AX17" i="16"/>
  <c r="DR16" i="14"/>
  <c r="DR20" i="14"/>
  <c r="CT18" i="14"/>
  <c r="BV18" i="14"/>
  <c r="DR10" i="14"/>
  <c r="DR6" i="14"/>
  <c r="BV16" i="14"/>
  <c r="AX18" i="14"/>
  <c r="DR15" i="14"/>
  <c r="DR7" i="14"/>
  <c r="CT21" i="14"/>
  <c r="AX19" i="14"/>
  <c r="CT15" i="14"/>
  <c r="DR13" i="14"/>
  <c r="BV20" i="14"/>
  <c r="AX20" i="14"/>
  <c r="BV14" i="14"/>
  <c r="BV12" i="14"/>
  <c r="CT16" i="14"/>
  <c r="CT14" i="14"/>
  <c r="CT13" i="14"/>
  <c r="CT12" i="14"/>
  <c r="ED20" i="14"/>
  <c r="AX21" i="14"/>
  <c r="CT19" i="14"/>
  <c r="DR18" i="14"/>
  <c r="BV21" i="14"/>
  <c r="BV19" i="14"/>
  <c r="BV13" i="14"/>
  <c r="DR14" i="14"/>
  <c r="DR9" i="14"/>
  <c r="DR8" i="14"/>
  <c r="DR21" i="14"/>
  <c r="CT20" i="14"/>
  <c r="DR19" i="14"/>
  <c r="ED19" i="14" s="1"/>
  <c r="BV15" i="14"/>
  <c r="DR12" i="14"/>
  <c r="DR11" i="14"/>
  <c r="DU20" i="16"/>
  <c r="CT14" i="18"/>
  <c r="DT14" i="18"/>
  <c r="DO15" i="17"/>
  <c r="DR15" i="17" s="1"/>
  <c r="V29" i="17"/>
  <c r="AN29" i="17"/>
  <c r="AK29" i="17"/>
  <c r="AH29" i="17"/>
  <c r="AE29" i="17"/>
  <c r="AB29" i="17"/>
  <c r="Y29" i="17"/>
  <c r="W4" i="17"/>
  <c r="W5" i="17"/>
  <c r="W6" i="17"/>
  <c r="W7" i="17"/>
  <c r="W8" i="17"/>
  <c r="W9" i="17"/>
  <c r="W10" i="17"/>
  <c r="W11" i="17"/>
  <c r="W12" i="17"/>
  <c r="W13" i="17"/>
  <c r="W14" i="17"/>
  <c r="W16" i="17"/>
  <c r="W18" i="17"/>
  <c r="W19" i="17"/>
  <c r="W20" i="17"/>
  <c r="W21" i="17"/>
  <c r="W22" i="17"/>
  <c r="W23" i="17"/>
  <c r="W24" i="17"/>
  <c r="W25" i="17"/>
  <c r="W26" i="17"/>
  <c r="W27" i="17"/>
  <c r="W28" i="17"/>
  <c r="DU22" i="16" l="1"/>
  <c r="DU21" i="16"/>
  <c r="DU18" i="16"/>
  <c r="DP4" i="18"/>
  <c r="DQ4" i="18"/>
  <c r="DP5" i="18"/>
  <c r="DP6" i="18"/>
  <c r="DQ6" i="18"/>
  <c r="DP7" i="18"/>
  <c r="DQ7" i="18"/>
  <c r="DP8" i="18"/>
  <c r="DP9" i="18"/>
  <c r="DP10" i="18"/>
  <c r="DQ10" i="18"/>
  <c r="DP11" i="18"/>
  <c r="DQ11" i="18"/>
  <c r="DP12" i="18"/>
  <c r="DP13" i="18"/>
  <c r="DQ13" i="18"/>
  <c r="DP15" i="18"/>
  <c r="DQ15" i="18"/>
  <c r="DP16" i="18"/>
  <c r="DQ16" i="18"/>
  <c r="DP17" i="18"/>
  <c r="DP18" i="18"/>
  <c r="DQ18" i="18"/>
  <c r="DP19" i="18"/>
  <c r="DQ19" i="18"/>
  <c r="DP21" i="18"/>
  <c r="DQ21" i="18"/>
  <c r="DP22" i="18"/>
  <c r="DQ22" i="18"/>
  <c r="DP23" i="18"/>
  <c r="DQ23" i="18"/>
  <c r="DP24" i="18"/>
  <c r="DQ24" i="18"/>
  <c r="DP25" i="18"/>
  <c r="DQ25" i="18"/>
  <c r="DP26" i="18"/>
  <c r="DQ26" i="18"/>
  <c r="DP27" i="18"/>
  <c r="DQ27" i="18"/>
  <c r="DO16" i="18"/>
  <c r="E4" i="18"/>
  <c r="H4" i="18"/>
  <c r="K4" i="18"/>
  <c r="N4" i="18"/>
  <c r="Q4" i="18"/>
  <c r="T4" i="18"/>
  <c r="W4" i="18"/>
  <c r="Z4" i="18"/>
  <c r="AC4" i="18"/>
  <c r="AF4" i="18"/>
  <c r="AI4" i="18"/>
  <c r="AL4" i="18"/>
  <c r="AO4" i="18"/>
  <c r="AP4" i="18"/>
  <c r="AQ4" i="18"/>
  <c r="AU4" i="18"/>
  <c r="AX4" i="18"/>
  <c r="BA4" i="18"/>
  <c r="BD4" i="18"/>
  <c r="BG4" i="18"/>
  <c r="BJ4" i="18"/>
  <c r="BM4" i="18"/>
  <c r="BN4" i="18"/>
  <c r="BO4" i="18"/>
  <c r="BS4" i="18"/>
  <c r="BV4" i="18"/>
  <c r="BY4" i="18"/>
  <c r="CB4" i="18"/>
  <c r="CE4" i="18"/>
  <c r="CH4" i="18"/>
  <c r="CK4" i="18"/>
  <c r="CL4" i="18"/>
  <c r="CM4" i="18"/>
  <c r="CQ4" i="18"/>
  <c r="CW4" i="18"/>
  <c r="CZ4" i="18"/>
  <c r="DC4" i="18"/>
  <c r="DF4" i="18"/>
  <c r="DI4" i="18"/>
  <c r="DL4" i="18"/>
  <c r="CR4" i="18"/>
  <c r="CS4" i="18"/>
  <c r="DO4" i="18"/>
  <c r="E5" i="18"/>
  <c r="H5" i="18"/>
  <c r="K5" i="18"/>
  <c r="N5" i="18"/>
  <c r="Q5" i="18"/>
  <c r="T5" i="18"/>
  <c r="W5" i="18"/>
  <c r="Z5" i="18"/>
  <c r="AC5" i="18"/>
  <c r="AF5" i="18"/>
  <c r="AI5" i="18"/>
  <c r="AL5" i="18"/>
  <c r="AO5" i="18"/>
  <c r="AU5" i="18"/>
  <c r="AX5" i="18"/>
  <c r="BA5" i="18"/>
  <c r="BD5" i="18"/>
  <c r="BG5" i="18"/>
  <c r="BJ5" i="18"/>
  <c r="BM5" i="18"/>
  <c r="BS5" i="18"/>
  <c r="BV5" i="18"/>
  <c r="BY5" i="18"/>
  <c r="CB5" i="18"/>
  <c r="CE5" i="18"/>
  <c r="CH5" i="18"/>
  <c r="CK5" i="18"/>
  <c r="CQ5" i="18"/>
  <c r="CW5" i="18"/>
  <c r="CZ5" i="18"/>
  <c r="DC5" i="18"/>
  <c r="DF5" i="18"/>
  <c r="DI5" i="18"/>
  <c r="DL5" i="18"/>
  <c r="CR5" i="18"/>
  <c r="CS5" i="18"/>
  <c r="DO5" i="18"/>
  <c r="E6" i="18"/>
  <c r="H6" i="18"/>
  <c r="K6" i="18"/>
  <c r="N6" i="18"/>
  <c r="Q6" i="18"/>
  <c r="T6" i="18"/>
  <c r="W6" i="18"/>
  <c r="Z6" i="18"/>
  <c r="AC6" i="18"/>
  <c r="AF6" i="18"/>
  <c r="AI6" i="18"/>
  <c r="AL6" i="18"/>
  <c r="AO6" i="18"/>
  <c r="AP6" i="18"/>
  <c r="AQ6" i="18"/>
  <c r="AU6" i="18"/>
  <c r="AX6" i="18"/>
  <c r="BA6" i="18"/>
  <c r="BD6" i="18"/>
  <c r="BG6" i="18"/>
  <c r="BJ6" i="18"/>
  <c r="BM6" i="18"/>
  <c r="BO6" i="18"/>
  <c r="BS6" i="18"/>
  <c r="BV6" i="18"/>
  <c r="BY6" i="18"/>
  <c r="CB6" i="18"/>
  <c r="CE6" i="18"/>
  <c r="CH6" i="18"/>
  <c r="CK6" i="18"/>
  <c r="CL6" i="18"/>
  <c r="CQ6" i="18"/>
  <c r="CW6" i="18"/>
  <c r="CZ6" i="18"/>
  <c r="DC6" i="18"/>
  <c r="DF6" i="18"/>
  <c r="DI6" i="18"/>
  <c r="DL6" i="18"/>
  <c r="CR6" i="18"/>
  <c r="CS6" i="18"/>
  <c r="DO6" i="18"/>
  <c r="E7" i="18"/>
  <c r="H7" i="18"/>
  <c r="K7" i="18"/>
  <c r="N7" i="18"/>
  <c r="Q7" i="18"/>
  <c r="T7" i="18"/>
  <c r="W7" i="18"/>
  <c r="Z7" i="18"/>
  <c r="AC7" i="18"/>
  <c r="AF7" i="18"/>
  <c r="AI7" i="18"/>
  <c r="AL7" i="18"/>
  <c r="AO7" i="18"/>
  <c r="AP7" i="18"/>
  <c r="AQ7" i="18"/>
  <c r="AU7" i="18"/>
  <c r="AX7" i="18"/>
  <c r="BA7" i="18"/>
  <c r="BD7" i="18"/>
  <c r="BJ7" i="18"/>
  <c r="BM7" i="18"/>
  <c r="BO7" i="18"/>
  <c r="BS7" i="18"/>
  <c r="BV7" i="18"/>
  <c r="BY7" i="18"/>
  <c r="CB7" i="18"/>
  <c r="CE7" i="18"/>
  <c r="CH7" i="18"/>
  <c r="CK7" i="18"/>
  <c r="CM7" i="18"/>
  <c r="CQ7" i="18"/>
  <c r="CW7" i="18"/>
  <c r="CZ7" i="18"/>
  <c r="DC7" i="18"/>
  <c r="DF7" i="18"/>
  <c r="DI7" i="18"/>
  <c r="DL7" i="18"/>
  <c r="CR7" i="18"/>
  <c r="CS7" i="18"/>
  <c r="DO7" i="18"/>
  <c r="E8" i="18"/>
  <c r="H8" i="18"/>
  <c r="K8" i="18"/>
  <c r="N8" i="18"/>
  <c r="Q8" i="18"/>
  <c r="T8" i="18"/>
  <c r="W8" i="18"/>
  <c r="Z8" i="18"/>
  <c r="AC8" i="18"/>
  <c r="AF8" i="18"/>
  <c r="AI8" i="18"/>
  <c r="AL8" i="18"/>
  <c r="AO8" i="18"/>
  <c r="AU8" i="18"/>
  <c r="AX8" i="18"/>
  <c r="BA8" i="18"/>
  <c r="BD8" i="18"/>
  <c r="BG8" i="18"/>
  <c r="BJ8" i="18"/>
  <c r="BM8" i="18"/>
  <c r="BS8" i="18"/>
  <c r="BV8" i="18"/>
  <c r="BY8" i="18"/>
  <c r="CB8" i="18"/>
  <c r="CE8" i="18"/>
  <c r="CH8" i="18"/>
  <c r="CK8" i="18"/>
  <c r="CQ8" i="18"/>
  <c r="CW8" i="18"/>
  <c r="CZ8" i="18"/>
  <c r="DC8" i="18"/>
  <c r="DF8" i="18"/>
  <c r="DI8" i="18"/>
  <c r="DL8" i="18"/>
  <c r="CR8" i="18"/>
  <c r="DS8" i="18" s="1"/>
  <c r="CS8" i="18"/>
  <c r="DO8" i="18"/>
  <c r="E9" i="18"/>
  <c r="H9" i="18"/>
  <c r="K9" i="18"/>
  <c r="N9" i="18"/>
  <c r="Q9" i="18"/>
  <c r="T9" i="18"/>
  <c r="W9" i="18"/>
  <c r="Z9" i="18"/>
  <c r="AC9" i="18"/>
  <c r="AF9" i="18"/>
  <c r="AI9" i="18"/>
  <c r="AL9" i="18"/>
  <c r="AO9" i="18"/>
  <c r="AP9" i="18"/>
  <c r="AU9" i="18"/>
  <c r="AX9" i="18"/>
  <c r="BA9" i="18"/>
  <c r="BD9" i="18"/>
  <c r="BG9" i="18"/>
  <c r="BJ9" i="18"/>
  <c r="BM9" i="18"/>
  <c r="BS9" i="18"/>
  <c r="BV9" i="18"/>
  <c r="BY9" i="18"/>
  <c r="CB9" i="18"/>
  <c r="CE9" i="18"/>
  <c r="CH9" i="18"/>
  <c r="CK9" i="18"/>
  <c r="CQ9" i="18"/>
  <c r="CW9" i="18"/>
  <c r="CZ9" i="18"/>
  <c r="DC9" i="18"/>
  <c r="DF9" i="18"/>
  <c r="DI9" i="18"/>
  <c r="DL9" i="18"/>
  <c r="CR9" i="18"/>
  <c r="CS9" i="18"/>
  <c r="DO9" i="18"/>
  <c r="E10" i="18"/>
  <c r="H10" i="18"/>
  <c r="K10" i="18"/>
  <c r="N10" i="18"/>
  <c r="Q10" i="18"/>
  <c r="T10" i="18"/>
  <c r="W10" i="18"/>
  <c r="Z10" i="18"/>
  <c r="AC10" i="18"/>
  <c r="AF10" i="18"/>
  <c r="AI10" i="18"/>
  <c r="AL10" i="18"/>
  <c r="AO10" i="18"/>
  <c r="AP10" i="18"/>
  <c r="AQ10" i="18"/>
  <c r="AU10" i="18"/>
  <c r="AX10" i="18"/>
  <c r="BA10" i="18"/>
  <c r="BD10" i="18"/>
  <c r="BG10" i="18"/>
  <c r="BJ10" i="18"/>
  <c r="BM10" i="18"/>
  <c r="BS10" i="18"/>
  <c r="BV10" i="18"/>
  <c r="BY10" i="18"/>
  <c r="CB10" i="18"/>
  <c r="CE10" i="18"/>
  <c r="CH10" i="18"/>
  <c r="CK10" i="18"/>
  <c r="CL10" i="18"/>
  <c r="CM10" i="18"/>
  <c r="CQ10" i="18"/>
  <c r="CW10" i="18"/>
  <c r="CZ10" i="18"/>
  <c r="DC10" i="18"/>
  <c r="DF10" i="18"/>
  <c r="DI10" i="18"/>
  <c r="DL10" i="18"/>
  <c r="CR10" i="18"/>
  <c r="CS10" i="18"/>
  <c r="DO10" i="18"/>
  <c r="E11" i="18"/>
  <c r="H11" i="18"/>
  <c r="K11" i="18"/>
  <c r="N11" i="18"/>
  <c r="Q11" i="18"/>
  <c r="T11" i="18"/>
  <c r="W11" i="18"/>
  <c r="Z11" i="18"/>
  <c r="AC11" i="18"/>
  <c r="AF11" i="18"/>
  <c r="AI11" i="18"/>
  <c r="AL11" i="18"/>
  <c r="AO11" i="18"/>
  <c r="AU11" i="18"/>
  <c r="AX11" i="18"/>
  <c r="BA11" i="18"/>
  <c r="BD11" i="18"/>
  <c r="BG11" i="18"/>
  <c r="BJ11" i="18"/>
  <c r="BM11" i="18"/>
  <c r="BS11" i="18"/>
  <c r="BV11" i="18"/>
  <c r="BY11" i="18"/>
  <c r="CB11" i="18"/>
  <c r="CE11" i="18"/>
  <c r="CH11" i="18"/>
  <c r="CK11" i="18"/>
  <c r="CL11" i="18"/>
  <c r="CQ11" i="18"/>
  <c r="CW11" i="18"/>
  <c r="CZ11" i="18"/>
  <c r="DC11" i="18"/>
  <c r="DF11" i="18"/>
  <c r="DI11" i="18"/>
  <c r="DL11" i="18"/>
  <c r="CR11" i="18"/>
  <c r="CS11" i="18"/>
  <c r="DO11" i="18"/>
  <c r="E12" i="18"/>
  <c r="H12" i="18"/>
  <c r="K12" i="18"/>
  <c r="N12" i="18"/>
  <c r="Q12" i="18"/>
  <c r="T12" i="18"/>
  <c r="W12" i="18"/>
  <c r="Z12" i="18"/>
  <c r="AC12" i="18"/>
  <c r="AF12" i="18"/>
  <c r="AI12" i="18"/>
  <c r="AL12" i="18"/>
  <c r="AO12" i="18"/>
  <c r="AP12" i="18"/>
  <c r="AU12" i="18"/>
  <c r="AX12" i="18"/>
  <c r="BA12" i="18"/>
  <c r="BD12" i="18"/>
  <c r="BG12" i="18"/>
  <c r="BJ12" i="18"/>
  <c r="BM12" i="18"/>
  <c r="BS12" i="18"/>
  <c r="BV12" i="18"/>
  <c r="BY12" i="18"/>
  <c r="CB12" i="18"/>
  <c r="CE12" i="18"/>
  <c r="CH12" i="18"/>
  <c r="CK12" i="18"/>
  <c r="CL12" i="18"/>
  <c r="CQ12" i="18"/>
  <c r="CW12" i="18"/>
  <c r="CZ12" i="18"/>
  <c r="DC12" i="18"/>
  <c r="DF12" i="18"/>
  <c r="DI12" i="18"/>
  <c r="DL12" i="18"/>
  <c r="CR12" i="18"/>
  <c r="CS12" i="18"/>
  <c r="DO12" i="18"/>
  <c r="E13" i="18"/>
  <c r="H13" i="18"/>
  <c r="K13" i="18"/>
  <c r="N13" i="18"/>
  <c r="Q13" i="18"/>
  <c r="T13" i="18"/>
  <c r="W13" i="18"/>
  <c r="Z13" i="18"/>
  <c r="AC13" i="18"/>
  <c r="AF13" i="18"/>
  <c r="AI13" i="18"/>
  <c r="AL13" i="18"/>
  <c r="AO13" i="18"/>
  <c r="AU13" i="18"/>
  <c r="AX13" i="18"/>
  <c r="BA13" i="18"/>
  <c r="BD13" i="18"/>
  <c r="BG13" i="18"/>
  <c r="BJ13" i="18"/>
  <c r="BM13" i="18"/>
  <c r="BS13" i="18"/>
  <c r="BV13" i="18"/>
  <c r="BY13" i="18"/>
  <c r="CB13" i="18"/>
  <c r="CE13" i="18"/>
  <c r="CH13" i="18"/>
  <c r="CK13" i="18"/>
  <c r="CQ13" i="18"/>
  <c r="CW13" i="18"/>
  <c r="CZ13" i="18"/>
  <c r="DC13" i="18"/>
  <c r="DF13" i="18"/>
  <c r="DI13" i="18"/>
  <c r="DL13" i="18"/>
  <c r="CR13" i="18"/>
  <c r="CS13" i="18"/>
  <c r="DO13" i="18"/>
  <c r="E15" i="18"/>
  <c r="H15" i="18"/>
  <c r="K15" i="18"/>
  <c r="N15" i="18"/>
  <c r="Q15" i="18"/>
  <c r="T15" i="18"/>
  <c r="W15" i="18"/>
  <c r="Z15" i="18"/>
  <c r="AC15" i="18"/>
  <c r="AF15" i="18"/>
  <c r="AI15" i="18"/>
  <c r="AL15" i="18"/>
  <c r="AO15" i="18"/>
  <c r="AU15" i="18"/>
  <c r="AX15" i="18"/>
  <c r="BA15" i="18"/>
  <c r="BD15" i="18"/>
  <c r="BG15" i="18"/>
  <c r="BJ15" i="18"/>
  <c r="BM15" i="18"/>
  <c r="BS15" i="18"/>
  <c r="BV15" i="18"/>
  <c r="BY15" i="18"/>
  <c r="CB15" i="18"/>
  <c r="CE15" i="18"/>
  <c r="CH15" i="18"/>
  <c r="CK15" i="18"/>
  <c r="CL15" i="18"/>
  <c r="CM15" i="18"/>
  <c r="CQ15" i="18"/>
  <c r="CW15" i="18"/>
  <c r="CZ15" i="18"/>
  <c r="DC15" i="18"/>
  <c r="DF15" i="18"/>
  <c r="DI15" i="18"/>
  <c r="DL15" i="18"/>
  <c r="CR15" i="18"/>
  <c r="CS15" i="18"/>
  <c r="DO15" i="18"/>
  <c r="E16" i="18"/>
  <c r="H16" i="18"/>
  <c r="K16" i="18"/>
  <c r="N16" i="18"/>
  <c r="Q16" i="18"/>
  <c r="T16" i="18"/>
  <c r="W16" i="18"/>
  <c r="Z16" i="18"/>
  <c r="AC16" i="18"/>
  <c r="AF16" i="18"/>
  <c r="AI16" i="18"/>
  <c r="AL16" i="18"/>
  <c r="AO16" i="18"/>
  <c r="AP16" i="18"/>
  <c r="AQ16" i="18"/>
  <c r="AU16" i="18"/>
  <c r="AX16" i="18"/>
  <c r="BA16" i="18"/>
  <c r="BD16" i="18"/>
  <c r="BG16" i="18"/>
  <c r="BJ16" i="18"/>
  <c r="BM16" i="18"/>
  <c r="BO16" i="18"/>
  <c r="BS16" i="18"/>
  <c r="BV16" i="18"/>
  <c r="BY16" i="18"/>
  <c r="CB16" i="18"/>
  <c r="CE16" i="18"/>
  <c r="CH16" i="18"/>
  <c r="CK16" i="18"/>
  <c r="CQ16" i="18"/>
  <c r="CW16" i="18"/>
  <c r="CZ16" i="18"/>
  <c r="DC16" i="18"/>
  <c r="DF16" i="18"/>
  <c r="DI16" i="18"/>
  <c r="DL16" i="18"/>
  <c r="CR16" i="18"/>
  <c r="CS16" i="18"/>
  <c r="E17" i="18"/>
  <c r="H17" i="18"/>
  <c r="K17" i="18"/>
  <c r="N17" i="18"/>
  <c r="Q17" i="18"/>
  <c r="T17" i="18"/>
  <c r="W17" i="18"/>
  <c r="Z17" i="18"/>
  <c r="AC17" i="18"/>
  <c r="AF17" i="18"/>
  <c r="AI17" i="18"/>
  <c r="AL17" i="18"/>
  <c r="AO17" i="18"/>
  <c r="AP17" i="18"/>
  <c r="AU17" i="18"/>
  <c r="AX17" i="18"/>
  <c r="BA17" i="18"/>
  <c r="BD17" i="18"/>
  <c r="BG17" i="18"/>
  <c r="BJ17" i="18"/>
  <c r="BM17" i="18"/>
  <c r="BN17" i="18"/>
  <c r="BS17" i="18"/>
  <c r="BV17" i="18"/>
  <c r="BY17" i="18"/>
  <c r="CB17" i="18"/>
  <c r="CE17" i="18"/>
  <c r="CH17" i="18"/>
  <c r="CK17" i="18"/>
  <c r="CL17" i="18"/>
  <c r="CQ17" i="18"/>
  <c r="CW17" i="18"/>
  <c r="CZ17" i="18"/>
  <c r="DC17" i="18"/>
  <c r="DF17" i="18"/>
  <c r="DI17" i="18"/>
  <c r="DL17" i="18"/>
  <c r="CR17" i="18"/>
  <c r="CS17" i="18"/>
  <c r="DO17" i="18"/>
  <c r="E18" i="18"/>
  <c r="H18" i="18"/>
  <c r="K18" i="18"/>
  <c r="N18" i="18"/>
  <c r="Q18" i="18"/>
  <c r="T18" i="18"/>
  <c r="W18" i="18"/>
  <c r="Z18" i="18"/>
  <c r="AC18" i="18"/>
  <c r="AF18" i="18"/>
  <c r="AI18" i="18"/>
  <c r="AL18" i="18"/>
  <c r="AO18" i="18"/>
  <c r="AP18" i="18"/>
  <c r="AU18" i="18"/>
  <c r="AX18" i="18"/>
  <c r="BA18" i="18"/>
  <c r="BD18" i="18"/>
  <c r="BG18" i="18"/>
  <c r="BJ18" i="18"/>
  <c r="BM18" i="18"/>
  <c r="BN18" i="18"/>
  <c r="BS18" i="18"/>
  <c r="BV18" i="18"/>
  <c r="BY18" i="18"/>
  <c r="CB18" i="18"/>
  <c r="CE18" i="18"/>
  <c r="CH18" i="18"/>
  <c r="CK18" i="18"/>
  <c r="CL18" i="18"/>
  <c r="CM18" i="18"/>
  <c r="CQ18" i="18"/>
  <c r="CW18" i="18"/>
  <c r="CZ18" i="18"/>
  <c r="DC18" i="18"/>
  <c r="DF18" i="18"/>
  <c r="DI18" i="18"/>
  <c r="DL18" i="18"/>
  <c r="CR18" i="18"/>
  <c r="CS18" i="18"/>
  <c r="DO18" i="18"/>
  <c r="E19" i="18"/>
  <c r="H19" i="18"/>
  <c r="K19" i="18"/>
  <c r="N19" i="18"/>
  <c r="Q19" i="18"/>
  <c r="T19" i="18"/>
  <c r="W19" i="18"/>
  <c r="Z19" i="18"/>
  <c r="AC19" i="18"/>
  <c r="AF19" i="18"/>
  <c r="AI19" i="18"/>
  <c r="AL19" i="18"/>
  <c r="AO19" i="18"/>
  <c r="AP19" i="18"/>
  <c r="AQ19" i="18"/>
  <c r="AU19" i="18"/>
  <c r="AX19" i="18"/>
  <c r="BA19" i="18"/>
  <c r="BD19" i="18"/>
  <c r="BG19" i="18"/>
  <c r="BJ19" i="18"/>
  <c r="BM19" i="18"/>
  <c r="BN19" i="18"/>
  <c r="BO19" i="18"/>
  <c r="BS19" i="18"/>
  <c r="BV19" i="18"/>
  <c r="BY19" i="18"/>
  <c r="CB19" i="18"/>
  <c r="CE19" i="18"/>
  <c r="CH19" i="18"/>
  <c r="CK19" i="18"/>
  <c r="CL19" i="18"/>
  <c r="CM19" i="18"/>
  <c r="CQ19" i="18"/>
  <c r="CW19" i="18"/>
  <c r="CZ19" i="18"/>
  <c r="DC19" i="18"/>
  <c r="DF19" i="18"/>
  <c r="DI19" i="18"/>
  <c r="DL19" i="18"/>
  <c r="CR19" i="18"/>
  <c r="CS19" i="18"/>
  <c r="DO19" i="18"/>
  <c r="E21" i="18"/>
  <c r="H21" i="18"/>
  <c r="K21" i="18"/>
  <c r="N21" i="18"/>
  <c r="Q21" i="18"/>
  <c r="T21" i="18"/>
  <c r="W21" i="18"/>
  <c r="Z21" i="18"/>
  <c r="AC21" i="18"/>
  <c r="AF21" i="18"/>
  <c r="AI21" i="18"/>
  <c r="AL21" i="18"/>
  <c r="AO21" i="18"/>
  <c r="AP21" i="18"/>
  <c r="AQ21" i="18"/>
  <c r="AU21" i="18"/>
  <c r="AX21" i="18"/>
  <c r="BA21" i="18"/>
  <c r="BD21" i="18"/>
  <c r="BG21" i="18"/>
  <c r="BJ21" i="18"/>
  <c r="BM21" i="18"/>
  <c r="BN21" i="18"/>
  <c r="BS21" i="18"/>
  <c r="BV21" i="18"/>
  <c r="BY21" i="18"/>
  <c r="CB21" i="18"/>
  <c r="CE21" i="18"/>
  <c r="CH21" i="18"/>
  <c r="CK21" i="18"/>
  <c r="CL21" i="18"/>
  <c r="CQ21" i="18"/>
  <c r="CW21" i="18"/>
  <c r="CZ21" i="18"/>
  <c r="DC21" i="18"/>
  <c r="DF21" i="18"/>
  <c r="DI21" i="18"/>
  <c r="DL21" i="18"/>
  <c r="CR21" i="18"/>
  <c r="CS21" i="18"/>
  <c r="DO21" i="18"/>
  <c r="E22" i="18"/>
  <c r="H22" i="18"/>
  <c r="K22" i="18"/>
  <c r="N22" i="18"/>
  <c r="Q22" i="18"/>
  <c r="T22" i="18"/>
  <c r="W22" i="18"/>
  <c r="Z22" i="18"/>
  <c r="AC22" i="18"/>
  <c r="AF22" i="18"/>
  <c r="AI22" i="18"/>
  <c r="AL22" i="18"/>
  <c r="AO22" i="18"/>
  <c r="AP22" i="18"/>
  <c r="AU22" i="18"/>
  <c r="AX22" i="18"/>
  <c r="BA22" i="18"/>
  <c r="BD22" i="18"/>
  <c r="BG22" i="18"/>
  <c r="BJ22" i="18"/>
  <c r="BM22" i="18"/>
  <c r="BN22" i="18"/>
  <c r="BS22" i="18"/>
  <c r="BV22" i="18"/>
  <c r="BY22" i="18"/>
  <c r="CB22" i="18"/>
  <c r="CE22" i="18"/>
  <c r="CH22" i="18"/>
  <c r="CK22" i="18"/>
  <c r="CL22" i="18"/>
  <c r="CQ22" i="18"/>
  <c r="CW22" i="18"/>
  <c r="CZ22" i="18"/>
  <c r="DC22" i="18"/>
  <c r="DF22" i="18"/>
  <c r="DI22" i="18"/>
  <c r="DL22" i="18"/>
  <c r="CR22" i="18"/>
  <c r="CS22" i="18"/>
  <c r="DO22" i="18"/>
  <c r="E23" i="18"/>
  <c r="H23" i="18"/>
  <c r="K23" i="18"/>
  <c r="N23" i="18"/>
  <c r="Q23" i="18"/>
  <c r="T23" i="18"/>
  <c r="W23" i="18"/>
  <c r="Z23" i="18"/>
  <c r="AC23" i="18"/>
  <c r="AF23" i="18"/>
  <c r="AI23" i="18"/>
  <c r="AL23" i="18"/>
  <c r="AO23" i="18"/>
  <c r="AP23" i="18"/>
  <c r="AQ23" i="18"/>
  <c r="AU23" i="18"/>
  <c r="AX23" i="18"/>
  <c r="BA23" i="18"/>
  <c r="BD23" i="18"/>
  <c r="BG23" i="18"/>
  <c r="BJ23" i="18"/>
  <c r="BM23" i="18"/>
  <c r="BN23" i="18"/>
  <c r="BS23" i="18"/>
  <c r="BV23" i="18"/>
  <c r="BY23" i="18"/>
  <c r="CB23" i="18"/>
  <c r="CE23" i="18"/>
  <c r="CH23" i="18"/>
  <c r="CK23" i="18"/>
  <c r="CL23" i="18"/>
  <c r="CQ23" i="18"/>
  <c r="CW23" i="18"/>
  <c r="CZ23" i="18"/>
  <c r="DC23" i="18"/>
  <c r="DF23" i="18"/>
  <c r="DI23" i="18"/>
  <c r="DL23" i="18"/>
  <c r="CR23" i="18"/>
  <c r="CS23" i="18"/>
  <c r="DO23" i="18"/>
  <c r="E24" i="18"/>
  <c r="H24" i="18"/>
  <c r="K24" i="18"/>
  <c r="N24" i="18"/>
  <c r="Q24" i="18"/>
  <c r="T24" i="18"/>
  <c r="W24" i="18"/>
  <c r="Z24" i="18"/>
  <c r="AC24" i="18"/>
  <c r="AF24" i="18"/>
  <c r="AI24" i="18"/>
  <c r="AL24" i="18"/>
  <c r="AO24" i="18"/>
  <c r="AP24" i="18"/>
  <c r="AQ24" i="18"/>
  <c r="AU24" i="18"/>
  <c r="AX24" i="18"/>
  <c r="BA24" i="18"/>
  <c r="BD24" i="18"/>
  <c r="BG24" i="18"/>
  <c r="BJ24" i="18"/>
  <c r="BM24" i="18"/>
  <c r="BN24" i="18"/>
  <c r="BO24" i="18"/>
  <c r="BS24" i="18"/>
  <c r="BV24" i="18"/>
  <c r="BY24" i="18"/>
  <c r="CB24" i="18"/>
  <c r="CE24" i="18"/>
  <c r="CH24" i="18"/>
  <c r="CK24" i="18"/>
  <c r="CL24" i="18"/>
  <c r="CM24" i="18"/>
  <c r="CQ24" i="18"/>
  <c r="CW24" i="18"/>
  <c r="CZ24" i="18"/>
  <c r="DC24" i="18"/>
  <c r="DF24" i="18"/>
  <c r="DI24" i="18"/>
  <c r="DL24" i="18"/>
  <c r="CR24" i="18"/>
  <c r="CS24" i="18"/>
  <c r="DO24" i="18"/>
  <c r="E25" i="18"/>
  <c r="H25" i="18"/>
  <c r="K25" i="18"/>
  <c r="N25" i="18"/>
  <c r="Q25" i="18"/>
  <c r="T25" i="18"/>
  <c r="W25" i="18"/>
  <c r="Z25" i="18"/>
  <c r="AC25" i="18"/>
  <c r="AF25" i="18"/>
  <c r="AI25" i="18"/>
  <c r="AL25" i="18"/>
  <c r="AO25" i="18"/>
  <c r="AP25" i="18"/>
  <c r="AU25" i="18"/>
  <c r="AX25" i="18"/>
  <c r="BA25" i="18"/>
  <c r="BD25" i="18"/>
  <c r="BG25" i="18"/>
  <c r="BJ25" i="18"/>
  <c r="BM25" i="18"/>
  <c r="BN25" i="18"/>
  <c r="BS25" i="18"/>
  <c r="BV25" i="18"/>
  <c r="BY25" i="18"/>
  <c r="CB25" i="18"/>
  <c r="CE25" i="18"/>
  <c r="CH25" i="18"/>
  <c r="CK25" i="18"/>
  <c r="CL25" i="18"/>
  <c r="CQ25" i="18"/>
  <c r="CW25" i="18"/>
  <c r="CZ25" i="18"/>
  <c r="DC25" i="18"/>
  <c r="DF25" i="18"/>
  <c r="DI25" i="18"/>
  <c r="DL25" i="18"/>
  <c r="CR25" i="18"/>
  <c r="CS25" i="18"/>
  <c r="DO25" i="18"/>
  <c r="E26" i="18"/>
  <c r="H26" i="18"/>
  <c r="K26" i="18"/>
  <c r="N26" i="18"/>
  <c r="Q26" i="18"/>
  <c r="T26" i="18"/>
  <c r="W26" i="18"/>
  <c r="Z26" i="18"/>
  <c r="AC26" i="18"/>
  <c r="AF26" i="18"/>
  <c r="AI26" i="18"/>
  <c r="AL26" i="18"/>
  <c r="AO26" i="18"/>
  <c r="AP26" i="18"/>
  <c r="AQ26" i="18"/>
  <c r="AU26" i="18"/>
  <c r="AX26" i="18"/>
  <c r="BA26" i="18"/>
  <c r="BD26" i="18"/>
  <c r="BG26" i="18"/>
  <c r="BJ26" i="18"/>
  <c r="BM26" i="18"/>
  <c r="BN26" i="18"/>
  <c r="BO26" i="18"/>
  <c r="BS26" i="18"/>
  <c r="BV26" i="18"/>
  <c r="BY26" i="18"/>
  <c r="CB26" i="18"/>
  <c r="CE26" i="18"/>
  <c r="CH26" i="18"/>
  <c r="CK26" i="18"/>
  <c r="CL26" i="18"/>
  <c r="CM26" i="18"/>
  <c r="CQ26" i="18"/>
  <c r="CW26" i="18"/>
  <c r="CZ26" i="18"/>
  <c r="DC26" i="18"/>
  <c r="DF26" i="18"/>
  <c r="DI26" i="18"/>
  <c r="DL26" i="18"/>
  <c r="CR26" i="18"/>
  <c r="CS26" i="18"/>
  <c r="DO26" i="18"/>
  <c r="E27" i="18"/>
  <c r="H27" i="18"/>
  <c r="K27" i="18"/>
  <c r="N27" i="18"/>
  <c r="Q27" i="18"/>
  <c r="T27" i="18"/>
  <c r="W27" i="18"/>
  <c r="Z27" i="18"/>
  <c r="AC27" i="18"/>
  <c r="AF27" i="18"/>
  <c r="AI27" i="18"/>
  <c r="AL27" i="18"/>
  <c r="AO27" i="18"/>
  <c r="AP27" i="18"/>
  <c r="AQ27" i="18"/>
  <c r="AU27" i="18"/>
  <c r="AX27" i="18"/>
  <c r="BA27" i="18"/>
  <c r="BD27" i="18"/>
  <c r="BG27" i="18"/>
  <c r="BJ27" i="18"/>
  <c r="BM27" i="18"/>
  <c r="BN27" i="18"/>
  <c r="BO27" i="18"/>
  <c r="BS27" i="18"/>
  <c r="BV27" i="18"/>
  <c r="BY27" i="18"/>
  <c r="CB27" i="18"/>
  <c r="CE27" i="18"/>
  <c r="CH27" i="18"/>
  <c r="CK27" i="18"/>
  <c r="CL27" i="18"/>
  <c r="CM27" i="18"/>
  <c r="CQ27" i="18"/>
  <c r="CW27" i="18"/>
  <c r="CZ27" i="18"/>
  <c r="DC27" i="18"/>
  <c r="DF27" i="18"/>
  <c r="DI27" i="18"/>
  <c r="DL27" i="18"/>
  <c r="CR27" i="18"/>
  <c r="CS27" i="18"/>
  <c r="DO27" i="18"/>
  <c r="N28" i="17"/>
  <c r="Q26" i="17"/>
  <c r="T26" i="17"/>
  <c r="Z26" i="17"/>
  <c r="AC26" i="17"/>
  <c r="AF26" i="17"/>
  <c r="AI26" i="17"/>
  <c r="AL26" i="17"/>
  <c r="AO26" i="17"/>
  <c r="AR26" i="17"/>
  <c r="AS26" i="17"/>
  <c r="AT26" i="17"/>
  <c r="AX26" i="17"/>
  <c r="BA26" i="17"/>
  <c r="BD26" i="17"/>
  <c r="BG26" i="17"/>
  <c r="BJ26" i="17"/>
  <c r="BM26" i="17"/>
  <c r="BP26" i="17"/>
  <c r="BQ26" i="17"/>
  <c r="BR26" i="17"/>
  <c r="BV26" i="17"/>
  <c r="BY26" i="17"/>
  <c r="CB26" i="17"/>
  <c r="CE26" i="17"/>
  <c r="CH26" i="17"/>
  <c r="CK26" i="17"/>
  <c r="CN26" i="17"/>
  <c r="CO26" i="17"/>
  <c r="CP26" i="17"/>
  <c r="CT26" i="17"/>
  <c r="CW26" i="17"/>
  <c r="CZ26" i="17"/>
  <c r="DC26" i="17"/>
  <c r="DF26" i="17"/>
  <c r="DI26" i="17"/>
  <c r="DL26" i="17"/>
  <c r="DM26" i="17"/>
  <c r="DN26" i="17"/>
  <c r="Q27" i="17"/>
  <c r="T27" i="17"/>
  <c r="Z27" i="17"/>
  <c r="AC27" i="17"/>
  <c r="AF27" i="17"/>
  <c r="AI27" i="17"/>
  <c r="AL27" i="17"/>
  <c r="AO27" i="17"/>
  <c r="AR27" i="17"/>
  <c r="AS27" i="17"/>
  <c r="AT27" i="17"/>
  <c r="AX27" i="17"/>
  <c r="BA27" i="17"/>
  <c r="BD27" i="17"/>
  <c r="BG27" i="17"/>
  <c r="BJ27" i="17"/>
  <c r="BM27" i="17"/>
  <c r="BP27" i="17"/>
  <c r="BQ27" i="17"/>
  <c r="BR27" i="17"/>
  <c r="BV27" i="17"/>
  <c r="BY27" i="17"/>
  <c r="CB27" i="17"/>
  <c r="CE27" i="17"/>
  <c r="CH27" i="17"/>
  <c r="CK27" i="17"/>
  <c r="CN27" i="17"/>
  <c r="CO27" i="17"/>
  <c r="CP27" i="17"/>
  <c r="CT27" i="17"/>
  <c r="CW27" i="17"/>
  <c r="CZ27" i="17"/>
  <c r="DC27" i="17"/>
  <c r="DF27" i="17"/>
  <c r="DI27" i="17"/>
  <c r="DL27" i="17"/>
  <c r="DM27" i="17"/>
  <c r="DN27" i="17"/>
  <c r="Q28" i="17"/>
  <c r="T28" i="17"/>
  <c r="Z28" i="17"/>
  <c r="AC28" i="17"/>
  <c r="AF28" i="17"/>
  <c r="AI28" i="17"/>
  <c r="AL28" i="17"/>
  <c r="AO28" i="17"/>
  <c r="AR28" i="17"/>
  <c r="AS28" i="17"/>
  <c r="AT28" i="17"/>
  <c r="AX28" i="17"/>
  <c r="BA28" i="17"/>
  <c r="BD28" i="17"/>
  <c r="BG28" i="17"/>
  <c r="BJ28" i="17"/>
  <c r="BM28" i="17"/>
  <c r="BP28" i="17"/>
  <c r="BQ28" i="17"/>
  <c r="BR28" i="17"/>
  <c r="BV28" i="17"/>
  <c r="BY28" i="17"/>
  <c r="CB28" i="17"/>
  <c r="CE28" i="17"/>
  <c r="CH28" i="17"/>
  <c r="CK28" i="17"/>
  <c r="CN28" i="17"/>
  <c r="CO28" i="17"/>
  <c r="CP28" i="17"/>
  <c r="CT28" i="17"/>
  <c r="CW28" i="17"/>
  <c r="CZ28" i="17"/>
  <c r="DC28" i="17"/>
  <c r="DF28" i="17"/>
  <c r="DI28" i="17"/>
  <c r="DL28" i="17"/>
  <c r="DM28" i="17"/>
  <c r="DN28" i="17"/>
  <c r="N26" i="17"/>
  <c r="N27" i="17"/>
  <c r="CO16" i="17"/>
  <c r="AS24" i="17"/>
  <c r="DL24" i="17"/>
  <c r="AL23" i="17"/>
  <c r="AO23" i="17"/>
  <c r="AR23" i="17"/>
  <c r="AS23" i="17"/>
  <c r="AX23" i="17"/>
  <c r="BA23" i="17"/>
  <c r="BD23" i="17"/>
  <c r="BG23" i="17"/>
  <c r="BJ23" i="17"/>
  <c r="BM23" i="17"/>
  <c r="BP23" i="17"/>
  <c r="BQ23" i="17"/>
  <c r="BR23" i="17"/>
  <c r="BV23" i="17"/>
  <c r="BY23" i="17"/>
  <c r="CB23" i="17"/>
  <c r="CE23" i="17"/>
  <c r="CH23" i="17"/>
  <c r="CK23" i="17"/>
  <c r="CN23" i="17"/>
  <c r="CO23" i="17"/>
  <c r="CP23" i="17"/>
  <c r="CT23" i="17"/>
  <c r="CW23" i="17"/>
  <c r="CZ23" i="17"/>
  <c r="DC23" i="17"/>
  <c r="DF23" i="17"/>
  <c r="DI23" i="17"/>
  <c r="DL23" i="17"/>
  <c r="DM23" i="17"/>
  <c r="DN23" i="17"/>
  <c r="AI23" i="17"/>
  <c r="AF23" i="17"/>
  <c r="AC23" i="17"/>
  <c r="Z23" i="17"/>
  <c r="T23" i="17"/>
  <c r="Q23" i="17"/>
  <c r="N23" i="17"/>
  <c r="DP28" i="18" l="1"/>
  <c r="DS7" i="18"/>
  <c r="DS5" i="18"/>
  <c r="DP28" i="17"/>
  <c r="DP23" i="17"/>
  <c r="DQ28" i="17"/>
  <c r="DP26" i="17"/>
  <c r="DR4" i="18"/>
  <c r="CN4" i="18"/>
  <c r="DR27" i="18"/>
  <c r="DS19" i="18"/>
  <c r="DS9" i="18"/>
  <c r="DR11" i="18"/>
  <c r="DR10" i="18"/>
  <c r="BP6" i="18"/>
  <c r="CT26" i="18"/>
  <c r="DR23" i="18"/>
  <c r="DR15" i="18"/>
  <c r="DR13" i="18"/>
  <c r="DR26" i="18"/>
  <c r="DR25" i="18"/>
  <c r="DS24" i="18"/>
  <c r="DR22" i="18"/>
  <c r="DR21" i="18"/>
  <c r="DR19" i="18"/>
  <c r="DR18" i="18"/>
  <c r="DR6" i="18"/>
  <c r="DR24" i="18"/>
  <c r="CT25" i="18"/>
  <c r="DR16" i="18"/>
  <c r="DR7" i="18"/>
  <c r="CT6" i="18"/>
  <c r="CT22" i="18"/>
  <c r="CT21" i="18"/>
  <c r="CT18" i="18"/>
  <c r="DS17" i="18"/>
  <c r="CT13" i="18"/>
  <c r="DS11" i="18"/>
  <c r="CT10" i="18"/>
  <c r="DT27" i="18"/>
  <c r="BP26" i="18"/>
  <c r="AR23" i="18"/>
  <c r="AR16" i="18"/>
  <c r="DS12" i="18"/>
  <c r="DT4" i="18"/>
  <c r="AR4" i="18"/>
  <c r="CT24" i="18"/>
  <c r="CN24" i="18"/>
  <c r="DS10" i="18"/>
  <c r="CN7" i="18"/>
  <c r="BP7" i="18"/>
  <c r="AR7" i="18"/>
  <c r="AR6" i="18"/>
  <c r="CR28" i="18"/>
  <c r="CT4" i="18"/>
  <c r="CT27" i="18"/>
  <c r="DT26" i="18"/>
  <c r="DS22" i="18"/>
  <c r="DS21" i="18"/>
  <c r="CN19" i="18"/>
  <c r="BP19" i="18"/>
  <c r="AR19" i="18"/>
  <c r="CN18" i="18"/>
  <c r="DS15" i="18"/>
  <c r="DS13" i="18"/>
  <c r="CN10" i="18"/>
  <c r="AR10" i="18"/>
  <c r="CT8" i="18"/>
  <c r="DT7" i="18"/>
  <c r="DS18" i="18"/>
  <c r="CT15" i="18"/>
  <c r="DT13" i="18"/>
  <c r="DS27" i="18"/>
  <c r="DS26" i="18"/>
  <c r="DS25" i="18"/>
  <c r="BP24" i="18"/>
  <c r="DS23" i="18"/>
  <c r="CL28" i="18"/>
  <c r="AR21" i="18"/>
  <c r="DT19" i="18"/>
  <c r="CT17" i="18"/>
  <c r="DS16" i="18"/>
  <c r="BP16" i="18"/>
  <c r="CN15" i="18"/>
  <c r="CT9" i="18"/>
  <c r="CT7" i="18"/>
  <c r="CT5" i="18"/>
  <c r="CN27" i="18"/>
  <c r="BP27" i="18"/>
  <c r="AR27" i="18"/>
  <c r="CN26" i="18"/>
  <c r="AR26" i="18"/>
  <c r="DT24" i="18"/>
  <c r="AR24" i="18"/>
  <c r="CT23" i="18"/>
  <c r="CT19" i="18"/>
  <c r="DT18" i="18"/>
  <c r="CT16" i="18"/>
  <c r="DT15" i="18"/>
  <c r="CT12" i="18"/>
  <c r="CT11" i="18"/>
  <c r="DT10" i="18"/>
  <c r="DS6" i="18"/>
  <c r="DS4" i="18"/>
  <c r="BP4" i="18"/>
  <c r="BN28" i="18"/>
  <c r="AP28" i="18"/>
  <c r="DQ23" i="17"/>
  <c r="DP27" i="17"/>
  <c r="DQ27" i="17"/>
  <c r="DQ26" i="17"/>
  <c r="DO27" i="17"/>
  <c r="BS26" i="17"/>
  <c r="AU27" i="17"/>
  <c r="CQ26" i="17"/>
  <c r="BS27" i="17"/>
  <c r="DO26" i="17"/>
  <c r="CQ27" i="17"/>
  <c r="AU26" i="17"/>
  <c r="AU28" i="17"/>
  <c r="BS28" i="17"/>
  <c r="CQ28" i="17"/>
  <c r="DO28" i="17"/>
  <c r="DO23" i="17"/>
  <c r="BS23" i="17"/>
  <c r="CQ23" i="17"/>
  <c r="AU23" i="17"/>
  <c r="DM6" i="17"/>
  <c r="DM9" i="17"/>
  <c r="CE24" i="17"/>
  <c r="CH24" i="17"/>
  <c r="CH25" i="17"/>
  <c r="CK24" i="17"/>
  <c r="CK25" i="17"/>
  <c r="CN24" i="17"/>
  <c r="CP24" i="17"/>
  <c r="Q4" i="17"/>
  <c r="T4" i="17"/>
  <c r="Z4" i="17"/>
  <c r="AC4" i="17"/>
  <c r="AF4" i="17"/>
  <c r="AI4" i="17"/>
  <c r="AL4" i="17"/>
  <c r="AO4" i="17"/>
  <c r="AR4" i="17"/>
  <c r="AS4" i="17"/>
  <c r="AT4" i="17"/>
  <c r="AX4" i="17"/>
  <c r="BA4" i="17"/>
  <c r="BD4" i="17"/>
  <c r="BG4" i="17"/>
  <c r="BJ4" i="17"/>
  <c r="BM4" i="17"/>
  <c r="BP4" i="17"/>
  <c r="BQ4" i="17"/>
  <c r="BR4" i="17"/>
  <c r="BV4" i="17"/>
  <c r="BY4" i="17"/>
  <c r="CB4" i="17"/>
  <c r="CE4" i="17"/>
  <c r="CH4" i="17"/>
  <c r="CK4" i="17"/>
  <c r="CN4" i="17"/>
  <c r="CO4" i="17"/>
  <c r="CP4" i="17"/>
  <c r="CT4" i="17"/>
  <c r="CW4" i="17"/>
  <c r="CZ4" i="17"/>
  <c r="DC4" i="17"/>
  <c r="DF4" i="17"/>
  <c r="DI4" i="17"/>
  <c r="DL4" i="17"/>
  <c r="DM4" i="17"/>
  <c r="DN4" i="17"/>
  <c r="Q5" i="17"/>
  <c r="T5" i="17"/>
  <c r="Z5" i="17"/>
  <c r="AC5" i="17"/>
  <c r="AF5" i="17"/>
  <c r="AI5" i="17"/>
  <c r="AL5" i="17"/>
  <c r="AO5" i="17"/>
  <c r="AR5" i="17"/>
  <c r="AS5" i="17"/>
  <c r="AT5" i="17"/>
  <c r="AX5" i="17"/>
  <c r="BA5" i="17"/>
  <c r="BD5" i="17"/>
  <c r="BG5" i="17"/>
  <c r="BJ5" i="17"/>
  <c r="BM5" i="17"/>
  <c r="BP5" i="17"/>
  <c r="BQ5" i="17"/>
  <c r="BR5" i="17"/>
  <c r="BV5" i="17"/>
  <c r="BY5" i="17"/>
  <c r="CB5" i="17"/>
  <c r="CE5" i="17"/>
  <c r="CH5" i="17"/>
  <c r="CK5" i="17"/>
  <c r="CN5" i="17"/>
  <c r="CO5" i="17"/>
  <c r="CP5" i="17"/>
  <c r="CT5" i="17"/>
  <c r="CW5" i="17"/>
  <c r="CZ5" i="17"/>
  <c r="DC5" i="17"/>
  <c r="DF5" i="17"/>
  <c r="DI5" i="17"/>
  <c r="DL5" i="17"/>
  <c r="DM5" i="17"/>
  <c r="DN5" i="17"/>
  <c r="Q6" i="17"/>
  <c r="T6" i="17"/>
  <c r="Z6" i="17"/>
  <c r="AC6" i="17"/>
  <c r="AF6" i="17"/>
  <c r="AI6" i="17"/>
  <c r="AL6" i="17"/>
  <c r="AO6" i="17"/>
  <c r="AR6" i="17"/>
  <c r="AS6" i="17"/>
  <c r="AT6" i="17"/>
  <c r="AX6" i="17"/>
  <c r="BA6" i="17"/>
  <c r="BD6" i="17"/>
  <c r="BG6" i="17"/>
  <c r="BJ6" i="17"/>
  <c r="BM6" i="17"/>
  <c r="BP6" i="17"/>
  <c r="BQ6" i="17"/>
  <c r="BR6" i="17"/>
  <c r="BV6" i="17"/>
  <c r="BY6" i="17"/>
  <c r="CB6" i="17"/>
  <c r="CE6" i="17"/>
  <c r="CH6" i="17"/>
  <c r="CK6" i="17"/>
  <c r="CN6" i="17"/>
  <c r="CO6" i="17"/>
  <c r="CP6" i="17"/>
  <c r="CT6" i="17"/>
  <c r="CW6" i="17"/>
  <c r="CZ6" i="17"/>
  <c r="DC6" i="17"/>
  <c r="DF6" i="17"/>
  <c r="DI6" i="17"/>
  <c r="DL6" i="17"/>
  <c r="DN6" i="17"/>
  <c r="Q7" i="17"/>
  <c r="T7" i="17"/>
  <c r="Z7" i="17"/>
  <c r="AC7" i="17"/>
  <c r="AF7" i="17"/>
  <c r="AI7" i="17"/>
  <c r="AL7" i="17"/>
  <c r="AO7" i="17"/>
  <c r="AR7" i="17"/>
  <c r="AS7" i="17"/>
  <c r="AT7" i="17"/>
  <c r="AX7" i="17"/>
  <c r="BA7" i="17"/>
  <c r="BD7" i="17"/>
  <c r="BG7" i="17"/>
  <c r="BJ7" i="17"/>
  <c r="BM7" i="17"/>
  <c r="BP7" i="17"/>
  <c r="BQ7" i="17"/>
  <c r="BR7" i="17"/>
  <c r="BV7" i="17"/>
  <c r="BY7" i="17"/>
  <c r="CB7" i="17"/>
  <c r="CE7" i="17"/>
  <c r="CH7" i="17"/>
  <c r="CK7" i="17"/>
  <c r="CN7" i="17"/>
  <c r="CO7" i="17"/>
  <c r="CP7" i="17"/>
  <c r="CT7" i="17"/>
  <c r="CW7" i="17"/>
  <c r="CZ7" i="17"/>
  <c r="DC7" i="17"/>
  <c r="DF7" i="17"/>
  <c r="DI7" i="17"/>
  <c r="DL7" i="17"/>
  <c r="DM7" i="17"/>
  <c r="DN7" i="17"/>
  <c r="Q8" i="17"/>
  <c r="T8" i="17"/>
  <c r="Z8" i="17"/>
  <c r="AC8" i="17"/>
  <c r="AF8" i="17"/>
  <c r="AI8" i="17"/>
  <c r="AL8" i="17"/>
  <c r="AO8" i="17"/>
  <c r="AR8" i="17"/>
  <c r="AS8" i="17"/>
  <c r="AT8" i="17"/>
  <c r="AX8" i="17"/>
  <c r="BA8" i="17"/>
  <c r="BD8" i="17"/>
  <c r="BG8" i="17"/>
  <c r="BJ8" i="17"/>
  <c r="BM8" i="17"/>
  <c r="BP8" i="17"/>
  <c r="BQ8" i="17"/>
  <c r="BR8" i="17"/>
  <c r="BV8" i="17"/>
  <c r="BY8" i="17"/>
  <c r="CB8" i="17"/>
  <c r="CE8" i="17"/>
  <c r="CH8" i="17"/>
  <c r="CK8" i="17"/>
  <c r="CN8" i="17"/>
  <c r="CO8" i="17"/>
  <c r="CP8" i="17"/>
  <c r="CT8" i="17"/>
  <c r="CW8" i="17"/>
  <c r="CZ8" i="17"/>
  <c r="DC8" i="17"/>
  <c r="DF8" i="17"/>
  <c r="DI8" i="17"/>
  <c r="DL8" i="17"/>
  <c r="DM8" i="17"/>
  <c r="DN8" i="17"/>
  <c r="Q9" i="17"/>
  <c r="T9" i="17"/>
  <c r="Z9" i="17"/>
  <c r="AC9" i="17"/>
  <c r="AF9" i="17"/>
  <c r="AI9" i="17"/>
  <c r="AL9" i="17"/>
  <c r="AO9" i="17"/>
  <c r="AR9" i="17"/>
  <c r="AS9" i="17"/>
  <c r="AT9" i="17"/>
  <c r="AX9" i="17"/>
  <c r="BA9" i="17"/>
  <c r="BD9" i="17"/>
  <c r="BG9" i="17"/>
  <c r="BJ9" i="17"/>
  <c r="BM9" i="17"/>
  <c r="BP9" i="17"/>
  <c r="BQ9" i="17"/>
  <c r="BR9" i="17"/>
  <c r="BV9" i="17"/>
  <c r="BY9" i="17"/>
  <c r="CB9" i="17"/>
  <c r="CE9" i="17"/>
  <c r="CH9" i="17"/>
  <c r="CK9" i="17"/>
  <c r="CN9" i="17"/>
  <c r="CO9" i="17"/>
  <c r="CP9" i="17"/>
  <c r="CT9" i="17"/>
  <c r="CW9" i="17"/>
  <c r="CZ9" i="17"/>
  <c r="DC9" i="17"/>
  <c r="DF9" i="17"/>
  <c r="DI9" i="17"/>
  <c r="DL9" i="17"/>
  <c r="DN9" i="17"/>
  <c r="Q10" i="17"/>
  <c r="T10" i="17"/>
  <c r="Z10" i="17"/>
  <c r="AC10" i="17"/>
  <c r="AF10" i="17"/>
  <c r="AI10" i="17"/>
  <c r="AL10" i="17"/>
  <c r="AO10" i="17"/>
  <c r="AR10" i="17"/>
  <c r="AS10" i="17"/>
  <c r="AT10" i="17"/>
  <c r="AX10" i="17"/>
  <c r="BA10" i="17"/>
  <c r="BD10" i="17"/>
  <c r="BG10" i="17"/>
  <c r="BJ10" i="17"/>
  <c r="BM10" i="17"/>
  <c r="BP10" i="17"/>
  <c r="BQ10" i="17"/>
  <c r="BR10" i="17"/>
  <c r="BV10" i="17"/>
  <c r="BY10" i="17"/>
  <c r="CB10" i="17"/>
  <c r="CE10" i="17"/>
  <c r="CH10" i="17"/>
  <c r="CK10" i="17"/>
  <c r="CN10" i="17"/>
  <c r="CO10" i="17"/>
  <c r="CP10" i="17"/>
  <c r="CT10" i="17"/>
  <c r="CW10" i="17"/>
  <c r="CZ10" i="17"/>
  <c r="DC10" i="17"/>
  <c r="DF10" i="17"/>
  <c r="DI10" i="17"/>
  <c r="DL10" i="17"/>
  <c r="DM10" i="17"/>
  <c r="DN10" i="17"/>
  <c r="Q11" i="17"/>
  <c r="T11" i="17"/>
  <c r="Z11" i="17"/>
  <c r="AC11" i="17"/>
  <c r="AF11" i="17"/>
  <c r="AI11" i="17"/>
  <c r="AL11" i="17"/>
  <c r="AO11" i="17"/>
  <c r="AR11" i="17"/>
  <c r="AS11" i="17"/>
  <c r="AT11" i="17"/>
  <c r="AX11" i="17"/>
  <c r="BA11" i="17"/>
  <c r="BD11" i="17"/>
  <c r="BG11" i="17"/>
  <c r="BJ11" i="17"/>
  <c r="BM11" i="17"/>
  <c r="BP11" i="17"/>
  <c r="BQ11" i="17"/>
  <c r="BR11" i="17"/>
  <c r="BV11" i="17"/>
  <c r="BY11" i="17"/>
  <c r="CB11" i="17"/>
  <c r="CE11" i="17"/>
  <c r="CH11" i="17"/>
  <c r="CK11" i="17"/>
  <c r="CN11" i="17"/>
  <c r="CO11" i="17"/>
  <c r="CP11" i="17"/>
  <c r="CT11" i="17"/>
  <c r="CW11" i="17"/>
  <c r="CZ11" i="17"/>
  <c r="DC11" i="17"/>
  <c r="DF11" i="17"/>
  <c r="DI11" i="17"/>
  <c r="DL11" i="17"/>
  <c r="DM11" i="17"/>
  <c r="DN11" i="17"/>
  <c r="Q12" i="17"/>
  <c r="T12" i="17"/>
  <c r="Z12" i="17"/>
  <c r="AC12" i="17"/>
  <c r="AF12" i="17"/>
  <c r="AI12" i="17"/>
  <c r="AL12" i="17"/>
  <c r="AO12" i="17"/>
  <c r="AR12" i="17"/>
  <c r="AS12" i="17"/>
  <c r="AT12" i="17"/>
  <c r="AX12" i="17"/>
  <c r="BA12" i="17"/>
  <c r="BD12" i="17"/>
  <c r="BG12" i="17"/>
  <c r="BJ12" i="17"/>
  <c r="BM12" i="17"/>
  <c r="BP12" i="17"/>
  <c r="BQ12" i="17"/>
  <c r="BR12" i="17"/>
  <c r="BV12" i="17"/>
  <c r="BY12" i="17"/>
  <c r="CB12" i="17"/>
  <c r="CE12" i="17"/>
  <c r="CH12" i="17"/>
  <c r="CK12" i="17"/>
  <c r="CN12" i="17"/>
  <c r="CO12" i="17"/>
  <c r="CP12" i="17"/>
  <c r="CT12" i="17"/>
  <c r="CW12" i="17"/>
  <c r="CZ12" i="17"/>
  <c r="DC12" i="17"/>
  <c r="DF12" i="17"/>
  <c r="DI12" i="17"/>
  <c r="DL12" i="17"/>
  <c r="DM12" i="17"/>
  <c r="DN12" i="17"/>
  <c r="Q13" i="17"/>
  <c r="T13" i="17"/>
  <c r="Z13" i="17"/>
  <c r="AC13" i="17"/>
  <c r="AF13" i="17"/>
  <c r="AI13" i="17"/>
  <c r="AL13" i="17"/>
  <c r="AO13" i="17"/>
  <c r="AR13" i="17"/>
  <c r="AS13" i="17"/>
  <c r="AT13" i="17"/>
  <c r="AX13" i="17"/>
  <c r="BA13" i="17"/>
  <c r="BD13" i="17"/>
  <c r="BG13" i="17"/>
  <c r="BJ13" i="17"/>
  <c r="BM13" i="17"/>
  <c r="BP13" i="17"/>
  <c r="BQ13" i="17"/>
  <c r="BR13" i="17"/>
  <c r="BV13" i="17"/>
  <c r="BY13" i="17"/>
  <c r="CB13" i="17"/>
  <c r="CE13" i="17"/>
  <c r="CH13" i="17"/>
  <c r="CK13" i="17"/>
  <c r="CN13" i="17"/>
  <c r="CO13" i="17"/>
  <c r="CP13" i="17"/>
  <c r="CT13" i="17"/>
  <c r="CW13" i="17"/>
  <c r="CZ13" i="17"/>
  <c r="DC13" i="17"/>
  <c r="DF13" i="17"/>
  <c r="DI13" i="17"/>
  <c r="DL13" i="17"/>
  <c r="DM13" i="17"/>
  <c r="DN13" i="17"/>
  <c r="Q14" i="17"/>
  <c r="T14" i="17"/>
  <c r="Z14" i="17"/>
  <c r="AC14" i="17"/>
  <c r="AF14" i="17"/>
  <c r="AI14" i="17"/>
  <c r="AL14" i="17"/>
  <c r="AO14" i="17"/>
  <c r="AR14" i="17"/>
  <c r="AS14" i="17"/>
  <c r="AT14" i="17"/>
  <c r="AX14" i="17"/>
  <c r="BA14" i="17"/>
  <c r="BD14" i="17"/>
  <c r="BG14" i="17"/>
  <c r="BJ14" i="17"/>
  <c r="BM14" i="17"/>
  <c r="BP14" i="17"/>
  <c r="BQ14" i="17"/>
  <c r="BR14" i="17"/>
  <c r="BV14" i="17"/>
  <c r="BY14" i="17"/>
  <c r="CB14" i="17"/>
  <c r="CE14" i="17"/>
  <c r="CH14" i="17"/>
  <c r="CK14" i="17"/>
  <c r="CN14" i="17"/>
  <c r="CO14" i="17"/>
  <c r="CP14" i="17"/>
  <c r="CT14" i="17"/>
  <c r="CW14" i="17"/>
  <c r="CZ14" i="17"/>
  <c r="DC14" i="17"/>
  <c r="DF14" i="17"/>
  <c r="DI14" i="17"/>
  <c r="DL14" i="17"/>
  <c r="DM14" i="17"/>
  <c r="DN14" i="17"/>
  <c r="Q16" i="17"/>
  <c r="T16" i="17"/>
  <c r="Z16" i="17"/>
  <c r="AC16" i="17"/>
  <c r="AF16" i="17"/>
  <c r="AI16" i="17"/>
  <c r="AL16" i="17"/>
  <c r="AO16" i="17"/>
  <c r="AR16" i="17"/>
  <c r="AS16" i="17"/>
  <c r="AT16" i="17"/>
  <c r="AX16" i="17"/>
  <c r="BA16" i="17"/>
  <c r="BD16" i="17"/>
  <c r="BG16" i="17"/>
  <c r="BJ16" i="17"/>
  <c r="BM16" i="17"/>
  <c r="BP16" i="17"/>
  <c r="BQ16" i="17"/>
  <c r="BR16" i="17"/>
  <c r="BV16" i="17"/>
  <c r="BY16" i="17"/>
  <c r="CB16" i="17"/>
  <c r="CE16" i="17"/>
  <c r="CH16" i="17"/>
  <c r="CK16" i="17"/>
  <c r="CN16" i="17"/>
  <c r="CP16" i="17"/>
  <c r="CT16" i="17"/>
  <c r="CW16" i="17"/>
  <c r="CZ16" i="17"/>
  <c r="DC16" i="17"/>
  <c r="DF16" i="17"/>
  <c r="DI16" i="17"/>
  <c r="DL16" i="17"/>
  <c r="DM16" i="17"/>
  <c r="DN16" i="17"/>
  <c r="Q17" i="17"/>
  <c r="T17" i="17"/>
  <c r="Z17" i="17"/>
  <c r="AC17" i="17"/>
  <c r="AF17" i="17"/>
  <c r="AI17" i="17"/>
  <c r="AL17" i="17"/>
  <c r="AO17" i="17"/>
  <c r="AR17" i="17"/>
  <c r="AS17" i="17"/>
  <c r="AT17" i="17"/>
  <c r="AX17" i="17"/>
  <c r="BA17" i="17"/>
  <c r="BD17" i="17"/>
  <c r="BG17" i="17"/>
  <c r="BJ17" i="17"/>
  <c r="BM17" i="17"/>
  <c r="BP17" i="17"/>
  <c r="BQ17" i="17"/>
  <c r="BR17" i="17"/>
  <c r="BV17" i="17"/>
  <c r="BY17" i="17"/>
  <c r="CB17" i="17"/>
  <c r="CE17" i="17"/>
  <c r="CH17" i="17"/>
  <c r="CK17" i="17"/>
  <c r="CN17" i="17"/>
  <c r="CO17" i="17"/>
  <c r="CP17" i="17"/>
  <c r="CT17" i="17"/>
  <c r="CW17" i="17"/>
  <c r="CZ17" i="17"/>
  <c r="DC17" i="17"/>
  <c r="DF17" i="17"/>
  <c r="DI17" i="17"/>
  <c r="DL17" i="17"/>
  <c r="DM17" i="17"/>
  <c r="DN17" i="17"/>
  <c r="Q18" i="17"/>
  <c r="T18" i="17"/>
  <c r="Z18" i="17"/>
  <c r="AC18" i="17"/>
  <c r="AF18" i="17"/>
  <c r="AI18" i="17"/>
  <c r="AL18" i="17"/>
  <c r="AO18" i="17"/>
  <c r="AR18" i="17"/>
  <c r="AS18" i="17"/>
  <c r="AT18" i="17"/>
  <c r="AX18" i="17"/>
  <c r="BA18" i="17"/>
  <c r="BD18" i="17"/>
  <c r="BG18" i="17"/>
  <c r="BJ18" i="17"/>
  <c r="BM18" i="17"/>
  <c r="BP18" i="17"/>
  <c r="BQ18" i="17"/>
  <c r="BR18" i="17"/>
  <c r="BV18" i="17"/>
  <c r="BY18" i="17"/>
  <c r="CB18" i="17"/>
  <c r="CE18" i="17"/>
  <c r="CH18" i="17"/>
  <c r="CK18" i="17"/>
  <c r="CN18" i="17"/>
  <c r="CO18" i="17"/>
  <c r="CP18" i="17"/>
  <c r="CT18" i="17"/>
  <c r="CW18" i="17"/>
  <c r="CZ18" i="17"/>
  <c r="DC18" i="17"/>
  <c r="DF18" i="17"/>
  <c r="DI18" i="17"/>
  <c r="DL18" i="17"/>
  <c r="DM18" i="17"/>
  <c r="DN18" i="17"/>
  <c r="Q19" i="17"/>
  <c r="T19" i="17"/>
  <c r="Z19" i="17"/>
  <c r="AC19" i="17"/>
  <c r="AF19" i="17"/>
  <c r="AI19" i="17"/>
  <c r="AL19" i="17"/>
  <c r="AO19" i="17"/>
  <c r="AR19" i="17"/>
  <c r="AS19" i="17"/>
  <c r="AT19" i="17"/>
  <c r="AX19" i="17"/>
  <c r="BA19" i="17"/>
  <c r="BD19" i="17"/>
  <c r="BG19" i="17"/>
  <c r="BJ19" i="17"/>
  <c r="BM19" i="17"/>
  <c r="BP19" i="17"/>
  <c r="BQ19" i="17"/>
  <c r="BR19" i="17"/>
  <c r="BV19" i="17"/>
  <c r="BY19" i="17"/>
  <c r="CB19" i="17"/>
  <c r="CE19" i="17"/>
  <c r="CH19" i="17"/>
  <c r="CK19" i="17"/>
  <c r="CN19" i="17"/>
  <c r="CO19" i="17"/>
  <c r="CP19" i="17"/>
  <c r="CT19" i="17"/>
  <c r="CW19" i="17"/>
  <c r="CZ19" i="17"/>
  <c r="DC19" i="17"/>
  <c r="DF19" i="17"/>
  <c r="DI19" i="17"/>
  <c r="DL19" i="17"/>
  <c r="DM19" i="17"/>
  <c r="DN19" i="17"/>
  <c r="Q20" i="17"/>
  <c r="T20" i="17"/>
  <c r="Z20" i="17"/>
  <c r="AC20" i="17"/>
  <c r="AF20" i="17"/>
  <c r="AI20" i="17"/>
  <c r="AL20" i="17"/>
  <c r="AO20" i="17"/>
  <c r="AR20" i="17"/>
  <c r="AS20" i="17"/>
  <c r="AT20" i="17"/>
  <c r="AX20" i="17"/>
  <c r="BA20" i="17"/>
  <c r="BD20" i="17"/>
  <c r="BG20" i="17"/>
  <c r="BJ20" i="17"/>
  <c r="BM20" i="17"/>
  <c r="BP20" i="17"/>
  <c r="BQ20" i="17"/>
  <c r="BR20" i="17"/>
  <c r="BV20" i="17"/>
  <c r="BY20" i="17"/>
  <c r="CB20" i="17"/>
  <c r="CE20" i="17"/>
  <c r="CH20" i="17"/>
  <c r="CK20" i="17"/>
  <c r="CN20" i="17"/>
  <c r="CO20" i="17"/>
  <c r="CP20" i="17"/>
  <c r="CT20" i="17"/>
  <c r="CW20" i="17"/>
  <c r="CZ20" i="17"/>
  <c r="DC20" i="17"/>
  <c r="DF20" i="17"/>
  <c r="DI20" i="17"/>
  <c r="DL20" i="17"/>
  <c r="DM20" i="17"/>
  <c r="DN20" i="17"/>
  <c r="Q21" i="17"/>
  <c r="T21" i="17"/>
  <c r="Z21" i="17"/>
  <c r="AC21" i="17"/>
  <c r="AF21" i="17"/>
  <c r="AI21" i="17"/>
  <c r="AL21" i="17"/>
  <c r="AO21" i="17"/>
  <c r="AR21" i="17"/>
  <c r="AS21" i="17"/>
  <c r="AT21" i="17"/>
  <c r="AX21" i="17"/>
  <c r="BA21" i="17"/>
  <c r="BD21" i="17"/>
  <c r="BG21" i="17"/>
  <c r="BJ21" i="17"/>
  <c r="BM21" i="17"/>
  <c r="BP21" i="17"/>
  <c r="BQ21" i="17"/>
  <c r="BR21" i="17"/>
  <c r="BV21" i="17"/>
  <c r="BY21" i="17"/>
  <c r="CB21" i="17"/>
  <c r="CE21" i="17"/>
  <c r="CH21" i="17"/>
  <c r="CK21" i="17"/>
  <c r="CN21" i="17"/>
  <c r="CO21" i="17"/>
  <c r="CP21" i="17"/>
  <c r="CT21" i="17"/>
  <c r="CW21" i="17"/>
  <c r="CZ21" i="17"/>
  <c r="DC21" i="17"/>
  <c r="DF21" i="17"/>
  <c r="DI21" i="17"/>
  <c r="DL21" i="17"/>
  <c r="DM21" i="17"/>
  <c r="DN21" i="17"/>
  <c r="Q22" i="17"/>
  <c r="T22" i="17"/>
  <c r="Z22" i="17"/>
  <c r="AC22" i="17"/>
  <c r="AF22" i="17"/>
  <c r="AI22" i="17"/>
  <c r="AL22" i="17"/>
  <c r="AO22" i="17"/>
  <c r="AR22" i="17"/>
  <c r="AS22" i="17"/>
  <c r="AT22" i="17"/>
  <c r="AX22" i="17"/>
  <c r="BA22" i="17"/>
  <c r="BD22" i="17"/>
  <c r="BG22" i="17"/>
  <c r="BJ22" i="17"/>
  <c r="BM22" i="17"/>
  <c r="BP22" i="17"/>
  <c r="BQ22" i="17"/>
  <c r="BR22" i="17"/>
  <c r="BV22" i="17"/>
  <c r="BY22" i="17"/>
  <c r="CB22" i="17"/>
  <c r="CE22" i="17"/>
  <c r="CH22" i="17"/>
  <c r="CK22" i="17"/>
  <c r="CN22" i="17"/>
  <c r="CO22" i="17"/>
  <c r="CP22" i="17"/>
  <c r="CT22" i="17"/>
  <c r="CW22" i="17"/>
  <c r="CZ22" i="17"/>
  <c r="DC22" i="17"/>
  <c r="DF22" i="17"/>
  <c r="DI22" i="17"/>
  <c r="DL22" i="17"/>
  <c r="DM22" i="17"/>
  <c r="DN22" i="17"/>
  <c r="Q24" i="17"/>
  <c r="T24" i="17"/>
  <c r="Z24" i="17"/>
  <c r="AC24" i="17"/>
  <c r="AF24" i="17"/>
  <c r="AI24" i="17"/>
  <c r="AL24" i="17"/>
  <c r="AO24" i="17"/>
  <c r="AR24" i="17"/>
  <c r="AT24" i="17"/>
  <c r="AX24" i="17"/>
  <c r="BA24" i="17"/>
  <c r="BD24" i="17"/>
  <c r="BG24" i="17"/>
  <c r="BJ24" i="17"/>
  <c r="BM24" i="17"/>
  <c r="BP24" i="17"/>
  <c r="BQ24" i="17"/>
  <c r="BR24" i="17"/>
  <c r="BV24" i="17"/>
  <c r="BY24" i="17"/>
  <c r="CB24" i="17"/>
  <c r="CO24" i="17"/>
  <c r="CT24" i="17"/>
  <c r="CW24" i="17"/>
  <c r="CZ24" i="17"/>
  <c r="DC24" i="17"/>
  <c r="DF24" i="17"/>
  <c r="DI24" i="17"/>
  <c r="DM24" i="17"/>
  <c r="DN24" i="17"/>
  <c r="Q25" i="17"/>
  <c r="T25" i="17"/>
  <c r="Z25" i="17"/>
  <c r="AC25" i="17"/>
  <c r="AF25" i="17"/>
  <c r="AI25" i="17"/>
  <c r="AL25" i="17"/>
  <c r="AO25" i="17"/>
  <c r="AR25" i="17"/>
  <c r="AS25" i="17"/>
  <c r="AT25" i="17"/>
  <c r="AX25" i="17"/>
  <c r="BA25" i="17"/>
  <c r="BD25" i="17"/>
  <c r="BG25" i="17"/>
  <c r="BJ25" i="17"/>
  <c r="BM25" i="17"/>
  <c r="BP25" i="17"/>
  <c r="BQ25" i="17"/>
  <c r="BR25" i="17"/>
  <c r="BV25" i="17"/>
  <c r="BY25" i="17"/>
  <c r="CB25" i="17"/>
  <c r="CE25" i="17"/>
  <c r="CN25" i="17"/>
  <c r="CO25" i="17"/>
  <c r="CP25" i="17"/>
  <c r="CT25" i="17"/>
  <c r="CW25" i="17"/>
  <c r="CZ25" i="17"/>
  <c r="DC25" i="17"/>
  <c r="DF25" i="17"/>
  <c r="DI25" i="17"/>
  <c r="DL25" i="17"/>
  <c r="DM25" i="17"/>
  <c r="DN25" i="17"/>
  <c r="DU18" i="18" l="1"/>
  <c r="DU24" i="18"/>
  <c r="AT29" i="17"/>
  <c r="BR29" i="17"/>
  <c r="DR26" i="17"/>
  <c r="DR27" i="17"/>
  <c r="DU15" i="18"/>
  <c r="DR28" i="18"/>
  <c r="CT28" i="18"/>
  <c r="DU27" i="18"/>
  <c r="DU13" i="18"/>
  <c r="DU7" i="18"/>
  <c r="DU26" i="18"/>
  <c r="DT28" i="18"/>
  <c r="AR28" i="18"/>
  <c r="DS28" i="18"/>
  <c r="DU10" i="18"/>
  <c r="DU4" i="18"/>
  <c r="BP28" i="18"/>
  <c r="DU19" i="18"/>
  <c r="CN28" i="18"/>
  <c r="DR28" i="17"/>
  <c r="DR23" i="17"/>
  <c r="DP19" i="17"/>
  <c r="DO24" i="17"/>
  <c r="DP21" i="17"/>
  <c r="CQ24" i="17"/>
  <c r="BS24" i="17"/>
  <c r="CQ4" i="17"/>
  <c r="BS4" i="17"/>
  <c r="DQ4" i="17"/>
  <c r="DP11" i="17"/>
  <c r="CQ13" i="17"/>
  <c r="DO4" i="17"/>
  <c r="BS25" i="17"/>
  <c r="CQ22" i="17"/>
  <c r="BS17" i="17"/>
  <c r="DP4" i="17"/>
  <c r="DO16" i="17"/>
  <c r="DP14" i="17"/>
  <c r="DO11" i="17"/>
  <c r="CQ6" i="17"/>
  <c r="BS6" i="17"/>
  <c r="DP5" i="17"/>
  <c r="AU4" i="17"/>
  <c r="DO5" i="17"/>
  <c r="DO9" i="17"/>
  <c r="DO12" i="17"/>
  <c r="DP18" i="17"/>
  <c r="DO14" i="17"/>
  <c r="DO10" i="17"/>
  <c r="DO7" i="17"/>
  <c r="DO22" i="17"/>
  <c r="DQ24" i="17"/>
  <c r="DO6" i="17"/>
  <c r="DO25" i="17"/>
  <c r="DP9" i="17"/>
  <c r="DO18" i="17"/>
  <c r="DO8" i="17"/>
  <c r="DO21" i="17"/>
  <c r="DO17" i="17"/>
  <c r="DO20" i="17"/>
  <c r="DO13" i="17"/>
  <c r="DP10" i="17"/>
  <c r="DO19" i="17"/>
  <c r="CQ18" i="17"/>
  <c r="CQ20" i="17"/>
  <c r="DP6" i="17"/>
  <c r="CQ5" i="17"/>
  <c r="CQ9" i="17"/>
  <c r="DP17" i="17"/>
  <c r="DP24" i="17"/>
  <c r="DP22" i="17"/>
  <c r="DP13" i="17"/>
  <c r="CQ12" i="17"/>
  <c r="CQ10" i="17"/>
  <c r="CQ14" i="17"/>
  <c r="DQ22" i="17"/>
  <c r="DP12" i="17"/>
  <c r="CQ25" i="17"/>
  <c r="CQ19" i="17"/>
  <c r="CQ11" i="17"/>
  <c r="CQ16" i="17"/>
  <c r="CQ8" i="17"/>
  <c r="CQ7" i="17"/>
  <c r="CQ17" i="17"/>
  <c r="CQ21" i="17"/>
  <c r="BS8" i="17"/>
  <c r="BS7" i="17"/>
  <c r="BS14" i="17"/>
  <c r="BS22" i="17"/>
  <c r="BS10" i="17"/>
  <c r="BS21" i="17"/>
  <c r="BS11" i="17"/>
  <c r="BS9" i="17"/>
  <c r="BS16" i="17"/>
  <c r="BS13" i="17"/>
  <c r="BS19" i="17"/>
  <c r="BS18" i="17"/>
  <c r="BS12" i="17"/>
  <c r="DQ5" i="17"/>
  <c r="BS20" i="17"/>
  <c r="DQ19" i="17"/>
  <c r="DQ10" i="17"/>
  <c r="BS5" i="17"/>
  <c r="AU7" i="17"/>
  <c r="AU8" i="17"/>
  <c r="AU9" i="17"/>
  <c r="AU20" i="17"/>
  <c r="AU18" i="17"/>
  <c r="AU16" i="17"/>
  <c r="AU13" i="17"/>
  <c r="DP25" i="17"/>
  <c r="AU11" i="17"/>
  <c r="AU22" i="17"/>
  <c r="DQ20" i="17"/>
  <c r="DQ18" i="17"/>
  <c r="DQ16" i="17"/>
  <c r="DQ11" i="17"/>
  <c r="AU24" i="17"/>
  <c r="AU19" i="17"/>
  <c r="AU14" i="17"/>
  <c r="AU10" i="17"/>
  <c r="DQ9" i="17"/>
  <c r="AU6" i="17"/>
  <c r="DQ6" i="17"/>
  <c r="AU5" i="17"/>
  <c r="DQ7" i="17"/>
  <c r="DQ17" i="17"/>
  <c r="DQ13" i="17"/>
  <c r="DQ21" i="17"/>
  <c r="AU25" i="17"/>
  <c r="AU21" i="17"/>
  <c r="AU17" i="17"/>
  <c r="DQ12" i="17"/>
  <c r="DQ25" i="17"/>
  <c r="AU12" i="17"/>
  <c r="DQ8" i="17"/>
  <c r="DP20" i="17"/>
  <c r="DU28" i="18" l="1"/>
  <c r="Q24" i="4"/>
  <c r="N24" i="4"/>
  <c r="K24" i="4"/>
  <c r="H24" i="4"/>
  <c r="T24" i="4"/>
  <c r="W24" i="4"/>
  <c r="Z24" i="4" s="1"/>
  <c r="X24" i="4"/>
  <c r="Y24" i="4"/>
  <c r="DT24" i="4" s="1"/>
  <c r="AC24" i="4"/>
  <c r="AF24" i="4"/>
  <c r="AI24" i="4"/>
  <c r="AL24" i="4"/>
  <c r="AO24" i="4"/>
  <c r="AR24" i="4"/>
  <c r="AU24" i="4"/>
  <c r="AV24" i="4"/>
  <c r="AW24" i="4"/>
  <c r="BA24" i="4"/>
  <c r="BD24" i="4"/>
  <c r="BG24" i="4"/>
  <c r="BJ24" i="4"/>
  <c r="BM24" i="4"/>
  <c r="BP24" i="4"/>
  <c r="BS24" i="4"/>
  <c r="BT24" i="4"/>
  <c r="BU24" i="4"/>
  <c r="BY24" i="4"/>
  <c r="CB24" i="4"/>
  <c r="CE24" i="4"/>
  <c r="CH24" i="4"/>
  <c r="CK24" i="4"/>
  <c r="CN24" i="4"/>
  <c r="CQ24" i="4"/>
  <c r="CR24" i="4"/>
  <c r="CS24" i="4"/>
  <c r="CW24" i="4"/>
  <c r="CZ24" i="4"/>
  <c r="DC24" i="4"/>
  <c r="DF24" i="4"/>
  <c r="DI24" i="4"/>
  <c r="DL24" i="4"/>
  <c r="DO24" i="4"/>
  <c r="DP24" i="4"/>
  <c r="DS24" i="4" s="1"/>
  <c r="DQ24" i="4"/>
  <c r="AU17" i="4"/>
  <c r="DP13" i="4"/>
  <c r="DQ13" i="4"/>
  <c r="DP14" i="4"/>
  <c r="DQ14" i="4"/>
  <c r="DP15" i="4"/>
  <c r="DQ15" i="4"/>
  <c r="CR14" i="4"/>
  <c r="CS14" i="4"/>
  <c r="CR15" i="4"/>
  <c r="CS15" i="4"/>
  <c r="BT13" i="4"/>
  <c r="BU13" i="4"/>
  <c r="BT14" i="4"/>
  <c r="BU14" i="4"/>
  <c r="BT15" i="4"/>
  <c r="BU15" i="4"/>
  <c r="AV13" i="4"/>
  <c r="AW13" i="4"/>
  <c r="AV14" i="4"/>
  <c r="AW14" i="4"/>
  <c r="AV15" i="4"/>
  <c r="AW15" i="4"/>
  <c r="Y14" i="4"/>
  <c r="Y15" i="4"/>
  <c r="X14" i="4"/>
  <c r="DS14" i="4" s="1"/>
  <c r="X15" i="4"/>
  <c r="DS15" i="4" s="1"/>
  <c r="N15" i="4"/>
  <c r="N14" i="4"/>
  <c r="K15" i="4"/>
  <c r="K14" i="4"/>
  <c r="H15" i="4"/>
  <c r="H14" i="4"/>
  <c r="E15" i="4"/>
  <c r="Q15" i="4"/>
  <c r="T15" i="4"/>
  <c r="W15" i="4"/>
  <c r="AC15" i="4"/>
  <c r="AF15" i="4"/>
  <c r="AI15" i="4"/>
  <c r="AL15" i="4"/>
  <c r="AO15" i="4"/>
  <c r="AR15" i="4"/>
  <c r="AU15" i="4"/>
  <c r="BA15" i="4"/>
  <c r="BV15" i="4" s="1"/>
  <c r="BD15" i="4"/>
  <c r="BG15" i="4"/>
  <c r="BJ15" i="4"/>
  <c r="BM15" i="4"/>
  <c r="BP15" i="4"/>
  <c r="BS15" i="4"/>
  <c r="BY15" i="4"/>
  <c r="CT15" i="4" s="1"/>
  <c r="CB15" i="4"/>
  <c r="CE15" i="4"/>
  <c r="CH15" i="4"/>
  <c r="CK15" i="4"/>
  <c r="CN15" i="4"/>
  <c r="CQ15" i="4"/>
  <c r="CW15" i="4"/>
  <c r="DR15" i="4" s="1"/>
  <c r="CZ15" i="4"/>
  <c r="DC15" i="4"/>
  <c r="DF15" i="4"/>
  <c r="DI15" i="4"/>
  <c r="DL15" i="4"/>
  <c r="DO15" i="4"/>
  <c r="E14" i="4"/>
  <c r="Q14" i="4"/>
  <c r="T14" i="4"/>
  <c r="W14" i="4"/>
  <c r="AC14" i="4"/>
  <c r="AF14" i="4"/>
  <c r="AI14" i="4"/>
  <c r="AL14" i="4"/>
  <c r="AO14" i="4"/>
  <c r="AR14" i="4"/>
  <c r="AU14" i="4"/>
  <c r="BA14" i="4"/>
  <c r="BD14" i="4"/>
  <c r="BV14" i="4" s="1"/>
  <c r="BG14" i="4"/>
  <c r="BJ14" i="4"/>
  <c r="BM14" i="4"/>
  <c r="BP14" i="4"/>
  <c r="BS14" i="4"/>
  <c r="BY14" i="4"/>
  <c r="CB14" i="4"/>
  <c r="CT14" i="4" s="1"/>
  <c r="CE14" i="4"/>
  <c r="CH14" i="4"/>
  <c r="CK14" i="4"/>
  <c r="CN14" i="4"/>
  <c r="CQ14" i="4"/>
  <c r="CW14" i="4"/>
  <c r="DR14" i="4" s="1"/>
  <c r="CZ14" i="4"/>
  <c r="DC14" i="4"/>
  <c r="DF14" i="4"/>
  <c r="DI14" i="4"/>
  <c r="DL14" i="4"/>
  <c r="DO14" i="4"/>
  <c r="Q17" i="4"/>
  <c r="AX24" i="4" l="1"/>
  <c r="BV24" i="4"/>
  <c r="CT24" i="4"/>
  <c r="DU24" i="4" s="1"/>
  <c r="DR24" i="4"/>
  <c r="AX14" i="4"/>
  <c r="AX15" i="4"/>
  <c r="DT15" i="4"/>
  <c r="DT14" i="4"/>
  <c r="Z14" i="4"/>
  <c r="DU14" i="4" s="1"/>
  <c r="Z15" i="4"/>
  <c r="DU15" i="4" s="1"/>
  <c r="DP16" i="4"/>
  <c r="DQ16" i="4"/>
  <c r="CR16" i="4"/>
  <c r="CS16" i="4"/>
  <c r="BT16" i="4"/>
  <c r="BU16" i="4"/>
  <c r="AV16" i="4"/>
  <c r="AW16" i="4"/>
  <c r="Y16" i="4"/>
  <c r="X16" i="4"/>
  <c r="DS16" i="4" s="1"/>
  <c r="E16" i="4"/>
  <c r="H16" i="4"/>
  <c r="K16" i="4"/>
  <c r="N16" i="4"/>
  <c r="Q16" i="4"/>
  <c r="T16" i="4"/>
  <c r="W16" i="4"/>
  <c r="AC16" i="4"/>
  <c r="AF16" i="4"/>
  <c r="AI16" i="4"/>
  <c r="AL16" i="4"/>
  <c r="AO16" i="4"/>
  <c r="AR16" i="4"/>
  <c r="AU16" i="4"/>
  <c r="BA16" i="4"/>
  <c r="BD16" i="4"/>
  <c r="BG16" i="4"/>
  <c r="BJ16" i="4"/>
  <c r="BM16" i="4"/>
  <c r="BP16" i="4"/>
  <c r="BS16" i="4"/>
  <c r="BY16" i="4"/>
  <c r="CB16" i="4"/>
  <c r="CE16" i="4"/>
  <c r="CH16" i="4"/>
  <c r="CK16" i="4"/>
  <c r="CN16" i="4"/>
  <c r="CQ16" i="4"/>
  <c r="CW16" i="4"/>
  <c r="CZ16" i="4"/>
  <c r="DC16" i="4"/>
  <c r="DF16" i="4"/>
  <c r="DI16" i="4"/>
  <c r="DL16" i="4"/>
  <c r="DO16" i="4"/>
  <c r="DQ8" i="11"/>
  <c r="DC13" i="11"/>
  <c r="DV15" i="11"/>
  <c r="DV14" i="11"/>
  <c r="DP14" i="11"/>
  <c r="DQ14" i="11"/>
  <c r="DW14" i="11" s="1"/>
  <c r="DP15" i="11"/>
  <c r="DQ15" i="11"/>
  <c r="DW15" i="11" s="1"/>
  <c r="CR14" i="11"/>
  <c r="CR15" i="11"/>
  <c r="AV15" i="11"/>
  <c r="AV14" i="11"/>
  <c r="AW14" i="11"/>
  <c r="AW15" i="11"/>
  <c r="Y14" i="11"/>
  <c r="Y15" i="11"/>
  <c r="W15" i="11"/>
  <c r="Z15" i="11" s="1"/>
  <c r="AC15" i="11"/>
  <c r="AF15" i="11"/>
  <c r="AI15" i="11"/>
  <c r="AL15" i="11"/>
  <c r="AO15" i="11"/>
  <c r="AR15" i="11"/>
  <c r="AU15" i="11"/>
  <c r="BA15" i="11"/>
  <c r="BV15" i="11" s="1"/>
  <c r="BD15" i="11"/>
  <c r="BJ15" i="11"/>
  <c r="BM15" i="11"/>
  <c r="BP15" i="11"/>
  <c r="BY15" i="11"/>
  <c r="CE15" i="11"/>
  <c r="CK15" i="11"/>
  <c r="CN15" i="11"/>
  <c r="CQ15" i="11"/>
  <c r="CW15" i="11"/>
  <c r="CZ15" i="11"/>
  <c r="DC15" i="11"/>
  <c r="DF15" i="11"/>
  <c r="DI15" i="11"/>
  <c r="DL15" i="11"/>
  <c r="DO15" i="11"/>
  <c r="DU15" i="11"/>
  <c r="W14" i="11"/>
  <c r="Z14" i="11" s="1"/>
  <c r="AC14" i="11"/>
  <c r="AF14" i="11"/>
  <c r="AI14" i="11"/>
  <c r="AL14" i="11"/>
  <c r="AO14" i="11"/>
  <c r="AR14" i="11"/>
  <c r="AU14" i="11"/>
  <c r="BA14" i="11"/>
  <c r="BV14" i="11" s="1"/>
  <c r="BD14" i="11"/>
  <c r="BJ14" i="11"/>
  <c r="BM14" i="11"/>
  <c r="BP14" i="11"/>
  <c r="BY14" i="11"/>
  <c r="CE14" i="11"/>
  <c r="CK14" i="11"/>
  <c r="CN14" i="11"/>
  <c r="CQ14" i="11"/>
  <c r="CW14" i="11"/>
  <c r="CZ14" i="11"/>
  <c r="DC14" i="11"/>
  <c r="DF14" i="11"/>
  <c r="DI14" i="11"/>
  <c r="DL14" i="11"/>
  <c r="DO14" i="11"/>
  <c r="DU14" i="11"/>
  <c r="DR16" i="4" l="1"/>
  <c r="CT16" i="4"/>
  <c r="AX16" i="4"/>
  <c r="BV16" i="4"/>
  <c r="Z16" i="4"/>
  <c r="DT16" i="4"/>
  <c r="DR15" i="11"/>
  <c r="DX15" i="11" s="1"/>
  <c r="DR14" i="11"/>
  <c r="DX14" i="11" s="1"/>
  <c r="AX15" i="11"/>
  <c r="AX14" i="11"/>
  <c r="DU16" i="4" l="1"/>
  <c r="BJ13" i="11"/>
  <c r="BM13" i="11"/>
  <c r="BP13" i="11"/>
  <c r="BS13" i="11"/>
  <c r="BT13" i="11"/>
  <c r="BU13" i="11"/>
  <c r="BY13" i="11"/>
  <c r="CB13" i="11"/>
  <c r="CE13" i="11"/>
  <c r="CH13" i="11"/>
  <c r="CK13" i="11"/>
  <c r="CN13" i="11"/>
  <c r="CQ13" i="11"/>
  <c r="CR13" i="11"/>
  <c r="CS13" i="11"/>
  <c r="CW13" i="11"/>
  <c r="CZ13" i="11"/>
  <c r="DF13" i="11"/>
  <c r="DI13" i="11"/>
  <c r="DL13" i="11"/>
  <c r="DO13" i="11"/>
  <c r="DP13" i="11"/>
  <c r="DQ13" i="11"/>
  <c r="DU13" i="11"/>
  <c r="BG13" i="11"/>
  <c r="BD13" i="11"/>
  <c r="BA13" i="11"/>
  <c r="AV13" i="11"/>
  <c r="DV13" i="11" s="1"/>
  <c r="AW13" i="11"/>
  <c r="AU13" i="11"/>
  <c r="AR13" i="11"/>
  <c r="AO13" i="11"/>
  <c r="AL13" i="11"/>
  <c r="AI13" i="11"/>
  <c r="AF13" i="11"/>
  <c r="AC13" i="11"/>
  <c r="Y13" i="11"/>
  <c r="W13" i="11"/>
  <c r="Z13" i="11" s="1"/>
  <c r="AW18" i="11"/>
  <c r="AV18" i="11"/>
  <c r="BA18" i="11"/>
  <c r="BD18" i="11"/>
  <c r="BG18" i="11"/>
  <c r="BJ18" i="11"/>
  <c r="BM18" i="11"/>
  <c r="BP18" i="11"/>
  <c r="BS18" i="11"/>
  <c r="BT18" i="11"/>
  <c r="BU18" i="11"/>
  <c r="BY18" i="11"/>
  <c r="CB18" i="11"/>
  <c r="CE18" i="11"/>
  <c r="CH18" i="11"/>
  <c r="CK18" i="11"/>
  <c r="CN18" i="11"/>
  <c r="CQ18" i="11"/>
  <c r="CR18" i="11"/>
  <c r="CS18" i="11"/>
  <c r="CW18" i="11"/>
  <c r="CZ18" i="11"/>
  <c r="DC18" i="11"/>
  <c r="DF18" i="11"/>
  <c r="DI18" i="11"/>
  <c r="DL18" i="11"/>
  <c r="DO18" i="11"/>
  <c r="DP18" i="11"/>
  <c r="DQ18" i="11"/>
  <c r="DU18" i="11"/>
  <c r="AI18" i="11"/>
  <c r="AL18" i="11"/>
  <c r="AO18" i="11"/>
  <c r="AR18" i="11"/>
  <c r="AU18" i="11"/>
  <c r="AF18" i="4"/>
  <c r="AC18" i="4"/>
  <c r="H17" i="4"/>
  <c r="Y18" i="11"/>
  <c r="W18" i="11"/>
  <c r="E18" i="11"/>
  <c r="H18" i="11"/>
  <c r="K18" i="11"/>
  <c r="N18" i="11"/>
  <c r="Q18" i="11"/>
  <c r="T18" i="11"/>
  <c r="AC18" i="11"/>
  <c r="AF18" i="11"/>
  <c r="AX13" i="11" l="1"/>
  <c r="DR13" i="11"/>
  <c r="CT13" i="11"/>
  <c r="DW13" i="11"/>
  <c r="BV13" i="11"/>
  <c r="CT18" i="11"/>
  <c r="Z18" i="11"/>
  <c r="BV18" i="11"/>
  <c r="DR18" i="11"/>
  <c r="AX18" i="11"/>
  <c r="BS14" i="13"/>
  <c r="CK6" i="8"/>
  <c r="X10" i="8"/>
  <c r="X8" i="8"/>
  <c r="X9" i="8"/>
  <c r="DX13" i="11" l="1"/>
  <c r="DX17" i="14"/>
  <c r="DX16" i="14"/>
  <c r="DX15" i="14"/>
  <c r="DX14" i="14"/>
  <c r="DX13" i="14"/>
  <c r="DX12" i="14"/>
  <c r="DX11" i="14"/>
  <c r="DX10" i="14"/>
  <c r="ED10" i="14" s="1"/>
  <c r="DX9" i="14"/>
  <c r="DX8" i="14"/>
  <c r="DX7" i="14"/>
  <c r="DX6" i="14"/>
  <c r="DX5" i="14"/>
  <c r="DX4" i="14"/>
  <c r="E24" i="17" l="1"/>
  <c r="H24" i="17"/>
  <c r="K24" i="17"/>
  <c r="N24" i="17"/>
  <c r="DR24" i="17" l="1"/>
  <c r="E25" i="17"/>
  <c r="H25" i="17"/>
  <c r="K25" i="17"/>
  <c r="N25" i="17"/>
  <c r="DR25" i="17" l="1"/>
  <c r="DU24" i="11" l="1"/>
  <c r="DU23" i="11"/>
  <c r="DU22" i="11"/>
  <c r="DU21" i="11"/>
  <c r="DU20" i="11"/>
  <c r="DU19" i="11"/>
  <c r="DU17" i="11"/>
  <c r="DU16" i="11"/>
  <c r="DU12" i="11"/>
  <c r="DU11" i="11"/>
  <c r="DU10" i="11"/>
  <c r="DU9" i="11"/>
  <c r="DU8" i="11"/>
  <c r="DU7" i="11"/>
  <c r="DU6" i="11"/>
  <c r="DU5" i="11"/>
  <c r="DU4" i="11"/>
  <c r="DU21" i="9"/>
  <c r="DU20" i="9"/>
  <c r="DU19" i="9"/>
  <c r="DU18" i="9"/>
  <c r="DU17" i="9"/>
  <c r="DU16" i="9"/>
  <c r="DU15" i="9"/>
  <c r="DU14" i="9"/>
  <c r="DU13" i="9"/>
  <c r="DU12" i="9"/>
  <c r="DU11" i="9"/>
  <c r="DU10" i="9"/>
  <c r="DU9" i="9"/>
  <c r="DU8" i="9"/>
  <c r="DU7" i="9"/>
  <c r="DU6" i="9"/>
  <c r="DU5" i="9"/>
  <c r="DU4" i="9"/>
  <c r="DU17" i="14"/>
  <c r="DU5" i="14"/>
  <c r="DU4" i="14"/>
  <c r="K23" i="17" l="1"/>
  <c r="H23" i="17"/>
  <c r="E23" i="17"/>
  <c r="N22" i="17"/>
  <c r="K22" i="17"/>
  <c r="H22" i="17"/>
  <c r="E22" i="17"/>
  <c r="N21" i="17"/>
  <c r="K21" i="17"/>
  <c r="H21" i="17"/>
  <c r="E21" i="17"/>
  <c r="N20" i="17"/>
  <c r="K20" i="17"/>
  <c r="H20" i="17"/>
  <c r="E20" i="17"/>
  <c r="N19" i="17"/>
  <c r="K19" i="17"/>
  <c r="H19" i="17"/>
  <c r="E19" i="17"/>
  <c r="N18" i="17"/>
  <c r="K18" i="17"/>
  <c r="H18" i="17"/>
  <c r="E18" i="17"/>
  <c r="N17" i="17"/>
  <c r="K17" i="17"/>
  <c r="H17" i="17"/>
  <c r="E17" i="17"/>
  <c r="N16" i="17"/>
  <c r="K16" i="17"/>
  <c r="H16" i="17"/>
  <c r="E16" i="17"/>
  <c r="N14" i="17"/>
  <c r="K14" i="17"/>
  <c r="H14" i="17"/>
  <c r="E14" i="17"/>
  <c r="N13" i="17"/>
  <c r="K13" i="17"/>
  <c r="H13" i="17"/>
  <c r="E13" i="17"/>
  <c r="N12" i="17"/>
  <c r="K12" i="17"/>
  <c r="H12" i="17"/>
  <c r="E12" i="17"/>
  <c r="N11" i="17"/>
  <c r="K11" i="17"/>
  <c r="H11" i="17"/>
  <c r="E11" i="17"/>
  <c r="N10" i="17"/>
  <c r="K10" i="17"/>
  <c r="H10" i="17"/>
  <c r="E10" i="17"/>
  <c r="N9" i="17"/>
  <c r="K9" i="17"/>
  <c r="H9" i="17"/>
  <c r="E9" i="17"/>
  <c r="N8" i="17"/>
  <c r="K8" i="17"/>
  <c r="H8" i="17"/>
  <c r="E8" i="17"/>
  <c r="N7" i="17"/>
  <c r="K7" i="17"/>
  <c r="H7" i="17"/>
  <c r="E7" i="17"/>
  <c r="N6" i="17"/>
  <c r="K6" i="17"/>
  <c r="H6" i="17"/>
  <c r="E6" i="17"/>
  <c r="N5" i="17"/>
  <c r="K5" i="17"/>
  <c r="H5" i="17"/>
  <c r="E5" i="17"/>
  <c r="N4" i="17"/>
  <c r="K4" i="17"/>
  <c r="H4" i="17"/>
  <c r="E4" i="17"/>
  <c r="H17" i="16"/>
  <c r="E17" i="16"/>
  <c r="DQ16" i="16"/>
  <c r="DP16" i="16"/>
  <c r="DO16" i="16"/>
  <c r="DL16" i="16"/>
  <c r="DI16" i="16"/>
  <c r="DF16" i="16"/>
  <c r="DC16" i="16"/>
  <c r="CZ16" i="16"/>
  <c r="CW16" i="16"/>
  <c r="CS16" i="16"/>
  <c r="CR16" i="16"/>
  <c r="CQ16" i="16"/>
  <c r="CN16" i="16"/>
  <c r="CK16" i="16"/>
  <c r="CH16" i="16"/>
  <c r="CE16" i="16"/>
  <c r="CB16" i="16"/>
  <c r="BY16" i="16"/>
  <c r="BU16" i="16"/>
  <c r="BT16" i="16"/>
  <c r="BS16" i="16"/>
  <c r="BP16" i="16"/>
  <c r="BM16" i="16"/>
  <c r="BJ16" i="16"/>
  <c r="BG16" i="16"/>
  <c r="BD16" i="16"/>
  <c r="BA16" i="16"/>
  <c r="AW16" i="16"/>
  <c r="AV16" i="16"/>
  <c r="AU16" i="16"/>
  <c r="AR16" i="16"/>
  <c r="AO16" i="16"/>
  <c r="AL16" i="16"/>
  <c r="AI16" i="16"/>
  <c r="AF16" i="16"/>
  <c r="AC16" i="16"/>
  <c r="Y16" i="16"/>
  <c r="X16" i="16"/>
  <c r="W16" i="16"/>
  <c r="T16" i="16"/>
  <c r="Q16" i="16"/>
  <c r="N16" i="16"/>
  <c r="K16" i="16"/>
  <c r="H16" i="16"/>
  <c r="E16" i="16"/>
  <c r="DQ15" i="16"/>
  <c r="DP15" i="16"/>
  <c r="DO15" i="16"/>
  <c r="DL15" i="16"/>
  <c r="DI15" i="16"/>
  <c r="DF15" i="16"/>
  <c r="DC15" i="16"/>
  <c r="CZ15" i="16"/>
  <c r="CW15" i="16"/>
  <c r="CS15" i="16"/>
  <c r="CR15" i="16"/>
  <c r="CQ15" i="16"/>
  <c r="CN15" i="16"/>
  <c r="CK15" i="16"/>
  <c r="CH15" i="16"/>
  <c r="CE15" i="16"/>
  <c r="CB15" i="16"/>
  <c r="BY15" i="16"/>
  <c r="BU15" i="16"/>
  <c r="BT15" i="16"/>
  <c r="BS15" i="16"/>
  <c r="BP15" i="16"/>
  <c r="BM15" i="16"/>
  <c r="BJ15" i="16"/>
  <c r="BG15" i="16"/>
  <c r="BD15" i="16"/>
  <c r="BA15" i="16"/>
  <c r="AW15" i="16"/>
  <c r="AV15" i="16"/>
  <c r="AU15" i="16"/>
  <c r="AR15" i="16"/>
  <c r="AO15" i="16"/>
  <c r="AL15" i="16"/>
  <c r="AI15" i="16"/>
  <c r="AF15" i="16"/>
  <c r="AC15" i="16"/>
  <c r="Y15" i="16"/>
  <c r="X15" i="16"/>
  <c r="W15" i="16"/>
  <c r="T15" i="16"/>
  <c r="Q15" i="16"/>
  <c r="N15" i="16"/>
  <c r="K15" i="16"/>
  <c r="H15" i="16"/>
  <c r="E15" i="16"/>
  <c r="DQ14" i="16"/>
  <c r="DP14" i="16"/>
  <c r="DO14" i="16"/>
  <c r="DL14" i="16"/>
  <c r="DI14" i="16"/>
  <c r="DF14" i="16"/>
  <c r="DC14" i="16"/>
  <c r="CZ14" i="16"/>
  <c r="CW14" i="16"/>
  <c r="CS14" i="16"/>
  <c r="CR14" i="16"/>
  <c r="CQ14" i="16"/>
  <c r="CN14" i="16"/>
  <c r="CK14" i="16"/>
  <c r="CH14" i="16"/>
  <c r="CE14" i="16"/>
  <c r="CB14" i="16"/>
  <c r="BY14" i="16"/>
  <c r="BU14" i="16"/>
  <c r="BT14" i="16"/>
  <c r="BS14" i="16"/>
  <c r="BP14" i="16"/>
  <c r="BM14" i="16"/>
  <c r="BJ14" i="16"/>
  <c r="BG14" i="16"/>
  <c r="BD14" i="16"/>
  <c r="BA14" i="16"/>
  <c r="AW14" i="16"/>
  <c r="AV14" i="16"/>
  <c r="AU14" i="16"/>
  <c r="AR14" i="16"/>
  <c r="AO14" i="16"/>
  <c r="AL14" i="16"/>
  <c r="AI14" i="16"/>
  <c r="AF14" i="16"/>
  <c r="AC14" i="16"/>
  <c r="Y14" i="16"/>
  <c r="X14" i="16"/>
  <c r="W14" i="16"/>
  <c r="T14" i="16"/>
  <c r="Q14" i="16"/>
  <c r="N14" i="16"/>
  <c r="K14" i="16"/>
  <c r="H14" i="16"/>
  <c r="E14" i="16"/>
  <c r="DQ13" i="16"/>
  <c r="DP13" i="16"/>
  <c r="DO13" i="16"/>
  <c r="DL13" i="16"/>
  <c r="DI13" i="16"/>
  <c r="DF13" i="16"/>
  <c r="DC13" i="16"/>
  <c r="CZ13" i="16"/>
  <c r="CW13" i="16"/>
  <c r="CS13" i="16"/>
  <c r="CR13" i="16"/>
  <c r="CQ13" i="16"/>
  <c r="CN13" i="16"/>
  <c r="CK13" i="16"/>
  <c r="CH13" i="16"/>
  <c r="CE13" i="16"/>
  <c r="CB13" i="16"/>
  <c r="BY13" i="16"/>
  <c r="BU13" i="16"/>
  <c r="BT13" i="16"/>
  <c r="BS13" i="16"/>
  <c r="BP13" i="16"/>
  <c r="BM13" i="16"/>
  <c r="BJ13" i="16"/>
  <c r="BG13" i="16"/>
  <c r="BD13" i="16"/>
  <c r="BA13" i="16"/>
  <c r="AW13" i="16"/>
  <c r="AV13" i="16"/>
  <c r="AU13" i="16"/>
  <c r="AR13" i="16"/>
  <c r="AO13" i="16"/>
  <c r="AL13" i="16"/>
  <c r="AI13" i="16"/>
  <c r="AF13" i="16"/>
  <c r="AC13" i="16"/>
  <c r="Y13" i="16"/>
  <c r="X13" i="16"/>
  <c r="W13" i="16"/>
  <c r="T13" i="16"/>
  <c r="Q13" i="16"/>
  <c r="N13" i="16"/>
  <c r="K13" i="16"/>
  <c r="H13" i="16"/>
  <c r="E13" i="16"/>
  <c r="DQ12" i="16"/>
  <c r="DP12" i="16"/>
  <c r="DO12" i="16"/>
  <c r="DL12" i="16"/>
  <c r="DI12" i="16"/>
  <c r="DF12" i="16"/>
  <c r="DC12" i="16"/>
  <c r="CZ12" i="16"/>
  <c r="CW12" i="16"/>
  <c r="CS12" i="16"/>
  <c r="CR12" i="16"/>
  <c r="CQ12" i="16"/>
  <c r="CN12" i="16"/>
  <c r="CK12" i="16"/>
  <c r="CH12" i="16"/>
  <c r="CE12" i="16"/>
  <c r="CB12" i="16"/>
  <c r="BY12" i="16"/>
  <c r="BU12" i="16"/>
  <c r="BT12" i="16"/>
  <c r="BS12" i="16"/>
  <c r="BP12" i="16"/>
  <c r="BM12" i="16"/>
  <c r="BJ12" i="16"/>
  <c r="BG12" i="16"/>
  <c r="BD12" i="16"/>
  <c r="BA12" i="16"/>
  <c r="AW12" i="16"/>
  <c r="AV12" i="16"/>
  <c r="AU12" i="16"/>
  <c r="AR12" i="16"/>
  <c r="AO12" i="16"/>
  <c r="AL12" i="16"/>
  <c r="AI12" i="16"/>
  <c r="AF12" i="16"/>
  <c r="AC12" i="16"/>
  <c r="Y12" i="16"/>
  <c r="X12" i="16"/>
  <c r="W12" i="16"/>
  <c r="T12" i="16"/>
  <c r="Q12" i="16"/>
  <c r="N12" i="16"/>
  <c r="K12" i="16"/>
  <c r="H12" i="16"/>
  <c r="E12" i="16"/>
  <c r="DQ11" i="16"/>
  <c r="DP11" i="16"/>
  <c r="DO11" i="16"/>
  <c r="DL11" i="16"/>
  <c r="DI11" i="16"/>
  <c r="DF11" i="16"/>
  <c r="DC11" i="16"/>
  <c r="CZ11" i="16"/>
  <c r="CW11" i="16"/>
  <c r="CS11" i="16"/>
  <c r="CR11" i="16"/>
  <c r="CQ11" i="16"/>
  <c r="CN11" i="16"/>
  <c r="CK11" i="16"/>
  <c r="CH11" i="16"/>
  <c r="CE11" i="16"/>
  <c r="CB11" i="16"/>
  <c r="BY11" i="16"/>
  <c r="BU11" i="16"/>
  <c r="BT11" i="16"/>
  <c r="BS11" i="16"/>
  <c r="BP11" i="16"/>
  <c r="BM11" i="16"/>
  <c r="BJ11" i="16"/>
  <c r="BG11" i="16"/>
  <c r="BD11" i="16"/>
  <c r="BA11" i="16"/>
  <c r="AW11" i="16"/>
  <c r="AV11" i="16"/>
  <c r="AU11" i="16"/>
  <c r="AR11" i="16"/>
  <c r="AO11" i="16"/>
  <c r="AL11" i="16"/>
  <c r="AI11" i="16"/>
  <c r="AF11" i="16"/>
  <c r="AC11" i="16"/>
  <c r="Y11" i="16"/>
  <c r="X11" i="16"/>
  <c r="W11" i="16"/>
  <c r="T11" i="16"/>
  <c r="Q11" i="16"/>
  <c r="N11" i="16"/>
  <c r="K11" i="16"/>
  <c r="H11" i="16"/>
  <c r="E11" i="16"/>
  <c r="DQ10" i="16"/>
  <c r="DP10" i="16"/>
  <c r="DO10" i="16"/>
  <c r="DL10" i="16"/>
  <c r="DI10" i="16"/>
  <c r="DF10" i="16"/>
  <c r="DC10" i="16"/>
  <c r="CZ10" i="16"/>
  <c r="CW10" i="16"/>
  <c r="CS10" i="16"/>
  <c r="CR10" i="16"/>
  <c r="CQ10" i="16"/>
  <c r="CN10" i="16"/>
  <c r="CK10" i="16"/>
  <c r="CH10" i="16"/>
  <c r="CE10" i="16"/>
  <c r="CB10" i="16"/>
  <c r="BY10" i="16"/>
  <c r="BU10" i="16"/>
  <c r="BT10" i="16"/>
  <c r="BS10" i="16"/>
  <c r="BP10" i="16"/>
  <c r="BM10" i="16"/>
  <c r="BJ10" i="16"/>
  <c r="BG10" i="16"/>
  <c r="BD10" i="16"/>
  <c r="BA10" i="16"/>
  <c r="AW10" i="16"/>
  <c r="AV10" i="16"/>
  <c r="AU10" i="16"/>
  <c r="AR10" i="16"/>
  <c r="AO10" i="16"/>
  <c r="AL10" i="16"/>
  <c r="AI10" i="16"/>
  <c r="AF10" i="16"/>
  <c r="AC10" i="16"/>
  <c r="Y10" i="16"/>
  <c r="X10" i="16"/>
  <c r="W10" i="16"/>
  <c r="T10" i="16"/>
  <c r="Q10" i="16"/>
  <c r="N10" i="16"/>
  <c r="K10" i="16"/>
  <c r="H10" i="16"/>
  <c r="E10" i="16"/>
  <c r="DQ9" i="16"/>
  <c r="DP9" i="16"/>
  <c r="DO9" i="16"/>
  <c r="DL9" i="16"/>
  <c r="DI9" i="16"/>
  <c r="DF9" i="16"/>
  <c r="DC9" i="16"/>
  <c r="CZ9" i="16"/>
  <c r="CW9" i="16"/>
  <c r="CS9" i="16"/>
  <c r="CR9" i="16"/>
  <c r="CQ9" i="16"/>
  <c r="CN9" i="16"/>
  <c r="CK9" i="16"/>
  <c r="CH9" i="16"/>
  <c r="CE9" i="16"/>
  <c r="CB9" i="16"/>
  <c r="BY9" i="16"/>
  <c r="BU9" i="16"/>
  <c r="BT9" i="16"/>
  <c r="BS9" i="16"/>
  <c r="BP9" i="16"/>
  <c r="BM9" i="16"/>
  <c r="BJ9" i="16"/>
  <c r="BG9" i="16"/>
  <c r="BD9" i="16"/>
  <c r="BA9" i="16"/>
  <c r="AW9" i="16"/>
  <c r="AV9" i="16"/>
  <c r="AU9" i="16"/>
  <c r="AR9" i="16"/>
  <c r="AO9" i="16"/>
  <c r="AL9" i="16"/>
  <c r="AI9" i="16"/>
  <c r="AF9" i="16"/>
  <c r="AC9" i="16"/>
  <c r="Y9" i="16"/>
  <c r="X9" i="16"/>
  <c r="W9" i="16"/>
  <c r="T9" i="16"/>
  <c r="Q9" i="16"/>
  <c r="N9" i="16"/>
  <c r="K9" i="16"/>
  <c r="H9" i="16"/>
  <c r="E9" i="16"/>
  <c r="DQ8" i="16"/>
  <c r="DP8" i="16"/>
  <c r="DO8" i="16"/>
  <c r="DL8" i="16"/>
  <c r="DI8" i="16"/>
  <c r="DF8" i="16"/>
  <c r="DC8" i="16"/>
  <c r="CZ8" i="16"/>
  <c r="CW8" i="16"/>
  <c r="CS8" i="16"/>
  <c r="CR8" i="16"/>
  <c r="CQ8" i="16"/>
  <c r="CN8" i="16"/>
  <c r="CK8" i="16"/>
  <c r="CH8" i="16"/>
  <c r="CE8" i="16"/>
  <c r="CB8" i="16"/>
  <c r="BY8" i="16"/>
  <c r="BU8" i="16"/>
  <c r="BT8" i="16"/>
  <c r="BS8" i="16"/>
  <c r="BP8" i="16"/>
  <c r="BM8" i="16"/>
  <c r="BJ8" i="16"/>
  <c r="BG8" i="16"/>
  <c r="BD8" i="16"/>
  <c r="BA8" i="16"/>
  <c r="AW8" i="16"/>
  <c r="AV8" i="16"/>
  <c r="AU8" i="16"/>
  <c r="AR8" i="16"/>
  <c r="AO8" i="16"/>
  <c r="AL8" i="16"/>
  <c r="AI8" i="16"/>
  <c r="AF8" i="16"/>
  <c r="AC8" i="16"/>
  <c r="Y8" i="16"/>
  <c r="X8" i="16"/>
  <c r="W8" i="16"/>
  <c r="T8" i="16"/>
  <c r="Q8" i="16"/>
  <c r="N8" i="16"/>
  <c r="K8" i="16"/>
  <c r="H8" i="16"/>
  <c r="E8" i="16"/>
  <c r="DQ7" i="16"/>
  <c r="DP7" i="16"/>
  <c r="DO7" i="16"/>
  <c r="DL7" i="16"/>
  <c r="DI7" i="16"/>
  <c r="DF7" i="16"/>
  <c r="DC7" i="16"/>
  <c r="CZ7" i="16"/>
  <c r="CW7" i="16"/>
  <c r="CS7" i="16"/>
  <c r="CR7" i="16"/>
  <c r="CQ7" i="16"/>
  <c r="CN7" i="16"/>
  <c r="CK7" i="16"/>
  <c r="CH7" i="16"/>
  <c r="CE7" i="16"/>
  <c r="CB7" i="16"/>
  <c r="BY7" i="16"/>
  <c r="BU7" i="16"/>
  <c r="BT7" i="16"/>
  <c r="BS7" i="16"/>
  <c r="BP7" i="16"/>
  <c r="BM7" i="16"/>
  <c r="BJ7" i="16"/>
  <c r="BG7" i="16"/>
  <c r="BD7" i="16"/>
  <c r="BA7" i="16"/>
  <c r="AW7" i="16"/>
  <c r="AV7" i="16"/>
  <c r="AU7" i="16"/>
  <c r="AR7" i="16"/>
  <c r="AO7" i="16"/>
  <c r="AL7" i="16"/>
  <c r="AI7" i="16"/>
  <c r="AF7" i="16"/>
  <c r="AC7" i="16"/>
  <c r="Y7" i="16"/>
  <c r="X7" i="16"/>
  <c r="W7" i="16"/>
  <c r="T7" i="16"/>
  <c r="Q7" i="16"/>
  <c r="N7" i="16"/>
  <c r="K7" i="16"/>
  <c r="H7" i="16"/>
  <c r="E7" i="16"/>
  <c r="DQ6" i="16"/>
  <c r="DP6" i="16"/>
  <c r="DO6" i="16"/>
  <c r="DL6" i="16"/>
  <c r="DI6" i="16"/>
  <c r="DF6" i="16"/>
  <c r="DC6" i="16"/>
  <c r="CZ6" i="16"/>
  <c r="CW6" i="16"/>
  <c r="CS6" i="16"/>
  <c r="CR6" i="16"/>
  <c r="CQ6" i="16"/>
  <c r="CN6" i="16"/>
  <c r="CK6" i="16"/>
  <c r="CH6" i="16"/>
  <c r="CE6" i="16"/>
  <c r="CB6" i="16"/>
  <c r="BY6" i="16"/>
  <c r="BU6" i="16"/>
  <c r="BT6" i="16"/>
  <c r="BS6" i="16"/>
  <c r="BP6" i="16"/>
  <c r="BM6" i="16"/>
  <c r="BJ6" i="16"/>
  <c r="BG6" i="16"/>
  <c r="BD6" i="16"/>
  <c r="BA6" i="16"/>
  <c r="AW6" i="16"/>
  <c r="AV6" i="16"/>
  <c r="AU6" i="16"/>
  <c r="AR6" i="16"/>
  <c r="AO6" i="16"/>
  <c r="AL6" i="16"/>
  <c r="AI6" i="16"/>
  <c r="AF6" i="16"/>
  <c r="AC6" i="16"/>
  <c r="Y6" i="16"/>
  <c r="X6" i="16"/>
  <c r="DS6" i="16" s="1"/>
  <c r="W6" i="16"/>
  <c r="T6" i="16"/>
  <c r="Q6" i="16"/>
  <c r="N6" i="16"/>
  <c r="K6" i="16"/>
  <c r="H6" i="16"/>
  <c r="E6" i="16"/>
  <c r="DQ5" i="16"/>
  <c r="DP5" i="16"/>
  <c r="DO5" i="16"/>
  <c r="DL5" i="16"/>
  <c r="DI5" i="16"/>
  <c r="DF5" i="16"/>
  <c r="DC5" i="16"/>
  <c r="CZ5" i="16"/>
  <c r="CW5" i="16"/>
  <c r="CS5" i="16"/>
  <c r="CR5" i="16"/>
  <c r="CQ5" i="16"/>
  <c r="CN5" i="16"/>
  <c r="CK5" i="16"/>
  <c r="CH5" i="16"/>
  <c r="CE5" i="16"/>
  <c r="CB5" i="16"/>
  <c r="BY5" i="16"/>
  <c r="BU5" i="16"/>
  <c r="BT5" i="16"/>
  <c r="BS5" i="16"/>
  <c r="BP5" i="16"/>
  <c r="BM5" i="16"/>
  <c r="BJ5" i="16"/>
  <c r="BG5" i="16"/>
  <c r="BD5" i="16"/>
  <c r="BA5" i="16"/>
  <c r="AW5" i="16"/>
  <c r="AV5" i="16"/>
  <c r="AU5" i="16"/>
  <c r="AR5" i="16"/>
  <c r="AO5" i="16"/>
  <c r="AL5" i="16"/>
  <c r="AI5" i="16"/>
  <c r="AF5" i="16"/>
  <c r="AC5" i="16"/>
  <c r="Y5" i="16"/>
  <c r="X5" i="16"/>
  <c r="W5" i="16"/>
  <c r="T5" i="16"/>
  <c r="Q5" i="16"/>
  <c r="N5" i="16"/>
  <c r="K5" i="16"/>
  <c r="H5" i="16"/>
  <c r="E5" i="16"/>
  <c r="DQ4" i="16"/>
  <c r="DP4" i="16"/>
  <c r="DO4" i="16"/>
  <c r="DL4" i="16"/>
  <c r="DI4" i="16"/>
  <c r="DF4" i="16"/>
  <c r="DC4" i="16"/>
  <c r="CZ4" i="16"/>
  <c r="CW4" i="16"/>
  <c r="CS4" i="16"/>
  <c r="CR4" i="16"/>
  <c r="CQ4" i="16"/>
  <c r="CN4" i="16"/>
  <c r="CK4" i="16"/>
  <c r="CH4" i="16"/>
  <c r="CE4" i="16"/>
  <c r="CB4" i="16"/>
  <c r="BY4" i="16"/>
  <c r="BU4" i="16"/>
  <c r="BT4" i="16"/>
  <c r="BS4" i="16"/>
  <c r="BP4" i="16"/>
  <c r="BM4" i="16"/>
  <c r="BJ4" i="16"/>
  <c r="BG4" i="16"/>
  <c r="BD4" i="16"/>
  <c r="BA4" i="16"/>
  <c r="AW4" i="16"/>
  <c r="AV4" i="16"/>
  <c r="AU4" i="16"/>
  <c r="AR4" i="16"/>
  <c r="AO4" i="16"/>
  <c r="AL4" i="16"/>
  <c r="AI4" i="16"/>
  <c r="AF4" i="16"/>
  <c r="AC4" i="16"/>
  <c r="Y4" i="16"/>
  <c r="X4" i="16"/>
  <c r="W4" i="16"/>
  <c r="T4" i="16"/>
  <c r="Q4" i="16"/>
  <c r="N4" i="16"/>
  <c r="K4" i="16"/>
  <c r="H4" i="16"/>
  <c r="E4" i="16"/>
  <c r="DQ17" i="14"/>
  <c r="DP17" i="14"/>
  <c r="EB17" i="14" s="1"/>
  <c r="DO17" i="14"/>
  <c r="DL17" i="14"/>
  <c r="DI17" i="14"/>
  <c r="DF17" i="14"/>
  <c r="DC17" i="14"/>
  <c r="CZ17" i="14"/>
  <c r="CW17" i="14"/>
  <c r="CS17" i="14"/>
  <c r="CR17" i="14"/>
  <c r="CQ17" i="14"/>
  <c r="CN17" i="14"/>
  <c r="CK17" i="14"/>
  <c r="CH17" i="14"/>
  <c r="CE17" i="14"/>
  <c r="CB17" i="14"/>
  <c r="BY17" i="14"/>
  <c r="BU17" i="14"/>
  <c r="BT17" i="14"/>
  <c r="BS17" i="14"/>
  <c r="BP17" i="14"/>
  <c r="BM17" i="14"/>
  <c r="BJ17" i="14"/>
  <c r="BG17" i="14"/>
  <c r="BD17" i="14"/>
  <c r="BA17" i="14"/>
  <c r="AW17" i="14"/>
  <c r="AV17" i="14"/>
  <c r="AU17" i="14"/>
  <c r="AR17" i="14"/>
  <c r="AO17" i="14"/>
  <c r="AL17" i="14"/>
  <c r="AI17" i="14"/>
  <c r="AF17" i="14"/>
  <c r="AC17" i="14"/>
  <c r="Y17" i="14"/>
  <c r="X17" i="14"/>
  <c r="W17" i="14"/>
  <c r="T17" i="14"/>
  <c r="Q17" i="14"/>
  <c r="N17" i="14"/>
  <c r="K17" i="14"/>
  <c r="H17" i="14"/>
  <c r="E17" i="14"/>
  <c r="CR16" i="14"/>
  <c r="AV16" i="14"/>
  <c r="AU16" i="14"/>
  <c r="AR16" i="14"/>
  <c r="AO16" i="14"/>
  <c r="AL16" i="14"/>
  <c r="AI16" i="14"/>
  <c r="AF16" i="14"/>
  <c r="AC16" i="14"/>
  <c r="Y16" i="14"/>
  <c r="X16" i="14"/>
  <c r="W16" i="14"/>
  <c r="T16" i="14"/>
  <c r="Q16" i="14"/>
  <c r="N16" i="14"/>
  <c r="K16" i="14"/>
  <c r="H16" i="14"/>
  <c r="E16" i="14"/>
  <c r="CR15" i="14"/>
  <c r="AV15" i="14"/>
  <c r="AU15" i="14"/>
  <c r="AR15" i="14"/>
  <c r="AO15" i="14"/>
  <c r="AL15" i="14"/>
  <c r="AI15" i="14"/>
  <c r="AF15" i="14"/>
  <c r="AC15" i="14"/>
  <c r="Y15" i="14"/>
  <c r="X15" i="14"/>
  <c r="W15" i="14"/>
  <c r="T15" i="14"/>
  <c r="Q15" i="14"/>
  <c r="N15" i="14"/>
  <c r="K15" i="14"/>
  <c r="H15" i="14"/>
  <c r="E15" i="14"/>
  <c r="CR14" i="14"/>
  <c r="AV14" i="14"/>
  <c r="AU14" i="14"/>
  <c r="AR14" i="14"/>
  <c r="AO14" i="14"/>
  <c r="AL14" i="14"/>
  <c r="AI14" i="14"/>
  <c r="AF14" i="14"/>
  <c r="AC14" i="14"/>
  <c r="Y14" i="14"/>
  <c r="X14" i="14"/>
  <c r="W14" i="14"/>
  <c r="T14" i="14"/>
  <c r="Q14" i="14"/>
  <c r="N14" i="14"/>
  <c r="K14" i="14"/>
  <c r="H14" i="14"/>
  <c r="E14" i="14"/>
  <c r="CR13" i="14"/>
  <c r="AV13" i="14"/>
  <c r="AU13" i="14"/>
  <c r="AR13" i="14"/>
  <c r="AO13" i="14"/>
  <c r="AL13" i="14"/>
  <c r="AI13" i="14"/>
  <c r="AF13" i="14"/>
  <c r="AC13" i="14"/>
  <c r="Y13" i="14"/>
  <c r="X13" i="14"/>
  <c r="W13" i="14"/>
  <c r="T13" i="14"/>
  <c r="Q13" i="14"/>
  <c r="N13" i="14"/>
  <c r="K13" i="14"/>
  <c r="H13" i="14"/>
  <c r="E13" i="14"/>
  <c r="CR12" i="14"/>
  <c r="AV12" i="14"/>
  <c r="AO12" i="14"/>
  <c r="AL12" i="14"/>
  <c r="AI12" i="14"/>
  <c r="AF12" i="14"/>
  <c r="AC12" i="14"/>
  <c r="Y12" i="14"/>
  <c r="X12" i="14"/>
  <c r="W12" i="14"/>
  <c r="T12" i="14"/>
  <c r="Q12" i="14"/>
  <c r="N12" i="14"/>
  <c r="K12" i="14"/>
  <c r="H12" i="14"/>
  <c r="E12" i="14"/>
  <c r="CR11" i="14"/>
  <c r="BY11" i="14"/>
  <c r="CT11" i="14" s="1"/>
  <c r="BU11" i="14"/>
  <c r="BT11" i="14"/>
  <c r="BS11" i="14"/>
  <c r="BP11" i="14"/>
  <c r="BM11" i="14"/>
  <c r="BJ11" i="14"/>
  <c r="BG11" i="14"/>
  <c r="BD11" i="14"/>
  <c r="BA11" i="14"/>
  <c r="AV11" i="14"/>
  <c r="AU11" i="14"/>
  <c r="AR11" i="14"/>
  <c r="AO11" i="14"/>
  <c r="AL11" i="14"/>
  <c r="AI11" i="14"/>
  <c r="AF11" i="14"/>
  <c r="AC11" i="14"/>
  <c r="Y11" i="14"/>
  <c r="X11" i="14"/>
  <c r="W11" i="14"/>
  <c r="T11" i="14"/>
  <c r="Q11" i="14"/>
  <c r="N11" i="14"/>
  <c r="K11" i="14"/>
  <c r="H11" i="14"/>
  <c r="E11" i="14"/>
  <c r="CR10" i="14"/>
  <c r="BY10" i="14"/>
  <c r="CT10" i="14" s="1"/>
  <c r="BU10" i="14"/>
  <c r="BT10" i="14"/>
  <c r="BS10" i="14"/>
  <c r="BP10" i="14"/>
  <c r="BM10" i="14"/>
  <c r="BJ10" i="14"/>
  <c r="BG10" i="14"/>
  <c r="BD10" i="14"/>
  <c r="BA10" i="14"/>
  <c r="AW10" i="14"/>
  <c r="AV10" i="14"/>
  <c r="AU10" i="14"/>
  <c r="AR10" i="14"/>
  <c r="AO10" i="14"/>
  <c r="AL10" i="14"/>
  <c r="AI10" i="14"/>
  <c r="AF10" i="14"/>
  <c r="AC10" i="14"/>
  <c r="Y10" i="14"/>
  <c r="X10" i="14"/>
  <c r="W10" i="14"/>
  <c r="T10" i="14"/>
  <c r="Q10" i="14"/>
  <c r="N10" i="14"/>
  <c r="K10" i="14"/>
  <c r="H10" i="14"/>
  <c r="E10" i="14"/>
  <c r="CR9" i="14"/>
  <c r="BY9" i="14"/>
  <c r="CT9" i="14" s="1"/>
  <c r="BU9" i="14"/>
  <c r="BT9" i="14"/>
  <c r="BS9" i="14"/>
  <c r="BP9" i="14"/>
  <c r="BM9" i="14"/>
  <c r="BJ9" i="14"/>
  <c r="BG9" i="14"/>
  <c r="BD9" i="14"/>
  <c r="BA9" i="14"/>
  <c r="AW9" i="14"/>
  <c r="AV9" i="14"/>
  <c r="AU9" i="14"/>
  <c r="AR9" i="14"/>
  <c r="AO9" i="14"/>
  <c r="AL9" i="14"/>
  <c r="AI9" i="14"/>
  <c r="AF9" i="14"/>
  <c r="AC9" i="14"/>
  <c r="Y9" i="14"/>
  <c r="X9" i="14"/>
  <c r="W9" i="14"/>
  <c r="T9" i="14"/>
  <c r="Q9" i="14"/>
  <c r="N9" i="14"/>
  <c r="K9" i="14"/>
  <c r="H9" i="14"/>
  <c r="E9" i="14"/>
  <c r="CR8" i="14"/>
  <c r="BY8" i="14"/>
  <c r="CT8" i="14" s="1"/>
  <c r="BU8" i="14"/>
  <c r="BT8" i="14"/>
  <c r="BS8" i="14"/>
  <c r="BP8" i="14"/>
  <c r="BM8" i="14"/>
  <c r="BJ8" i="14"/>
  <c r="BG8" i="14"/>
  <c r="BD8" i="14"/>
  <c r="BA8" i="14"/>
  <c r="AW8" i="14"/>
  <c r="AV8" i="14"/>
  <c r="AU8" i="14"/>
  <c r="AR8" i="14"/>
  <c r="AO8" i="14"/>
  <c r="AL8" i="14"/>
  <c r="AI8" i="14"/>
  <c r="AF8" i="14"/>
  <c r="AC8" i="14"/>
  <c r="Y8" i="14"/>
  <c r="X8" i="14"/>
  <c r="W8" i="14"/>
  <c r="T8" i="14"/>
  <c r="Q8" i="14"/>
  <c r="N8" i="14"/>
  <c r="K8" i="14"/>
  <c r="H8" i="14"/>
  <c r="E8" i="14"/>
  <c r="CR7" i="14"/>
  <c r="BY7" i="14"/>
  <c r="CT7" i="14" s="1"/>
  <c r="BU7" i="14"/>
  <c r="BT7" i="14"/>
  <c r="BS7" i="14"/>
  <c r="BP7" i="14"/>
  <c r="BM7" i="14"/>
  <c r="BJ7" i="14"/>
  <c r="BG7" i="14"/>
  <c r="BD7" i="14"/>
  <c r="BA7" i="14"/>
  <c r="AW7" i="14"/>
  <c r="AV7" i="14"/>
  <c r="AU7" i="14"/>
  <c r="AR7" i="14"/>
  <c r="AO7" i="14"/>
  <c r="AL7" i="14"/>
  <c r="AI7" i="14"/>
  <c r="AF7" i="14"/>
  <c r="AC7" i="14"/>
  <c r="Y7" i="14"/>
  <c r="X7" i="14"/>
  <c r="W7" i="14"/>
  <c r="T7" i="14"/>
  <c r="Q7" i="14"/>
  <c r="N7" i="14"/>
  <c r="K7" i="14"/>
  <c r="H7" i="14"/>
  <c r="E7" i="14"/>
  <c r="CR6" i="14"/>
  <c r="BY6" i="14"/>
  <c r="CT6" i="14" s="1"/>
  <c r="BU6" i="14"/>
  <c r="BT6" i="14"/>
  <c r="BS6" i="14"/>
  <c r="BP6" i="14"/>
  <c r="BM6" i="14"/>
  <c r="BJ6" i="14"/>
  <c r="BG6" i="14"/>
  <c r="BD6" i="14"/>
  <c r="BA6" i="14"/>
  <c r="AW6" i="14"/>
  <c r="AV6" i="14"/>
  <c r="AU6" i="14"/>
  <c r="AR6" i="14"/>
  <c r="AO6" i="14"/>
  <c r="AL6" i="14"/>
  <c r="AI6" i="14"/>
  <c r="AF6" i="14"/>
  <c r="AC6" i="14"/>
  <c r="Y6" i="14"/>
  <c r="X6" i="14"/>
  <c r="W6" i="14"/>
  <c r="T6" i="14"/>
  <c r="Q6" i="14"/>
  <c r="N6" i="14"/>
  <c r="K6" i="14"/>
  <c r="H6" i="14"/>
  <c r="E6" i="14"/>
  <c r="DQ5" i="14"/>
  <c r="DP5" i="14"/>
  <c r="DO5" i="14"/>
  <c r="DL5" i="14"/>
  <c r="DI5" i="14"/>
  <c r="DF5" i="14"/>
  <c r="DC5" i="14"/>
  <c r="CZ5" i="14"/>
  <c r="CW5" i="14"/>
  <c r="CS5" i="14"/>
  <c r="CR5" i="14"/>
  <c r="CQ5" i="14"/>
  <c r="BY5" i="14"/>
  <c r="BU5" i="14"/>
  <c r="BT5" i="14"/>
  <c r="BS5" i="14"/>
  <c r="BP5" i="14"/>
  <c r="BM5" i="14"/>
  <c r="BJ5" i="14"/>
  <c r="BG5" i="14"/>
  <c r="BD5" i="14"/>
  <c r="BA5" i="14"/>
  <c r="AW5" i="14"/>
  <c r="AV5" i="14"/>
  <c r="AU5" i="14"/>
  <c r="AR5" i="14"/>
  <c r="AO5" i="14"/>
  <c r="AL5" i="14"/>
  <c r="AI5" i="14"/>
  <c r="AF5" i="14"/>
  <c r="AC5" i="14"/>
  <c r="Y5" i="14"/>
  <c r="X5" i="14"/>
  <c r="W5" i="14"/>
  <c r="T5" i="14"/>
  <c r="Q5" i="14"/>
  <c r="N5" i="14"/>
  <c r="K5" i="14"/>
  <c r="H5" i="14"/>
  <c r="E5" i="14"/>
  <c r="DQ4" i="14"/>
  <c r="DP4" i="14"/>
  <c r="EB4" i="14" s="1"/>
  <c r="DO4" i="14"/>
  <c r="DL4" i="14"/>
  <c r="DI4" i="14"/>
  <c r="DF4" i="14"/>
  <c r="DC4" i="14"/>
  <c r="CZ4" i="14"/>
  <c r="CW4" i="14"/>
  <c r="CS4" i="14"/>
  <c r="CR4" i="14"/>
  <c r="CQ4" i="14"/>
  <c r="CN4" i="14"/>
  <c r="CK4" i="14"/>
  <c r="CH4" i="14"/>
  <c r="CE4" i="14"/>
  <c r="CB4" i="14"/>
  <c r="BY4" i="14"/>
  <c r="BU4" i="14"/>
  <c r="BT4" i="14"/>
  <c r="BS4" i="14"/>
  <c r="BP4" i="14"/>
  <c r="BM4" i="14"/>
  <c r="BJ4" i="14"/>
  <c r="BG4" i="14"/>
  <c r="BD4" i="14"/>
  <c r="BA4" i="14"/>
  <c r="AW4" i="14"/>
  <c r="AV4" i="14"/>
  <c r="AU4" i="14"/>
  <c r="AR4" i="14"/>
  <c r="AO4" i="14"/>
  <c r="AL4" i="14"/>
  <c r="AI4" i="14"/>
  <c r="AF4" i="14"/>
  <c r="AC4" i="14"/>
  <c r="Y4" i="14"/>
  <c r="X4" i="14"/>
  <c r="W4" i="14"/>
  <c r="T4" i="14"/>
  <c r="Q4" i="14"/>
  <c r="N4" i="14"/>
  <c r="K4" i="14"/>
  <c r="H4" i="14"/>
  <c r="E4" i="14"/>
  <c r="DQ21" i="13"/>
  <c r="DP21" i="13"/>
  <c r="DO21" i="13"/>
  <c r="DL21" i="13"/>
  <c r="DI21" i="13"/>
  <c r="DF21" i="13"/>
  <c r="DC21" i="13"/>
  <c r="CZ21" i="13"/>
  <c r="CW21" i="13"/>
  <c r="CS21" i="13"/>
  <c r="CR21" i="13"/>
  <c r="CQ21" i="13"/>
  <c r="CN21" i="13"/>
  <c r="CK21" i="13"/>
  <c r="CH21" i="13"/>
  <c r="CE21" i="13"/>
  <c r="CB21" i="13"/>
  <c r="BY21" i="13"/>
  <c r="BU21" i="13"/>
  <c r="BT21" i="13"/>
  <c r="BS21" i="13"/>
  <c r="BP21" i="13"/>
  <c r="BM21" i="13"/>
  <c r="BJ21" i="13"/>
  <c r="BG21" i="13"/>
  <c r="BD21" i="13"/>
  <c r="BA21" i="13"/>
  <c r="AW21" i="13"/>
  <c r="AV21" i="13"/>
  <c r="AU21" i="13"/>
  <c r="AR21" i="13"/>
  <c r="AO21" i="13"/>
  <c r="AL21" i="13"/>
  <c r="AI21" i="13"/>
  <c r="AF21" i="13"/>
  <c r="AC21" i="13"/>
  <c r="Y21" i="13"/>
  <c r="X21" i="13"/>
  <c r="W21" i="13"/>
  <c r="T21" i="13"/>
  <c r="Q21" i="13"/>
  <c r="N21" i="13"/>
  <c r="K21" i="13"/>
  <c r="H21" i="13"/>
  <c r="E21" i="13"/>
  <c r="DQ20" i="13"/>
  <c r="DP20" i="13"/>
  <c r="DO20" i="13"/>
  <c r="DL20" i="13"/>
  <c r="DI20" i="13"/>
  <c r="DF20" i="13"/>
  <c r="DC20" i="13"/>
  <c r="CZ20" i="13"/>
  <c r="CW20" i="13"/>
  <c r="CS20" i="13"/>
  <c r="CR20" i="13"/>
  <c r="CQ20" i="13"/>
  <c r="CN20" i="13"/>
  <c r="CK20" i="13"/>
  <c r="CH20" i="13"/>
  <c r="CE20" i="13"/>
  <c r="CB20" i="13"/>
  <c r="BY20" i="13"/>
  <c r="BU20" i="13"/>
  <c r="BT20" i="13"/>
  <c r="BS20" i="13"/>
  <c r="BP20" i="13"/>
  <c r="BM20" i="13"/>
  <c r="BJ20" i="13"/>
  <c r="BG20" i="13"/>
  <c r="BD20" i="13"/>
  <c r="BA20" i="13"/>
  <c r="AW20" i="13"/>
  <c r="AV20" i="13"/>
  <c r="AU20" i="13"/>
  <c r="AR20" i="13"/>
  <c r="AO20" i="13"/>
  <c r="AL20" i="13"/>
  <c r="AI20" i="13"/>
  <c r="AF20" i="13"/>
  <c r="AC20" i="13"/>
  <c r="Y20" i="13"/>
  <c r="X20" i="13"/>
  <c r="W20" i="13"/>
  <c r="T20" i="13"/>
  <c r="Q20" i="13"/>
  <c r="N20" i="13"/>
  <c r="K20" i="13"/>
  <c r="H20" i="13"/>
  <c r="E20" i="13"/>
  <c r="DQ19" i="13"/>
  <c r="DP19" i="13"/>
  <c r="DO19" i="13"/>
  <c r="DL19" i="13"/>
  <c r="DI19" i="13"/>
  <c r="DF19" i="13"/>
  <c r="DC19" i="13"/>
  <c r="CZ19" i="13"/>
  <c r="CW19" i="13"/>
  <c r="CS19" i="13"/>
  <c r="CR19" i="13"/>
  <c r="CQ19" i="13"/>
  <c r="CN19" i="13"/>
  <c r="CK19" i="13"/>
  <c r="CH19" i="13"/>
  <c r="CE19" i="13"/>
  <c r="CB19" i="13"/>
  <c r="BY19" i="13"/>
  <c r="BU19" i="13"/>
  <c r="BT19" i="13"/>
  <c r="BS19" i="13"/>
  <c r="BP19" i="13"/>
  <c r="BM19" i="13"/>
  <c r="BJ19" i="13"/>
  <c r="BG19" i="13"/>
  <c r="BD19" i="13"/>
  <c r="BA19" i="13"/>
  <c r="AW19" i="13"/>
  <c r="AV19" i="13"/>
  <c r="AU19" i="13"/>
  <c r="AR19" i="13"/>
  <c r="AO19" i="13"/>
  <c r="AL19" i="13"/>
  <c r="AI19" i="13"/>
  <c r="AF19" i="13"/>
  <c r="AC19" i="13"/>
  <c r="Y19" i="13"/>
  <c r="X19" i="13"/>
  <c r="W19" i="13"/>
  <c r="T19" i="13"/>
  <c r="Q19" i="13"/>
  <c r="N19" i="13"/>
  <c r="K19" i="13"/>
  <c r="H19" i="13"/>
  <c r="E19" i="13"/>
  <c r="DQ18" i="13"/>
  <c r="DP18" i="13"/>
  <c r="DO18" i="13"/>
  <c r="DL18" i="13"/>
  <c r="DI18" i="13"/>
  <c r="DF18" i="13"/>
  <c r="DC18" i="13"/>
  <c r="CZ18" i="13"/>
  <c r="CW18" i="13"/>
  <c r="CS18" i="13"/>
  <c r="CR18" i="13"/>
  <c r="CQ18" i="13"/>
  <c r="CN18" i="13"/>
  <c r="CK18" i="13"/>
  <c r="CH18" i="13"/>
  <c r="CE18" i="13"/>
  <c r="CB18" i="13"/>
  <c r="BY18" i="13"/>
  <c r="BU18" i="13"/>
  <c r="BT18" i="13"/>
  <c r="BS18" i="13"/>
  <c r="BP18" i="13"/>
  <c r="BM18" i="13"/>
  <c r="BJ18" i="13"/>
  <c r="BG18" i="13"/>
  <c r="BD18" i="13"/>
  <c r="BA18" i="13"/>
  <c r="AW18" i="13"/>
  <c r="AV18" i="13"/>
  <c r="AU18" i="13"/>
  <c r="AR18" i="13"/>
  <c r="AO18" i="13"/>
  <c r="AL18" i="13"/>
  <c r="AI18" i="13"/>
  <c r="AF18" i="13"/>
  <c r="AC18" i="13"/>
  <c r="Y18" i="13"/>
  <c r="X18" i="13"/>
  <c r="W18" i="13"/>
  <c r="T18" i="13"/>
  <c r="Q18" i="13"/>
  <c r="N18" i="13"/>
  <c r="K18" i="13"/>
  <c r="H18" i="13"/>
  <c r="E18" i="13"/>
  <c r="DQ17" i="13"/>
  <c r="DP17" i="13"/>
  <c r="DO17" i="13"/>
  <c r="DL17" i="13"/>
  <c r="DI17" i="13"/>
  <c r="DF17" i="13"/>
  <c r="DC17" i="13"/>
  <c r="CZ17" i="13"/>
  <c r="CW17" i="13"/>
  <c r="CS17" i="13"/>
  <c r="CR17" i="13"/>
  <c r="CQ17" i="13"/>
  <c r="CN17" i="13"/>
  <c r="CK17" i="13"/>
  <c r="CH17" i="13"/>
  <c r="CE17" i="13"/>
  <c r="CB17" i="13"/>
  <c r="BY17" i="13"/>
  <c r="BU17" i="13"/>
  <c r="BT17" i="13"/>
  <c r="BS17" i="13"/>
  <c r="BP17" i="13"/>
  <c r="BM17" i="13"/>
  <c r="BJ17" i="13"/>
  <c r="BG17" i="13"/>
  <c r="BD17" i="13"/>
  <c r="BA17" i="13"/>
  <c r="AW17" i="13"/>
  <c r="AV17" i="13"/>
  <c r="AU17" i="13"/>
  <c r="AR17" i="13"/>
  <c r="AO17" i="13"/>
  <c r="AL17" i="13"/>
  <c r="AI17" i="13"/>
  <c r="AF17" i="13"/>
  <c r="AC17" i="13"/>
  <c r="Y17" i="13"/>
  <c r="X17" i="13"/>
  <c r="W17" i="13"/>
  <c r="T17" i="13"/>
  <c r="Q17" i="13"/>
  <c r="N17" i="13"/>
  <c r="K17" i="13"/>
  <c r="H17" i="13"/>
  <c r="E17" i="13"/>
  <c r="DQ16" i="13"/>
  <c r="DP16" i="13"/>
  <c r="DO16" i="13"/>
  <c r="DL16" i="13"/>
  <c r="DI16" i="13"/>
  <c r="DF16" i="13"/>
  <c r="DC16" i="13"/>
  <c r="CZ16" i="13"/>
  <c r="CW16" i="13"/>
  <c r="CS16" i="13"/>
  <c r="CR16" i="13"/>
  <c r="CQ16" i="13"/>
  <c r="CN16" i="13"/>
  <c r="CK16" i="13"/>
  <c r="CH16" i="13"/>
  <c r="CE16" i="13"/>
  <c r="CB16" i="13"/>
  <c r="BY16" i="13"/>
  <c r="BU16" i="13"/>
  <c r="BT16" i="13"/>
  <c r="BS16" i="13"/>
  <c r="BP16" i="13"/>
  <c r="BM16" i="13"/>
  <c r="BJ16" i="13"/>
  <c r="BG16" i="13"/>
  <c r="BD16" i="13"/>
  <c r="BA16" i="13"/>
  <c r="AW16" i="13"/>
  <c r="AV16" i="13"/>
  <c r="AU16" i="13"/>
  <c r="AR16" i="13"/>
  <c r="AO16" i="13"/>
  <c r="AL16" i="13"/>
  <c r="AI16" i="13"/>
  <c r="AF16" i="13"/>
  <c r="AC16" i="13"/>
  <c r="Y16" i="13"/>
  <c r="X16" i="13"/>
  <c r="W16" i="13"/>
  <c r="T16" i="13"/>
  <c r="Q16" i="13"/>
  <c r="N16" i="13"/>
  <c r="K16" i="13"/>
  <c r="H16" i="13"/>
  <c r="E16" i="13"/>
  <c r="DQ15" i="13"/>
  <c r="DP15" i="13"/>
  <c r="DO15" i="13"/>
  <c r="DL15" i="13"/>
  <c r="DI15" i="13"/>
  <c r="DF15" i="13"/>
  <c r="DC15" i="13"/>
  <c r="CZ15" i="13"/>
  <c r="CW15" i="13"/>
  <c r="CS15" i="13"/>
  <c r="CR15" i="13"/>
  <c r="CQ15" i="13"/>
  <c r="CN15" i="13"/>
  <c r="CK15" i="13"/>
  <c r="CH15" i="13"/>
  <c r="CE15" i="13"/>
  <c r="CB15" i="13"/>
  <c r="BY15" i="13"/>
  <c r="BU15" i="13"/>
  <c r="BT15" i="13"/>
  <c r="BS15" i="13"/>
  <c r="BP15" i="13"/>
  <c r="BM15" i="13"/>
  <c r="BJ15" i="13"/>
  <c r="BG15" i="13"/>
  <c r="BD15" i="13"/>
  <c r="BA15" i="13"/>
  <c r="AW15" i="13"/>
  <c r="AV15" i="13"/>
  <c r="AU15" i="13"/>
  <c r="AR15" i="13"/>
  <c r="AO15" i="13"/>
  <c r="AL15" i="13"/>
  <c r="AI15" i="13"/>
  <c r="AF15" i="13"/>
  <c r="AC15" i="13"/>
  <c r="Y15" i="13"/>
  <c r="X15" i="13"/>
  <c r="W15" i="13"/>
  <c r="T15" i="13"/>
  <c r="Q15" i="13"/>
  <c r="N15" i="13"/>
  <c r="K15" i="13"/>
  <c r="H15" i="13"/>
  <c r="E15" i="13"/>
  <c r="DQ14" i="13"/>
  <c r="DP14" i="13"/>
  <c r="DO14" i="13"/>
  <c r="DL14" i="13"/>
  <c r="DI14" i="13"/>
  <c r="DF14" i="13"/>
  <c r="DC14" i="13"/>
  <c r="CZ14" i="13"/>
  <c r="CW14" i="13"/>
  <c r="CS14" i="13"/>
  <c r="CR14" i="13"/>
  <c r="CQ14" i="13"/>
  <c r="CN14" i="13"/>
  <c r="CK14" i="13"/>
  <c r="CH14" i="13"/>
  <c r="CE14" i="13"/>
  <c r="CB14" i="13"/>
  <c r="BY14" i="13"/>
  <c r="BU14" i="13"/>
  <c r="BT14" i="13"/>
  <c r="BP14" i="13"/>
  <c r="BM14" i="13"/>
  <c r="BJ14" i="13"/>
  <c r="BG14" i="13"/>
  <c r="BD14" i="13"/>
  <c r="BA14" i="13"/>
  <c r="AW14" i="13"/>
  <c r="AV14" i="13"/>
  <c r="AU14" i="13"/>
  <c r="AR14" i="13"/>
  <c r="AO14" i="13"/>
  <c r="AL14" i="13"/>
  <c r="AI14" i="13"/>
  <c r="AF14" i="13"/>
  <c r="AC14" i="13"/>
  <c r="Y14" i="13"/>
  <c r="X14" i="13"/>
  <c r="W14" i="13"/>
  <c r="T14" i="13"/>
  <c r="Q14" i="13"/>
  <c r="N14" i="13"/>
  <c r="K14" i="13"/>
  <c r="H14" i="13"/>
  <c r="E14" i="13"/>
  <c r="DQ13" i="13"/>
  <c r="DP13" i="13"/>
  <c r="DO13" i="13"/>
  <c r="DL13" i="13"/>
  <c r="DI13" i="13"/>
  <c r="DF13" i="13"/>
  <c r="DC13" i="13"/>
  <c r="CZ13" i="13"/>
  <c r="CW13" i="13"/>
  <c r="CS13" i="13"/>
  <c r="CR13" i="13"/>
  <c r="CQ13" i="13"/>
  <c r="CN13" i="13"/>
  <c r="CK13" i="13"/>
  <c r="CH13" i="13"/>
  <c r="CE13" i="13"/>
  <c r="CB13" i="13"/>
  <c r="BY13" i="13"/>
  <c r="BU13" i="13"/>
  <c r="BT13" i="13"/>
  <c r="BS13" i="13"/>
  <c r="BP13" i="13"/>
  <c r="BM13" i="13"/>
  <c r="BJ13" i="13"/>
  <c r="BG13" i="13"/>
  <c r="BD13" i="13"/>
  <c r="BA13" i="13"/>
  <c r="AW13" i="13"/>
  <c r="AV13" i="13"/>
  <c r="AU13" i="13"/>
  <c r="AR13" i="13"/>
  <c r="AO13" i="13"/>
  <c r="AL13" i="13"/>
  <c r="AI13" i="13"/>
  <c r="AF13" i="13"/>
  <c r="AC13" i="13"/>
  <c r="Y13" i="13"/>
  <c r="X13" i="13"/>
  <c r="W13" i="13"/>
  <c r="T13" i="13"/>
  <c r="Q13" i="13"/>
  <c r="N13" i="13"/>
  <c r="K13" i="13"/>
  <c r="H13" i="13"/>
  <c r="E13" i="13"/>
  <c r="DQ12" i="13"/>
  <c r="DP12" i="13"/>
  <c r="DO12" i="13"/>
  <c r="DL12" i="13"/>
  <c r="DI12" i="13"/>
  <c r="DF12" i="13"/>
  <c r="DC12" i="13"/>
  <c r="CZ12" i="13"/>
  <c r="CW12" i="13"/>
  <c r="CS12" i="13"/>
  <c r="CR12" i="13"/>
  <c r="CQ12" i="13"/>
  <c r="CN12" i="13"/>
  <c r="CK12" i="13"/>
  <c r="CH12" i="13"/>
  <c r="CE12" i="13"/>
  <c r="CB12" i="13"/>
  <c r="BY12" i="13"/>
  <c r="BU12" i="13"/>
  <c r="BT12" i="13"/>
  <c r="BS12" i="13"/>
  <c r="BP12" i="13"/>
  <c r="BM12" i="13"/>
  <c r="BJ12" i="13"/>
  <c r="BG12" i="13"/>
  <c r="BD12" i="13"/>
  <c r="BA12" i="13"/>
  <c r="AW12" i="13"/>
  <c r="AV12" i="13"/>
  <c r="AU12" i="13"/>
  <c r="AR12" i="13"/>
  <c r="AO12" i="13"/>
  <c r="AL12" i="13"/>
  <c r="AI12" i="13"/>
  <c r="AF12" i="13"/>
  <c r="AC12" i="13"/>
  <c r="Y12" i="13"/>
  <c r="X12" i="13"/>
  <c r="W12" i="13"/>
  <c r="T12" i="13"/>
  <c r="Q12" i="13"/>
  <c r="N12" i="13"/>
  <c r="K12" i="13"/>
  <c r="H12" i="13"/>
  <c r="E12" i="13"/>
  <c r="DQ11" i="13"/>
  <c r="DP11" i="13"/>
  <c r="DO11" i="13"/>
  <c r="DL11" i="13"/>
  <c r="DI11" i="13"/>
  <c r="DF11" i="13"/>
  <c r="DC11" i="13"/>
  <c r="CZ11" i="13"/>
  <c r="CW11" i="13"/>
  <c r="CS11" i="13"/>
  <c r="CR11" i="13"/>
  <c r="CQ11" i="13"/>
  <c r="CN11" i="13"/>
  <c r="CK11" i="13"/>
  <c r="CH11" i="13"/>
  <c r="CE11" i="13"/>
  <c r="CB11" i="13"/>
  <c r="BY11" i="13"/>
  <c r="BU11" i="13"/>
  <c r="BT11" i="13"/>
  <c r="BS11" i="13"/>
  <c r="BP11" i="13"/>
  <c r="BM11" i="13"/>
  <c r="BJ11" i="13"/>
  <c r="BG11" i="13"/>
  <c r="BD11" i="13"/>
  <c r="BA11" i="13"/>
  <c r="AW11" i="13"/>
  <c r="AV11" i="13"/>
  <c r="AU11" i="13"/>
  <c r="AR11" i="13"/>
  <c r="AO11" i="13"/>
  <c r="AL11" i="13"/>
  <c r="AI11" i="13"/>
  <c r="AF11" i="13"/>
  <c r="AC11" i="13"/>
  <c r="Y11" i="13"/>
  <c r="X11" i="13"/>
  <c r="W11" i="13"/>
  <c r="T11" i="13"/>
  <c r="Q11" i="13"/>
  <c r="N11" i="13"/>
  <c r="K11" i="13"/>
  <c r="H11" i="13"/>
  <c r="E11" i="13"/>
  <c r="DQ10" i="13"/>
  <c r="DP10" i="13"/>
  <c r="DO10" i="13"/>
  <c r="DL10" i="13"/>
  <c r="DI10" i="13"/>
  <c r="DF10" i="13"/>
  <c r="DC10" i="13"/>
  <c r="CZ10" i="13"/>
  <c r="CW10" i="13"/>
  <c r="CS10" i="13"/>
  <c r="CR10" i="13"/>
  <c r="CQ10" i="13"/>
  <c r="CN10" i="13"/>
  <c r="CK10" i="13"/>
  <c r="CH10" i="13"/>
  <c r="CE10" i="13"/>
  <c r="CB10" i="13"/>
  <c r="BY10" i="13"/>
  <c r="BU10" i="13"/>
  <c r="BT10" i="13"/>
  <c r="BS10" i="13"/>
  <c r="BP10" i="13"/>
  <c r="BM10" i="13"/>
  <c r="BJ10" i="13"/>
  <c r="BG10" i="13"/>
  <c r="BD10" i="13"/>
  <c r="BA10" i="13"/>
  <c r="AW10" i="13"/>
  <c r="AV10" i="13"/>
  <c r="AU10" i="13"/>
  <c r="AR10" i="13"/>
  <c r="AO10" i="13"/>
  <c r="AL10" i="13"/>
  <c r="AI10" i="13"/>
  <c r="AF10" i="13"/>
  <c r="AC10" i="13"/>
  <c r="Y10" i="13"/>
  <c r="X10" i="13"/>
  <c r="W10" i="13"/>
  <c r="T10" i="13"/>
  <c r="Q10" i="13"/>
  <c r="N10" i="13"/>
  <c r="K10" i="13"/>
  <c r="H10" i="13"/>
  <c r="E10" i="13"/>
  <c r="DQ9" i="13"/>
  <c r="DP9" i="13"/>
  <c r="DO9" i="13"/>
  <c r="DL9" i="13"/>
  <c r="DI9" i="13"/>
  <c r="DF9" i="13"/>
  <c r="DC9" i="13"/>
  <c r="CZ9" i="13"/>
  <c r="CW9" i="13"/>
  <c r="CS9" i="13"/>
  <c r="CR9" i="13"/>
  <c r="CQ9" i="13"/>
  <c r="CN9" i="13"/>
  <c r="CK9" i="13"/>
  <c r="CH9" i="13"/>
  <c r="CE9" i="13"/>
  <c r="CB9" i="13"/>
  <c r="BY9" i="13"/>
  <c r="BU9" i="13"/>
  <c r="BT9" i="13"/>
  <c r="BS9" i="13"/>
  <c r="BP9" i="13"/>
  <c r="BM9" i="13"/>
  <c r="BJ9" i="13"/>
  <c r="BG9" i="13"/>
  <c r="BD9" i="13"/>
  <c r="BA9" i="13"/>
  <c r="AW9" i="13"/>
  <c r="AV9" i="13"/>
  <c r="AU9" i="13"/>
  <c r="AR9" i="13"/>
  <c r="AO9" i="13"/>
  <c r="AL9" i="13"/>
  <c r="AI9" i="13"/>
  <c r="AF9" i="13"/>
  <c r="AC9" i="13"/>
  <c r="Y9" i="13"/>
  <c r="X9" i="13"/>
  <c r="W9" i="13"/>
  <c r="T9" i="13"/>
  <c r="Q9" i="13"/>
  <c r="N9" i="13"/>
  <c r="K9" i="13"/>
  <c r="H9" i="13"/>
  <c r="E9" i="13"/>
  <c r="DQ8" i="13"/>
  <c r="DP8" i="13"/>
  <c r="DO8" i="13"/>
  <c r="DL8" i="13"/>
  <c r="DI8" i="13"/>
  <c r="DF8" i="13"/>
  <c r="DC8" i="13"/>
  <c r="CZ8" i="13"/>
  <c r="CW8" i="13"/>
  <c r="CS8" i="13"/>
  <c r="CR8" i="13"/>
  <c r="CQ8" i="13"/>
  <c r="CN8" i="13"/>
  <c r="CK8" i="13"/>
  <c r="CH8" i="13"/>
  <c r="CE8" i="13"/>
  <c r="CB8" i="13"/>
  <c r="BY8" i="13"/>
  <c r="BU8" i="13"/>
  <c r="BT8" i="13"/>
  <c r="BS8" i="13"/>
  <c r="BP8" i="13"/>
  <c r="BM8" i="13"/>
  <c r="BJ8" i="13"/>
  <c r="BG8" i="13"/>
  <c r="BD8" i="13"/>
  <c r="BA8" i="13"/>
  <c r="AW8" i="13"/>
  <c r="AV8" i="13"/>
  <c r="AU8" i="13"/>
  <c r="AR8" i="13"/>
  <c r="AO8" i="13"/>
  <c r="AL8" i="13"/>
  <c r="AI8" i="13"/>
  <c r="AF8" i="13"/>
  <c r="AC8" i="13"/>
  <c r="Y8" i="13"/>
  <c r="X8" i="13"/>
  <c r="W8" i="13"/>
  <c r="T8" i="13"/>
  <c r="Q8" i="13"/>
  <c r="N8" i="13"/>
  <c r="K8" i="13"/>
  <c r="H8" i="13"/>
  <c r="E8" i="13"/>
  <c r="DQ7" i="13"/>
  <c r="DP7" i="13"/>
  <c r="DO7" i="13"/>
  <c r="DL7" i="13"/>
  <c r="DI7" i="13"/>
  <c r="DF7" i="13"/>
  <c r="DC7" i="13"/>
  <c r="CZ7" i="13"/>
  <c r="CW7" i="13"/>
  <c r="CS7" i="13"/>
  <c r="CR7" i="13"/>
  <c r="CQ7" i="13"/>
  <c r="CN7" i="13"/>
  <c r="CK7" i="13"/>
  <c r="CH7" i="13"/>
  <c r="CE7" i="13"/>
  <c r="CB7" i="13"/>
  <c r="BY7" i="13"/>
  <c r="BU7" i="13"/>
  <c r="BT7" i="13"/>
  <c r="BS7" i="13"/>
  <c r="BP7" i="13"/>
  <c r="BM7" i="13"/>
  <c r="BJ7" i="13"/>
  <c r="BG7" i="13"/>
  <c r="BD7" i="13"/>
  <c r="BA7" i="13"/>
  <c r="AW7" i="13"/>
  <c r="AV7" i="13"/>
  <c r="AU7" i="13"/>
  <c r="AR7" i="13"/>
  <c r="AO7" i="13"/>
  <c r="AL7" i="13"/>
  <c r="AI7" i="13"/>
  <c r="AF7" i="13"/>
  <c r="AC7" i="13"/>
  <c r="Y7" i="13"/>
  <c r="X7" i="13"/>
  <c r="W7" i="13"/>
  <c r="T7" i="13"/>
  <c r="Q7" i="13"/>
  <c r="N7" i="13"/>
  <c r="K7" i="13"/>
  <c r="H7" i="13"/>
  <c r="E7" i="13"/>
  <c r="DQ6" i="13"/>
  <c r="DP6" i="13"/>
  <c r="DO6" i="13"/>
  <c r="DL6" i="13"/>
  <c r="DI6" i="13"/>
  <c r="DF6" i="13"/>
  <c r="DC6" i="13"/>
  <c r="CZ6" i="13"/>
  <c r="CW6" i="13"/>
  <c r="CS6" i="13"/>
  <c r="CR6" i="13"/>
  <c r="CQ6" i="13"/>
  <c r="CN6" i="13"/>
  <c r="CK6" i="13"/>
  <c r="CH6" i="13"/>
  <c r="CE6" i="13"/>
  <c r="CB6" i="13"/>
  <c r="BY6" i="13"/>
  <c r="BU6" i="13"/>
  <c r="BT6" i="13"/>
  <c r="BS6" i="13"/>
  <c r="BP6" i="13"/>
  <c r="BM6" i="13"/>
  <c r="BJ6" i="13"/>
  <c r="BG6" i="13"/>
  <c r="BD6" i="13"/>
  <c r="BA6" i="13"/>
  <c r="AW6" i="13"/>
  <c r="AV6" i="13"/>
  <c r="AU6" i="13"/>
  <c r="AR6" i="13"/>
  <c r="AO6" i="13"/>
  <c r="AL6" i="13"/>
  <c r="AI6" i="13"/>
  <c r="AF6" i="13"/>
  <c r="AC6" i="13"/>
  <c r="Y6" i="13"/>
  <c r="X6" i="13"/>
  <c r="W6" i="13"/>
  <c r="T6" i="13"/>
  <c r="Q6" i="13"/>
  <c r="N6" i="13"/>
  <c r="K6" i="13"/>
  <c r="H6" i="13"/>
  <c r="E6" i="13"/>
  <c r="DQ5" i="13"/>
  <c r="DP5" i="13"/>
  <c r="DO5" i="13"/>
  <c r="DL5" i="13"/>
  <c r="DI5" i="13"/>
  <c r="DF5" i="13"/>
  <c r="DC5" i="13"/>
  <c r="CZ5" i="13"/>
  <c r="CW5" i="13"/>
  <c r="CS5" i="13"/>
  <c r="CR5" i="13"/>
  <c r="CQ5" i="13"/>
  <c r="CN5" i="13"/>
  <c r="CK5" i="13"/>
  <c r="CH5" i="13"/>
  <c r="CE5" i="13"/>
  <c r="CB5" i="13"/>
  <c r="BY5" i="13"/>
  <c r="BU5" i="13"/>
  <c r="BT5" i="13"/>
  <c r="BS5" i="13"/>
  <c r="BP5" i="13"/>
  <c r="BM5" i="13"/>
  <c r="BJ5" i="13"/>
  <c r="BG5" i="13"/>
  <c r="BD5" i="13"/>
  <c r="BA5" i="13"/>
  <c r="AW5" i="13"/>
  <c r="AV5" i="13"/>
  <c r="AU5" i="13"/>
  <c r="AR5" i="13"/>
  <c r="AO5" i="13"/>
  <c r="AL5" i="13"/>
  <c r="AI5" i="13"/>
  <c r="AF5" i="13"/>
  <c r="AC5" i="13"/>
  <c r="Y5" i="13"/>
  <c r="X5" i="13"/>
  <c r="W5" i="13"/>
  <c r="T5" i="13"/>
  <c r="Q5" i="13"/>
  <c r="N5" i="13"/>
  <c r="K5" i="13"/>
  <c r="H5" i="13"/>
  <c r="E5" i="13"/>
  <c r="DQ4" i="13"/>
  <c r="DP4" i="13"/>
  <c r="DO4" i="13"/>
  <c r="DL4" i="13"/>
  <c r="DI4" i="13"/>
  <c r="DF4" i="13"/>
  <c r="DC4" i="13"/>
  <c r="CZ4" i="13"/>
  <c r="CW4" i="13"/>
  <c r="CS4" i="13"/>
  <c r="CR4" i="13"/>
  <c r="CQ4" i="13"/>
  <c r="CN4" i="13"/>
  <c r="CK4" i="13"/>
  <c r="CH4" i="13"/>
  <c r="CE4" i="13"/>
  <c r="CB4" i="13"/>
  <c r="BY4" i="13"/>
  <c r="BU4" i="13"/>
  <c r="BT4" i="13"/>
  <c r="BS4" i="13"/>
  <c r="BP4" i="13"/>
  <c r="BM4" i="13"/>
  <c r="BJ4" i="13"/>
  <c r="BG4" i="13"/>
  <c r="BD4" i="13"/>
  <c r="BA4" i="13"/>
  <c r="AW4" i="13"/>
  <c r="AV4" i="13"/>
  <c r="AU4" i="13"/>
  <c r="AR4" i="13"/>
  <c r="AO4" i="13"/>
  <c r="AL4" i="13"/>
  <c r="AI4" i="13"/>
  <c r="AF4" i="13"/>
  <c r="AC4" i="13"/>
  <c r="Y4" i="13"/>
  <c r="X4" i="13"/>
  <c r="W4" i="13"/>
  <c r="T4" i="13"/>
  <c r="Q4" i="13"/>
  <c r="N4" i="13"/>
  <c r="K4" i="13"/>
  <c r="H4" i="13"/>
  <c r="E4" i="13"/>
  <c r="DQ24" i="11"/>
  <c r="DP24" i="11"/>
  <c r="DO24" i="11"/>
  <c r="DL24" i="11"/>
  <c r="DI24" i="11"/>
  <c r="DF24" i="11"/>
  <c r="DC24" i="11"/>
  <c r="CZ24" i="11"/>
  <c r="CW24" i="11"/>
  <c r="CS24" i="11"/>
  <c r="CR24" i="11"/>
  <c r="CQ24" i="11"/>
  <c r="CN24" i="11"/>
  <c r="CK24" i="11"/>
  <c r="CH24" i="11"/>
  <c r="CE24" i="11"/>
  <c r="CB24" i="11"/>
  <c r="BY24" i="11"/>
  <c r="BU24" i="11"/>
  <c r="BT24" i="11"/>
  <c r="BS24" i="11"/>
  <c r="BP24" i="11"/>
  <c r="BM24" i="11"/>
  <c r="BJ24" i="11"/>
  <c r="BG24" i="11"/>
  <c r="BD24" i="11"/>
  <c r="BA24" i="11"/>
  <c r="AW24" i="11"/>
  <c r="AV24" i="11"/>
  <c r="AU24" i="11"/>
  <c r="AR24" i="11"/>
  <c r="AO24" i="11"/>
  <c r="AL24" i="11"/>
  <c r="AI24" i="11"/>
  <c r="AF24" i="11"/>
  <c r="AC24" i="11"/>
  <c r="Y24" i="11"/>
  <c r="X24" i="11"/>
  <c r="W24" i="11"/>
  <c r="T24" i="11"/>
  <c r="Q24" i="11"/>
  <c r="N24" i="11"/>
  <c r="K24" i="11"/>
  <c r="H24" i="11"/>
  <c r="E24" i="11"/>
  <c r="DQ23" i="11"/>
  <c r="DP23" i="11"/>
  <c r="DO23" i="11"/>
  <c r="DL23" i="11"/>
  <c r="DI23" i="11"/>
  <c r="DF23" i="11"/>
  <c r="DC23" i="11"/>
  <c r="CZ23" i="11"/>
  <c r="CW23" i="11"/>
  <c r="CS23" i="11"/>
  <c r="CR23" i="11"/>
  <c r="CQ23" i="11"/>
  <c r="CN23" i="11"/>
  <c r="CK23" i="11"/>
  <c r="CH23" i="11"/>
  <c r="CE23" i="11"/>
  <c r="CB23" i="11"/>
  <c r="BY23" i="11"/>
  <c r="BU23" i="11"/>
  <c r="BT23" i="11"/>
  <c r="BS23" i="11"/>
  <c r="BP23" i="11"/>
  <c r="BM23" i="11"/>
  <c r="BJ23" i="11"/>
  <c r="BG23" i="11"/>
  <c r="BD23" i="11"/>
  <c r="BA23" i="11"/>
  <c r="AW23" i="11"/>
  <c r="AV23" i="11"/>
  <c r="AU23" i="11"/>
  <c r="AR23" i="11"/>
  <c r="AO23" i="11"/>
  <c r="AL23" i="11"/>
  <c r="AI23" i="11"/>
  <c r="AF23" i="11"/>
  <c r="AC23" i="11"/>
  <c r="Y23" i="11"/>
  <c r="X23" i="11"/>
  <c r="W23" i="11"/>
  <c r="T23" i="11"/>
  <c r="Q23" i="11"/>
  <c r="N23" i="11"/>
  <c r="K23" i="11"/>
  <c r="H23" i="11"/>
  <c r="E23" i="11"/>
  <c r="DQ22" i="11"/>
  <c r="DP22" i="11"/>
  <c r="DO22" i="11"/>
  <c r="DL22" i="11"/>
  <c r="DI22" i="11"/>
  <c r="DF22" i="11"/>
  <c r="DC22" i="11"/>
  <c r="CZ22" i="11"/>
  <c r="CW22" i="11"/>
  <c r="CS22" i="11"/>
  <c r="CR22" i="11"/>
  <c r="CQ22" i="11"/>
  <c r="CN22" i="11"/>
  <c r="CK22" i="11"/>
  <c r="CH22" i="11"/>
  <c r="CE22" i="11"/>
  <c r="CB22" i="11"/>
  <c r="BY22" i="11"/>
  <c r="BU22" i="11"/>
  <c r="BT22" i="11"/>
  <c r="BS22" i="11"/>
  <c r="BP22" i="11"/>
  <c r="BM22" i="11"/>
  <c r="BJ22" i="11"/>
  <c r="BG22" i="11"/>
  <c r="BD22" i="11"/>
  <c r="BA22" i="11"/>
  <c r="AW22" i="11"/>
  <c r="AV22" i="11"/>
  <c r="AU22" i="11"/>
  <c r="AR22" i="11"/>
  <c r="AO22" i="11"/>
  <c r="AL22" i="11"/>
  <c r="AI22" i="11"/>
  <c r="AF22" i="11"/>
  <c r="AC22" i="11"/>
  <c r="Y22" i="11"/>
  <c r="X22" i="11"/>
  <c r="W22" i="11"/>
  <c r="T22" i="11"/>
  <c r="Q22" i="11"/>
  <c r="N22" i="11"/>
  <c r="K22" i="11"/>
  <c r="H22" i="11"/>
  <c r="E22" i="11"/>
  <c r="DQ21" i="11"/>
  <c r="DP21" i="11"/>
  <c r="DO21" i="11"/>
  <c r="DL21" i="11"/>
  <c r="DI21" i="11"/>
  <c r="DF21" i="11"/>
  <c r="DC21" i="11"/>
  <c r="CZ21" i="11"/>
  <c r="CW21" i="11"/>
  <c r="CS21" i="11"/>
  <c r="CR21" i="11"/>
  <c r="CQ21" i="11"/>
  <c r="CN21" i="11"/>
  <c r="CK21" i="11"/>
  <c r="CH21" i="11"/>
  <c r="CE21" i="11"/>
  <c r="CB21" i="11"/>
  <c r="BY21" i="11"/>
  <c r="BU21" i="11"/>
  <c r="BT21" i="11"/>
  <c r="BS21" i="11"/>
  <c r="BP21" i="11"/>
  <c r="BM21" i="11"/>
  <c r="BJ21" i="11"/>
  <c r="BG21" i="11"/>
  <c r="BD21" i="11"/>
  <c r="BA21" i="11"/>
  <c r="AW21" i="11"/>
  <c r="AV21" i="11"/>
  <c r="AU21" i="11"/>
  <c r="AR21" i="11"/>
  <c r="AO21" i="11"/>
  <c r="AL21" i="11"/>
  <c r="AI21" i="11"/>
  <c r="AF21" i="11"/>
  <c r="AC21" i="11"/>
  <c r="Y21" i="11"/>
  <c r="X21" i="11"/>
  <c r="W21" i="11"/>
  <c r="T21" i="11"/>
  <c r="Q21" i="11"/>
  <c r="N21" i="11"/>
  <c r="K21" i="11"/>
  <c r="H21" i="11"/>
  <c r="E21" i="11"/>
  <c r="DQ20" i="11"/>
  <c r="DP20" i="11"/>
  <c r="DO20" i="11"/>
  <c r="DL20" i="11"/>
  <c r="DI20" i="11"/>
  <c r="DF20" i="11"/>
  <c r="DC20" i="11"/>
  <c r="CZ20" i="11"/>
  <c r="CW20" i="11"/>
  <c r="CS20" i="11"/>
  <c r="CR20" i="11"/>
  <c r="CQ20" i="11"/>
  <c r="CN20" i="11"/>
  <c r="CK20" i="11"/>
  <c r="CH20" i="11"/>
  <c r="CE20" i="11"/>
  <c r="CB20" i="11"/>
  <c r="BY20" i="11"/>
  <c r="BU20" i="11"/>
  <c r="BT20" i="11"/>
  <c r="BS20" i="11"/>
  <c r="BP20" i="11"/>
  <c r="BM20" i="11"/>
  <c r="BJ20" i="11"/>
  <c r="BG20" i="11"/>
  <c r="BD20" i="11"/>
  <c r="BA20" i="11"/>
  <c r="AW20" i="11"/>
  <c r="AV20" i="11"/>
  <c r="AU20" i="11"/>
  <c r="AR20" i="11"/>
  <c r="AO20" i="11"/>
  <c r="AL20" i="11"/>
  <c r="AI20" i="11"/>
  <c r="AF20" i="11"/>
  <c r="AC20" i="11"/>
  <c r="Y20" i="11"/>
  <c r="X20" i="11"/>
  <c r="W20" i="11"/>
  <c r="T20" i="11"/>
  <c r="Q20" i="11"/>
  <c r="N20" i="11"/>
  <c r="K20" i="11"/>
  <c r="H20" i="11"/>
  <c r="E20" i="11"/>
  <c r="DQ19" i="11"/>
  <c r="DP19" i="11"/>
  <c r="DO19" i="11"/>
  <c r="DL19" i="11"/>
  <c r="DI19" i="11"/>
  <c r="DF19" i="11"/>
  <c r="DC19" i="11"/>
  <c r="CZ19" i="11"/>
  <c r="CW19" i="11"/>
  <c r="CS19" i="11"/>
  <c r="CR19" i="11"/>
  <c r="CQ19" i="11"/>
  <c r="CN19" i="11"/>
  <c r="CK19" i="11"/>
  <c r="CH19" i="11"/>
  <c r="CE19" i="11"/>
  <c r="CB19" i="11"/>
  <c r="BY19" i="11"/>
  <c r="BU19" i="11"/>
  <c r="BT19" i="11"/>
  <c r="BS19" i="11"/>
  <c r="BP19" i="11"/>
  <c r="BM19" i="11"/>
  <c r="BJ19" i="11"/>
  <c r="BG19" i="11"/>
  <c r="BD19" i="11"/>
  <c r="BA19" i="11"/>
  <c r="AW19" i="11"/>
  <c r="AV19" i="11"/>
  <c r="AU19" i="11"/>
  <c r="AR19" i="11"/>
  <c r="AO19" i="11"/>
  <c r="AL19" i="11"/>
  <c r="AI19" i="11"/>
  <c r="AF19" i="11"/>
  <c r="AC19" i="11"/>
  <c r="Y19" i="11"/>
  <c r="X19" i="11"/>
  <c r="W19" i="11"/>
  <c r="T19" i="11"/>
  <c r="Q19" i="11"/>
  <c r="N19" i="11"/>
  <c r="K19" i="11"/>
  <c r="H19" i="11"/>
  <c r="E19" i="11"/>
  <c r="DQ17" i="11"/>
  <c r="DP17" i="11"/>
  <c r="DO17" i="11"/>
  <c r="DL17" i="11"/>
  <c r="DI17" i="11"/>
  <c r="DF17" i="11"/>
  <c r="DC17" i="11"/>
  <c r="CZ17" i="11"/>
  <c r="CW17" i="11"/>
  <c r="CS17" i="11"/>
  <c r="CR17" i="11"/>
  <c r="CQ17" i="11"/>
  <c r="CN17" i="11"/>
  <c r="CK17" i="11"/>
  <c r="CH17" i="11"/>
  <c r="CE17" i="11"/>
  <c r="CB17" i="11"/>
  <c r="BY17" i="11"/>
  <c r="BU17" i="11"/>
  <c r="BT17" i="11"/>
  <c r="BS17" i="11"/>
  <c r="BP17" i="11"/>
  <c r="BM17" i="11"/>
  <c r="BJ17" i="11"/>
  <c r="BG17" i="11"/>
  <c r="BD17" i="11"/>
  <c r="BA17" i="11"/>
  <c r="AW17" i="11"/>
  <c r="AV17" i="11"/>
  <c r="AU17" i="11"/>
  <c r="AR17" i="11"/>
  <c r="AO17" i="11"/>
  <c r="AL17" i="11"/>
  <c r="AI17" i="11"/>
  <c r="AF17" i="11"/>
  <c r="AC17" i="11"/>
  <c r="Y17" i="11"/>
  <c r="X17" i="11"/>
  <c r="W17" i="11"/>
  <c r="T17" i="11"/>
  <c r="Q17" i="11"/>
  <c r="N17" i="11"/>
  <c r="K17" i="11"/>
  <c r="H17" i="11"/>
  <c r="E17" i="11"/>
  <c r="DQ16" i="11"/>
  <c r="DP16" i="11"/>
  <c r="DO16" i="11"/>
  <c r="DL16" i="11"/>
  <c r="DI16" i="11"/>
  <c r="DF16" i="11"/>
  <c r="DC16" i="11"/>
  <c r="CZ16" i="11"/>
  <c r="CW16" i="11"/>
  <c r="CS16" i="11"/>
  <c r="CR16" i="11"/>
  <c r="CQ16" i="11"/>
  <c r="CN16" i="11"/>
  <c r="CK16" i="11"/>
  <c r="CH16" i="11"/>
  <c r="CE16" i="11"/>
  <c r="CB16" i="11"/>
  <c r="BY16" i="11"/>
  <c r="BU16" i="11"/>
  <c r="BT16" i="11"/>
  <c r="BS16" i="11"/>
  <c r="BP16" i="11"/>
  <c r="BM16" i="11"/>
  <c r="BJ16" i="11"/>
  <c r="BG16" i="11"/>
  <c r="BD16" i="11"/>
  <c r="BA16" i="11"/>
  <c r="AW16" i="11"/>
  <c r="AV16" i="11"/>
  <c r="AU16" i="11"/>
  <c r="AR16" i="11"/>
  <c r="AO16" i="11"/>
  <c r="AL16" i="11"/>
  <c r="AI16" i="11"/>
  <c r="AF16" i="11"/>
  <c r="AC16" i="11"/>
  <c r="Y16" i="11"/>
  <c r="X16" i="11"/>
  <c r="W16" i="11"/>
  <c r="T16" i="11"/>
  <c r="Q16" i="11"/>
  <c r="N16" i="11"/>
  <c r="K16" i="11"/>
  <c r="H16" i="11"/>
  <c r="E16" i="11"/>
  <c r="DQ12" i="11"/>
  <c r="DP12" i="11"/>
  <c r="DO12" i="11"/>
  <c r="DL12" i="11"/>
  <c r="DI12" i="11"/>
  <c r="DF12" i="11"/>
  <c r="DC12" i="11"/>
  <c r="CZ12" i="11"/>
  <c r="CW12" i="11"/>
  <c r="CS12" i="11"/>
  <c r="CR12" i="11"/>
  <c r="CQ12" i="11"/>
  <c r="CN12" i="11"/>
  <c r="CK12" i="11"/>
  <c r="CH12" i="11"/>
  <c r="CE12" i="11"/>
  <c r="CB12" i="11"/>
  <c r="BY12" i="11"/>
  <c r="BU12" i="11"/>
  <c r="BT12" i="11"/>
  <c r="BS12" i="11"/>
  <c r="BP12" i="11"/>
  <c r="BM12" i="11"/>
  <c r="BJ12" i="11"/>
  <c r="BG12" i="11"/>
  <c r="BD12" i="11"/>
  <c r="BA12" i="11"/>
  <c r="AW12" i="11"/>
  <c r="AV12" i="11"/>
  <c r="AU12" i="11"/>
  <c r="AR12" i="11"/>
  <c r="AO12" i="11"/>
  <c r="AL12" i="11"/>
  <c r="AI12" i="11"/>
  <c r="AF12" i="11"/>
  <c r="AC12" i="11"/>
  <c r="Y12" i="11"/>
  <c r="X12" i="11"/>
  <c r="W12" i="11"/>
  <c r="T12" i="11"/>
  <c r="Q12" i="11"/>
  <c r="N12" i="11"/>
  <c r="K12" i="11"/>
  <c r="H12" i="11"/>
  <c r="E12" i="11"/>
  <c r="DQ11" i="11"/>
  <c r="DP11" i="11"/>
  <c r="DO11" i="11"/>
  <c r="DL11" i="11"/>
  <c r="DI11" i="11"/>
  <c r="DF11" i="11"/>
  <c r="DC11" i="11"/>
  <c r="CZ11" i="11"/>
  <c r="CW11" i="11"/>
  <c r="CS11" i="11"/>
  <c r="CR11" i="11"/>
  <c r="CQ11" i="11"/>
  <c r="CN11" i="11"/>
  <c r="CK11" i="11"/>
  <c r="CH11" i="11"/>
  <c r="CE11" i="11"/>
  <c r="CB11" i="11"/>
  <c r="BY11" i="11"/>
  <c r="BU11" i="11"/>
  <c r="BT11" i="11"/>
  <c r="BS11" i="11"/>
  <c r="BP11" i="11"/>
  <c r="BM11" i="11"/>
  <c r="BJ11" i="11"/>
  <c r="BG11" i="11"/>
  <c r="BD11" i="11"/>
  <c r="BA11" i="11"/>
  <c r="AW11" i="11"/>
  <c r="AV11" i="11"/>
  <c r="AU11" i="11"/>
  <c r="AR11" i="11"/>
  <c r="AO11" i="11"/>
  <c r="AL11" i="11"/>
  <c r="AI11" i="11"/>
  <c r="AF11" i="11"/>
  <c r="AC11" i="11"/>
  <c r="Y11" i="11"/>
  <c r="X11" i="11"/>
  <c r="W11" i="11"/>
  <c r="T11" i="11"/>
  <c r="Q11" i="11"/>
  <c r="N11" i="11"/>
  <c r="K11" i="11"/>
  <c r="H11" i="11"/>
  <c r="E11" i="11"/>
  <c r="DQ10" i="11"/>
  <c r="DP10" i="11"/>
  <c r="DO10" i="11"/>
  <c r="DL10" i="11"/>
  <c r="DI10" i="11"/>
  <c r="DF10" i="11"/>
  <c r="DC10" i="11"/>
  <c r="CZ10" i="11"/>
  <c r="CW10" i="11"/>
  <c r="CS10" i="11"/>
  <c r="CR10" i="11"/>
  <c r="CQ10" i="11"/>
  <c r="CN10" i="11"/>
  <c r="CK10" i="11"/>
  <c r="CH10" i="11"/>
  <c r="CE10" i="11"/>
  <c r="CB10" i="11"/>
  <c r="BY10" i="11"/>
  <c r="BU10" i="11"/>
  <c r="BT10" i="11"/>
  <c r="BS10" i="11"/>
  <c r="BP10" i="11"/>
  <c r="BM10" i="11"/>
  <c r="BJ10" i="11"/>
  <c r="BG10" i="11"/>
  <c r="BD10" i="11"/>
  <c r="BA10" i="11"/>
  <c r="AW10" i="11"/>
  <c r="AV10" i="11"/>
  <c r="AU10" i="11"/>
  <c r="AR10" i="11"/>
  <c r="AO10" i="11"/>
  <c r="AL10" i="11"/>
  <c r="AI10" i="11"/>
  <c r="AF10" i="11"/>
  <c r="AC10" i="11"/>
  <c r="Y10" i="11"/>
  <c r="X10" i="11"/>
  <c r="W10" i="11"/>
  <c r="T10" i="11"/>
  <c r="Q10" i="11"/>
  <c r="N10" i="11"/>
  <c r="K10" i="11"/>
  <c r="H10" i="11"/>
  <c r="E10" i="11"/>
  <c r="DQ9" i="11"/>
  <c r="DP9" i="11"/>
  <c r="DO9" i="11"/>
  <c r="DL9" i="11"/>
  <c r="DI9" i="11"/>
  <c r="DF9" i="11"/>
  <c r="DC9" i="11"/>
  <c r="CZ9" i="11"/>
  <c r="CW9" i="11"/>
  <c r="CS9" i="11"/>
  <c r="CR9" i="11"/>
  <c r="CQ9" i="11"/>
  <c r="CN9" i="11"/>
  <c r="CK9" i="11"/>
  <c r="CH9" i="11"/>
  <c r="CE9" i="11"/>
  <c r="CB9" i="11"/>
  <c r="BY9" i="11"/>
  <c r="BU9" i="11"/>
  <c r="BT9" i="11"/>
  <c r="BS9" i="11"/>
  <c r="BP9" i="11"/>
  <c r="BM9" i="11"/>
  <c r="BJ9" i="11"/>
  <c r="BG9" i="11"/>
  <c r="BD9" i="11"/>
  <c r="BA9" i="11"/>
  <c r="AW9" i="11"/>
  <c r="AV9" i="11"/>
  <c r="AU9" i="11"/>
  <c r="AR9" i="11"/>
  <c r="AO9" i="11"/>
  <c r="AL9" i="11"/>
  <c r="AI9" i="11"/>
  <c r="AF9" i="11"/>
  <c r="AC9" i="11"/>
  <c r="Y9" i="11"/>
  <c r="X9" i="11"/>
  <c r="W9" i="11"/>
  <c r="T9" i="11"/>
  <c r="Q9" i="11"/>
  <c r="N9" i="11"/>
  <c r="K9" i="11"/>
  <c r="H9" i="11"/>
  <c r="E9" i="11"/>
  <c r="DP8" i="11"/>
  <c r="DO8" i="11"/>
  <c r="DL8" i="11"/>
  <c r="DI8" i="11"/>
  <c r="DF8" i="11"/>
  <c r="DC8" i="11"/>
  <c r="CZ8" i="11"/>
  <c r="CW8" i="11"/>
  <c r="CS8" i="11"/>
  <c r="CR8" i="11"/>
  <c r="CQ8" i="11"/>
  <c r="CN8" i="11"/>
  <c r="CK8" i="11"/>
  <c r="CH8" i="11"/>
  <c r="CE8" i="11"/>
  <c r="CB8" i="11"/>
  <c r="BY8" i="11"/>
  <c r="BU8" i="11"/>
  <c r="BT8" i="11"/>
  <c r="BS8" i="11"/>
  <c r="BP8" i="11"/>
  <c r="BM8" i="11"/>
  <c r="BJ8" i="11"/>
  <c r="BG8" i="11"/>
  <c r="BD8" i="11"/>
  <c r="BA8" i="11"/>
  <c r="AW8" i="11"/>
  <c r="AV8" i="11"/>
  <c r="AU8" i="11"/>
  <c r="AR8" i="11"/>
  <c r="AO8" i="11"/>
  <c r="AL8" i="11"/>
  <c r="AI8" i="11"/>
  <c r="AF8" i="11"/>
  <c r="AC8" i="11"/>
  <c r="Y8" i="11"/>
  <c r="X8" i="11"/>
  <c r="W8" i="11"/>
  <c r="T8" i="11"/>
  <c r="Q8" i="11"/>
  <c r="N8" i="11"/>
  <c r="K8" i="11"/>
  <c r="H8" i="11"/>
  <c r="E8" i="11"/>
  <c r="DQ7" i="11"/>
  <c r="DP7" i="11"/>
  <c r="DO7" i="11"/>
  <c r="DL7" i="11"/>
  <c r="DI7" i="11"/>
  <c r="DF7" i="11"/>
  <c r="DC7" i="11"/>
  <c r="CZ7" i="11"/>
  <c r="CW7" i="11"/>
  <c r="CS7" i="11"/>
  <c r="CR7" i="11"/>
  <c r="CQ7" i="11"/>
  <c r="CN7" i="11"/>
  <c r="CK7" i="11"/>
  <c r="CH7" i="11"/>
  <c r="CE7" i="11"/>
  <c r="CB7" i="11"/>
  <c r="BY7" i="11"/>
  <c r="BU7" i="11"/>
  <c r="BT7" i="11"/>
  <c r="BS7" i="11"/>
  <c r="BP7" i="11"/>
  <c r="BM7" i="11"/>
  <c r="BJ7" i="11"/>
  <c r="BG7" i="11"/>
  <c r="BD7" i="11"/>
  <c r="BA7" i="11"/>
  <c r="AW7" i="11"/>
  <c r="AV7" i="11"/>
  <c r="AU7" i="11"/>
  <c r="AR7" i="11"/>
  <c r="AO7" i="11"/>
  <c r="AL7" i="11"/>
  <c r="AI7" i="11"/>
  <c r="AF7" i="11"/>
  <c r="AC7" i="11"/>
  <c r="Y7" i="11"/>
  <c r="X7" i="11"/>
  <c r="W7" i="11"/>
  <c r="T7" i="11"/>
  <c r="Q7" i="11"/>
  <c r="N7" i="11"/>
  <c r="K7" i="11"/>
  <c r="H7" i="11"/>
  <c r="E7" i="11"/>
  <c r="DQ6" i="11"/>
  <c r="DP6" i="11"/>
  <c r="DO6" i="11"/>
  <c r="DL6" i="11"/>
  <c r="DI6" i="11"/>
  <c r="DF6" i="11"/>
  <c r="DC6" i="11"/>
  <c r="CZ6" i="11"/>
  <c r="CW6" i="11"/>
  <c r="CS6" i="11"/>
  <c r="CR6" i="11"/>
  <c r="CQ6" i="11"/>
  <c r="CN6" i="11"/>
  <c r="CK6" i="11"/>
  <c r="CH6" i="11"/>
  <c r="CE6" i="11"/>
  <c r="CB6" i="11"/>
  <c r="BY6" i="11"/>
  <c r="BU6" i="11"/>
  <c r="BT6" i="11"/>
  <c r="BS6" i="11"/>
  <c r="BP6" i="11"/>
  <c r="BM6" i="11"/>
  <c r="BJ6" i="11"/>
  <c r="BG6" i="11"/>
  <c r="BD6" i="11"/>
  <c r="BA6" i="11"/>
  <c r="AW6" i="11"/>
  <c r="AV6" i="11"/>
  <c r="AU6" i="11"/>
  <c r="AR6" i="11"/>
  <c r="AO6" i="11"/>
  <c r="AL6" i="11"/>
  <c r="AI6" i="11"/>
  <c r="AF6" i="11"/>
  <c r="AC6" i="11"/>
  <c r="Y6" i="11"/>
  <c r="X6" i="11"/>
  <c r="W6" i="11"/>
  <c r="T6" i="11"/>
  <c r="Q6" i="11"/>
  <c r="N6" i="11"/>
  <c r="K6" i="11"/>
  <c r="H6" i="11"/>
  <c r="E6" i="11"/>
  <c r="DQ5" i="11"/>
  <c r="DP5" i="11"/>
  <c r="DO5" i="11"/>
  <c r="DL5" i="11"/>
  <c r="DI5" i="11"/>
  <c r="DF5" i="11"/>
  <c r="DC5" i="11"/>
  <c r="CZ5" i="11"/>
  <c r="CW5" i="11"/>
  <c r="CS5" i="11"/>
  <c r="CR5" i="11"/>
  <c r="CQ5" i="11"/>
  <c r="CN5" i="11"/>
  <c r="CK5" i="11"/>
  <c r="CH5" i="11"/>
  <c r="CE5" i="11"/>
  <c r="CB5" i="11"/>
  <c r="BY5" i="11"/>
  <c r="BU5" i="11"/>
  <c r="BT5" i="11"/>
  <c r="BS5" i="11"/>
  <c r="BP5" i="11"/>
  <c r="BM5" i="11"/>
  <c r="BJ5" i="11"/>
  <c r="BG5" i="11"/>
  <c r="BD5" i="11"/>
  <c r="BA5" i="11"/>
  <c r="AW5" i="11"/>
  <c r="AV5" i="11"/>
  <c r="AU5" i="11"/>
  <c r="AR5" i="11"/>
  <c r="AO5" i="11"/>
  <c r="AL5" i="11"/>
  <c r="AI5" i="11"/>
  <c r="AF5" i="11"/>
  <c r="AC5" i="11"/>
  <c r="Y5" i="11"/>
  <c r="X5" i="11"/>
  <c r="W5" i="11"/>
  <c r="T5" i="11"/>
  <c r="Q5" i="11"/>
  <c r="N5" i="11"/>
  <c r="K5" i="11"/>
  <c r="H5" i="11"/>
  <c r="E5" i="11"/>
  <c r="DQ4" i="11"/>
  <c r="DP4" i="11"/>
  <c r="DO4" i="11"/>
  <c r="DL4" i="11"/>
  <c r="DI4" i="11"/>
  <c r="DF4" i="11"/>
  <c r="DC4" i="11"/>
  <c r="CZ4" i="11"/>
  <c r="CW4" i="11"/>
  <c r="CS4" i="11"/>
  <c r="CR4" i="11"/>
  <c r="CQ4" i="11"/>
  <c r="CN4" i="11"/>
  <c r="CK4" i="11"/>
  <c r="CH4" i="11"/>
  <c r="CE4" i="11"/>
  <c r="CB4" i="11"/>
  <c r="BY4" i="11"/>
  <c r="BU4" i="11"/>
  <c r="BT4" i="11"/>
  <c r="BS4" i="11"/>
  <c r="BP4" i="11"/>
  <c r="BM4" i="11"/>
  <c r="BJ4" i="11"/>
  <c r="BG4" i="11"/>
  <c r="BD4" i="11"/>
  <c r="BA4" i="11"/>
  <c r="AW4" i="11"/>
  <c r="AV4" i="11"/>
  <c r="AU4" i="11"/>
  <c r="AR4" i="11"/>
  <c r="AO4" i="11"/>
  <c r="AL4" i="11"/>
  <c r="AI4" i="11"/>
  <c r="AF4" i="11"/>
  <c r="AC4" i="11"/>
  <c r="Y4" i="11"/>
  <c r="X4" i="11"/>
  <c r="W4" i="11"/>
  <c r="T4" i="11"/>
  <c r="Q4" i="11"/>
  <c r="N4" i="11"/>
  <c r="K4" i="11"/>
  <c r="H4" i="11"/>
  <c r="E4" i="11"/>
  <c r="DQ21" i="10"/>
  <c r="DP21" i="10"/>
  <c r="DO21" i="10"/>
  <c r="DL21" i="10"/>
  <c r="DI21" i="10"/>
  <c r="DF21" i="10"/>
  <c r="DC21" i="10"/>
  <c r="CZ21" i="10"/>
  <c r="CW21" i="10"/>
  <c r="CS21" i="10"/>
  <c r="CR21" i="10"/>
  <c r="CQ21" i="10"/>
  <c r="CN21" i="10"/>
  <c r="CK21" i="10"/>
  <c r="CH21" i="10"/>
  <c r="CE21" i="10"/>
  <c r="CB21" i="10"/>
  <c r="BY21" i="10"/>
  <c r="BU21" i="10"/>
  <c r="BT21" i="10"/>
  <c r="BS21" i="10"/>
  <c r="BP21" i="10"/>
  <c r="BM21" i="10"/>
  <c r="BJ21" i="10"/>
  <c r="BG21" i="10"/>
  <c r="BD21" i="10"/>
  <c r="BA21" i="10"/>
  <c r="AW21" i="10"/>
  <c r="AV21" i="10"/>
  <c r="AU21" i="10"/>
  <c r="AR21" i="10"/>
  <c r="AO21" i="10"/>
  <c r="AL21" i="10"/>
  <c r="AI21" i="10"/>
  <c r="AF21" i="10"/>
  <c r="AC21" i="10"/>
  <c r="Y21" i="10"/>
  <c r="X21" i="10"/>
  <c r="W21" i="10"/>
  <c r="T21" i="10"/>
  <c r="Q21" i="10"/>
  <c r="N21" i="10"/>
  <c r="K21" i="10"/>
  <c r="H21" i="10"/>
  <c r="E21" i="10"/>
  <c r="DQ20" i="10"/>
  <c r="DP20" i="10"/>
  <c r="DO20" i="10"/>
  <c r="DL20" i="10"/>
  <c r="DI20" i="10"/>
  <c r="DF20" i="10"/>
  <c r="DC20" i="10"/>
  <c r="CZ20" i="10"/>
  <c r="CW20" i="10"/>
  <c r="CS20" i="10"/>
  <c r="CR20" i="10"/>
  <c r="CQ20" i="10"/>
  <c r="CN20" i="10"/>
  <c r="CK20" i="10"/>
  <c r="CH20" i="10"/>
  <c r="CE20" i="10"/>
  <c r="CB20" i="10"/>
  <c r="BY20" i="10"/>
  <c r="BU20" i="10"/>
  <c r="BT20" i="10"/>
  <c r="BS20" i="10"/>
  <c r="BP20" i="10"/>
  <c r="BM20" i="10"/>
  <c r="BJ20" i="10"/>
  <c r="BG20" i="10"/>
  <c r="BD20" i="10"/>
  <c r="BA20" i="10"/>
  <c r="AW20" i="10"/>
  <c r="AV20" i="10"/>
  <c r="AU20" i="10"/>
  <c r="AR20" i="10"/>
  <c r="AO20" i="10"/>
  <c r="AL20" i="10"/>
  <c r="AI20" i="10"/>
  <c r="AF20" i="10"/>
  <c r="AC20" i="10"/>
  <c r="Y20" i="10"/>
  <c r="X20" i="10"/>
  <c r="W20" i="10"/>
  <c r="T20" i="10"/>
  <c r="Q20" i="10"/>
  <c r="N20" i="10"/>
  <c r="K20" i="10"/>
  <c r="H20" i="10"/>
  <c r="E20" i="10"/>
  <c r="DQ19" i="10"/>
  <c r="DP19" i="10"/>
  <c r="DO19" i="10"/>
  <c r="DL19" i="10"/>
  <c r="DI19" i="10"/>
  <c r="DF19" i="10"/>
  <c r="DC19" i="10"/>
  <c r="CZ19" i="10"/>
  <c r="CW19" i="10"/>
  <c r="CS19" i="10"/>
  <c r="CR19" i="10"/>
  <c r="CQ19" i="10"/>
  <c r="CN19" i="10"/>
  <c r="CK19" i="10"/>
  <c r="CH19" i="10"/>
  <c r="CE19" i="10"/>
  <c r="CB19" i="10"/>
  <c r="BY19" i="10"/>
  <c r="BU19" i="10"/>
  <c r="BT19" i="10"/>
  <c r="BS19" i="10"/>
  <c r="BP19" i="10"/>
  <c r="BM19" i="10"/>
  <c r="BJ19" i="10"/>
  <c r="BG19" i="10"/>
  <c r="BD19" i="10"/>
  <c r="BA19" i="10"/>
  <c r="AW19" i="10"/>
  <c r="AV19" i="10"/>
  <c r="AU19" i="10"/>
  <c r="AR19" i="10"/>
  <c r="AO19" i="10"/>
  <c r="AL19" i="10"/>
  <c r="AI19" i="10"/>
  <c r="AF19" i="10"/>
  <c r="AC19" i="10"/>
  <c r="Y19" i="10"/>
  <c r="X19" i="10"/>
  <c r="W19" i="10"/>
  <c r="T19" i="10"/>
  <c r="Q19" i="10"/>
  <c r="N19" i="10"/>
  <c r="K19" i="10"/>
  <c r="H19" i="10"/>
  <c r="E19" i="10"/>
  <c r="DQ18" i="10"/>
  <c r="DP18" i="10"/>
  <c r="DO18" i="10"/>
  <c r="DL18" i="10"/>
  <c r="DI18" i="10"/>
  <c r="DF18" i="10"/>
  <c r="DC18" i="10"/>
  <c r="CZ18" i="10"/>
  <c r="CW18" i="10"/>
  <c r="CS18" i="10"/>
  <c r="CR18" i="10"/>
  <c r="CQ18" i="10"/>
  <c r="CN18" i="10"/>
  <c r="CK18" i="10"/>
  <c r="CH18" i="10"/>
  <c r="CE18" i="10"/>
  <c r="CB18" i="10"/>
  <c r="BY18" i="10"/>
  <c r="BU18" i="10"/>
  <c r="BT18" i="10"/>
  <c r="BS18" i="10"/>
  <c r="BP18" i="10"/>
  <c r="BM18" i="10"/>
  <c r="BJ18" i="10"/>
  <c r="BG18" i="10"/>
  <c r="BD18" i="10"/>
  <c r="BA18" i="10"/>
  <c r="AW18" i="10"/>
  <c r="AV18" i="10"/>
  <c r="AU18" i="10"/>
  <c r="AR18" i="10"/>
  <c r="AO18" i="10"/>
  <c r="AL18" i="10"/>
  <c r="AI18" i="10"/>
  <c r="AF18" i="10"/>
  <c r="AC18" i="10"/>
  <c r="Y18" i="10"/>
  <c r="X18" i="10"/>
  <c r="W18" i="10"/>
  <c r="T18" i="10"/>
  <c r="Q18" i="10"/>
  <c r="N18" i="10"/>
  <c r="K18" i="10"/>
  <c r="H18" i="10"/>
  <c r="E18" i="10"/>
  <c r="DQ17" i="10"/>
  <c r="DP17" i="10"/>
  <c r="DO17" i="10"/>
  <c r="DL17" i="10"/>
  <c r="DI17" i="10"/>
  <c r="DF17" i="10"/>
  <c r="DC17" i="10"/>
  <c r="CZ17" i="10"/>
  <c r="CW17" i="10"/>
  <c r="CS17" i="10"/>
  <c r="CR17" i="10"/>
  <c r="CQ17" i="10"/>
  <c r="CN17" i="10"/>
  <c r="CK17" i="10"/>
  <c r="CH17" i="10"/>
  <c r="CE17" i="10"/>
  <c r="CB17" i="10"/>
  <c r="BY17" i="10"/>
  <c r="BU17" i="10"/>
  <c r="BT17" i="10"/>
  <c r="BS17" i="10"/>
  <c r="BP17" i="10"/>
  <c r="BM17" i="10"/>
  <c r="BJ17" i="10"/>
  <c r="BG17" i="10"/>
  <c r="BD17" i="10"/>
  <c r="BA17" i="10"/>
  <c r="AW17" i="10"/>
  <c r="AV17" i="10"/>
  <c r="AU17" i="10"/>
  <c r="AR17" i="10"/>
  <c r="AO17" i="10"/>
  <c r="AL17" i="10"/>
  <c r="AI17" i="10"/>
  <c r="AF17" i="10"/>
  <c r="AC17" i="10"/>
  <c r="Y17" i="10"/>
  <c r="X17" i="10"/>
  <c r="W17" i="10"/>
  <c r="T17" i="10"/>
  <c r="Q17" i="10"/>
  <c r="N17" i="10"/>
  <c r="K17" i="10"/>
  <c r="H17" i="10"/>
  <c r="E17" i="10"/>
  <c r="DQ16" i="10"/>
  <c r="DP16" i="10"/>
  <c r="DO16" i="10"/>
  <c r="DL16" i="10"/>
  <c r="DI16" i="10"/>
  <c r="DF16" i="10"/>
  <c r="DC16" i="10"/>
  <c r="CZ16" i="10"/>
  <c r="CW16" i="10"/>
  <c r="CS16" i="10"/>
  <c r="CR16" i="10"/>
  <c r="CQ16" i="10"/>
  <c r="CN16" i="10"/>
  <c r="CK16" i="10"/>
  <c r="CH16" i="10"/>
  <c r="CE16" i="10"/>
  <c r="CB16" i="10"/>
  <c r="BY16" i="10"/>
  <c r="BU16" i="10"/>
  <c r="BT16" i="10"/>
  <c r="BS16" i="10"/>
  <c r="BP16" i="10"/>
  <c r="BM16" i="10"/>
  <c r="BJ16" i="10"/>
  <c r="BG16" i="10"/>
  <c r="BD16" i="10"/>
  <c r="BA16" i="10"/>
  <c r="AW16" i="10"/>
  <c r="AV16" i="10"/>
  <c r="AU16" i="10"/>
  <c r="AR16" i="10"/>
  <c r="AO16" i="10"/>
  <c r="AL16" i="10"/>
  <c r="AI16" i="10"/>
  <c r="AF16" i="10"/>
  <c r="AC16" i="10"/>
  <c r="Y16" i="10"/>
  <c r="X16" i="10"/>
  <c r="W16" i="10"/>
  <c r="T16" i="10"/>
  <c r="Q16" i="10"/>
  <c r="N16" i="10"/>
  <c r="K16" i="10"/>
  <c r="H16" i="10"/>
  <c r="E16" i="10"/>
  <c r="DQ15" i="10"/>
  <c r="DP15" i="10"/>
  <c r="DO15" i="10"/>
  <c r="DL15" i="10"/>
  <c r="DI15" i="10"/>
  <c r="DF15" i="10"/>
  <c r="DC15" i="10"/>
  <c r="CZ15" i="10"/>
  <c r="CW15" i="10"/>
  <c r="CS15" i="10"/>
  <c r="CR15" i="10"/>
  <c r="CQ15" i="10"/>
  <c r="CN15" i="10"/>
  <c r="CK15" i="10"/>
  <c r="CH15" i="10"/>
  <c r="CE15" i="10"/>
  <c r="CB15" i="10"/>
  <c r="BY15" i="10"/>
  <c r="BU15" i="10"/>
  <c r="BT15" i="10"/>
  <c r="BS15" i="10"/>
  <c r="BP15" i="10"/>
  <c r="BM15" i="10"/>
  <c r="BJ15" i="10"/>
  <c r="BG15" i="10"/>
  <c r="BD15" i="10"/>
  <c r="BA15" i="10"/>
  <c r="AW15" i="10"/>
  <c r="AV15" i="10"/>
  <c r="AU15" i="10"/>
  <c r="AR15" i="10"/>
  <c r="AO15" i="10"/>
  <c r="AL15" i="10"/>
  <c r="AI15" i="10"/>
  <c r="AF15" i="10"/>
  <c r="AC15" i="10"/>
  <c r="Y15" i="10"/>
  <c r="X15" i="10"/>
  <c r="W15" i="10"/>
  <c r="T15" i="10"/>
  <c r="Q15" i="10"/>
  <c r="N15" i="10"/>
  <c r="K15" i="10"/>
  <c r="H15" i="10"/>
  <c r="E15" i="10"/>
  <c r="DQ14" i="10"/>
  <c r="DP14" i="10"/>
  <c r="DO14" i="10"/>
  <c r="DL14" i="10"/>
  <c r="DI14" i="10"/>
  <c r="DF14" i="10"/>
  <c r="DC14" i="10"/>
  <c r="CZ14" i="10"/>
  <c r="CW14" i="10"/>
  <c r="CS14" i="10"/>
  <c r="CR14" i="10"/>
  <c r="CQ14" i="10"/>
  <c r="CN14" i="10"/>
  <c r="CK14" i="10"/>
  <c r="CH14" i="10"/>
  <c r="CE14" i="10"/>
  <c r="CB14" i="10"/>
  <c r="BY14" i="10"/>
  <c r="BU14" i="10"/>
  <c r="BT14" i="10"/>
  <c r="BS14" i="10"/>
  <c r="BP14" i="10"/>
  <c r="BM14" i="10"/>
  <c r="BJ14" i="10"/>
  <c r="BG14" i="10"/>
  <c r="BD14" i="10"/>
  <c r="BA14" i="10"/>
  <c r="AW14" i="10"/>
  <c r="AV14" i="10"/>
  <c r="AU14" i="10"/>
  <c r="AR14" i="10"/>
  <c r="AO14" i="10"/>
  <c r="AL14" i="10"/>
  <c r="AI14" i="10"/>
  <c r="AF14" i="10"/>
  <c r="AC14" i="10"/>
  <c r="Y14" i="10"/>
  <c r="X14" i="10"/>
  <c r="W14" i="10"/>
  <c r="T14" i="10"/>
  <c r="Q14" i="10"/>
  <c r="N14" i="10"/>
  <c r="K14" i="10"/>
  <c r="H14" i="10"/>
  <c r="E14" i="10"/>
  <c r="DQ13" i="10"/>
  <c r="DP13" i="10"/>
  <c r="DO13" i="10"/>
  <c r="DL13" i="10"/>
  <c r="DI13" i="10"/>
  <c r="DF13" i="10"/>
  <c r="DC13" i="10"/>
  <c r="CZ13" i="10"/>
  <c r="CW13" i="10"/>
  <c r="CS13" i="10"/>
  <c r="CR13" i="10"/>
  <c r="CQ13" i="10"/>
  <c r="CN13" i="10"/>
  <c r="CK13" i="10"/>
  <c r="CH13" i="10"/>
  <c r="CE13" i="10"/>
  <c r="CB13" i="10"/>
  <c r="BY13" i="10"/>
  <c r="BU13" i="10"/>
  <c r="BT13" i="10"/>
  <c r="BS13" i="10"/>
  <c r="BP13" i="10"/>
  <c r="BM13" i="10"/>
  <c r="BJ13" i="10"/>
  <c r="BG13" i="10"/>
  <c r="BD13" i="10"/>
  <c r="BA13" i="10"/>
  <c r="AW13" i="10"/>
  <c r="AV13" i="10"/>
  <c r="AU13" i="10"/>
  <c r="AR13" i="10"/>
  <c r="AO13" i="10"/>
  <c r="AL13" i="10"/>
  <c r="AI13" i="10"/>
  <c r="AF13" i="10"/>
  <c r="AC13" i="10"/>
  <c r="Y13" i="10"/>
  <c r="X13" i="10"/>
  <c r="W13" i="10"/>
  <c r="T13" i="10"/>
  <c r="Q13" i="10"/>
  <c r="N13" i="10"/>
  <c r="K13" i="10"/>
  <c r="H13" i="10"/>
  <c r="E13" i="10"/>
  <c r="DQ12" i="10"/>
  <c r="DP12" i="10"/>
  <c r="DO12" i="10"/>
  <c r="DL12" i="10"/>
  <c r="DI12" i="10"/>
  <c r="DF12" i="10"/>
  <c r="DC12" i="10"/>
  <c r="CZ12" i="10"/>
  <c r="CW12" i="10"/>
  <c r="CS12" i="10"/>
  <c r="CR12" i="10"/>
  <c r="CQ12" i="10"/>
  <c r="CN12" i="10"/>
  <c r="CK12" i="10"/>
  <c r="CH12" i="10"/>
  <c r="CE12" i="10"/>
  <c r="CB12" i="10"/>
  <c r="BY12" i="10"/>
  <c r="BU12" i="10"/>
  <c r="BT12" i="10"/>
  <c r="BS12" i="10"/>
  <c r="BP12" i="10"/>
  <c r="BM12" i="10"/>
  <c r="BJ12" i="10"/>
  <c r="BG12" i="10"/>
  <c r="BD12" i="10"/>
  <c r="BA12" i="10"/>
  <c r="AW12" i="10"/>
  <c r="AV12" i="10"/>
  <c r="AU12" i="10"/>
  <c r="AR12" i="10"/>
  <c r="AO12" i="10"/>
  <c r="AL12" i="10"/>
  <c r="AI12" i="10"/>
  <c r="AF12" i="10"/>
  <c r="AC12" i="10"/>
  <c r="Y12" i="10"/>
  <c r="X12" i="10"/>
  <c r="W12" i="10"/>
  <c r="T12" i="10"/>
  <c r="Q12" i="10"/>
  <c r="N12" i="10"/>
  <c r="K12" i="10"/>
  <c r="H12" i="10"/>
  <c r="E12" i="10"/>
  <c r="DQ11" i="10"/>
  <c r="DP11" i="10"/>
  <c r="DO11" i="10"/>
  <c r="DL11" i="10"/>
  <c r="DI11" i="10"/>
  <c r="DF11" i="10"/>
  <c r="DC11" i="10"/>
  <c r="CZ11" i="10"/>
  <c r="CW11" i="10"/>
  <c r="CS11" i="10"/>
  <c r="CR11" i="10"/>
  <c r="CQ11" i="10"/>
  <c r="CN11" i="10"/>
  <c r="CK11" i="10"/>
  <c r="CH11" i="10"/>
  <c r="CE11" i="10"/>
  <c r="CB11" i="10"/>
  <c r="BY11" i="10"/>
  <c r="BU11" i="10"/>
  <c r="BT11" i="10"/>
  <c r="BS11" i="10"/>
  <c r="BP11" i="10"/>
  <c r="BM11" i="10"/>
  <c r="BJ11" i="10"/>
  <c r="BG11" i="10"/>
  <c r="BD11" i="10"/>
  <c r="BA11" i="10"/>
  <c r="AW11" i="10"/>
  <c r="AV11" i="10"/>
  <c r="AU11" i="10"/>
  <c r="AR11" i="10"/>
  <c r="AO11" i="10"/>
  <c r="AL11" i="10"/>
  <c r="AI11" i="10"/>
  <c r="AF11" i="10"/>
  <c r="AC11" i="10"/>
  <c r="Y11" i="10"/>
  <c r="X11" i="10"/>
  <c r="W11" i="10"/>
  <c r="T11" i="10"/>
  <c r="Q11" i="10"/>
  <c r="N11" i="10"/>
  <c r="K11" i="10"/>
  <c r="H11" i="10"/>
  <c r="E11" i="10"/>
  <c r="DQ10" i="10"/>
  <c r="DP10" i="10"/>
  <c r="DO10" i="10"/>
  <c r="DL10" i="10"/>
  <c r="DI10" i="10"/>
  <c r="DF10" i="10"/>
  <c r="DC10" i="10"/>
  <c r="CZ10" i="10"/>
  <c r="CW10" i="10"/>
  <c r="CS10" i="10"/>
  <c r="CR10" i="10"/>
  <c r="CQ10" i="10"/>
  <c r="CN10" i="10"/>
  <c r="CK10" i="10"/>
  <c r="CH10" i="10"/>
  <c r="CE10" i="10"/>
  <c r="CB10" i="10"/>
  <c r="BY10" i="10"/>
  <c r="BU10" i="10"/>
  <c r="BT10" i="10"/>
  <c r="BS10" i="10"/>
  <c r="BP10" i="10"/>
  <c r="BM10" i="10"/>
  <c r="BJ10" i="10"/>
  <c r="BG10" i="10"/>
  <c r="BD10" i="10"/>
  <c r="BA10" i="10"/>
  <c r="AW10" i="10"/>
  <c r="AV10" i="10"/>
  <c r="AU10" i="10"/>
  <c r="AR10" i="10"/>
  <c r="AO10" i="10"/>
  <c r="AL10" i="10"/>
  <c r="AI10" i="10"/>
  <c r="AF10" i="10"/>
  <c r="AC10" i="10"/>
  <c r="Y10" i="10"/>
  <c r="X10" i="10"/>
  <c r="W10" i="10"/>
  <c r="T10" i="10"/>
  <c r="Q10" i="10"/>
  <c r="N10" i="10"/>
  <c r="K10" i="10"/>
  <c r="H10" i="10"/>
  <c r="E10" i="10"/>
  <c r="DQ9" i="10"/>
  <c r="DP9" i="10"/>
  <c r="DO9" i="10"/>
  <c r="DL9" i="10"/>
  <c r="DI9" i="10"/>
  <c r="DF9" i="10"/>
  <c r="DC9" i="10"/>
  <c r="CZ9" i="10"/>
  <c r="CW9" i="10"/>
  <c r="CS9" i="10"/>
  <c r="CR9" i="10"/>
  <c r="CQ9" i="10"/>
  <c r="CN9" i="10"/>
  <c r="CK9" i="10"/>
  <c r="CH9" i="10"/>
  <c r="CE9" i="10"/>
  <c r="CB9" i="10"/>
  <c r="BY9" i="10"/>
  <c r="BU9" i="10"/>
  <c r="BT9" i="10"/>
  <c r="BS9" i="10"/>
  <c r="BP9" i="10"/>
  <c r="BM9" i="10"/>
  <c r="BJ9" i="10"/>
  <c r="BG9" i="10"/>
  <c r="BD9" i="10"/>
  <c r="BA9" i="10"/>
  <c r="AW9" i="10"/>
  <c r="AV9" i="10"/>
  <c r="AU9" i="10"/>
  <c r="AR9" i="10"/>
  <c r="AO9" i="10"/>
  <c r="AL9" i="10"/>
  <c r="AI9" i="10"/>
  <c r="AF9" i="10"/>
  <c r="AC9" i="10"/>
  <c r="Y9" i="10"/>
  <c r="X9" i="10"/>
  <c r="W9" i="10"/>
  <c r="T9" i="10"/>
  <c r="Q9" i="10"/>
  <c r="N9" i="10"/>
  <c r="K9" i="10"/>
  <c r="H9" i="10"/>
  <c r="E9" i="10"/>
  <c r="DQ8" i="10"/>
  <c r="DP8" i="10"/>
  <c r="DO8" i="10"/>
  <c r="DL8" i="10"/>
  <c r="DI8" i="10"/>
  <c r="DF8" i="10"/>
  <c r="DC8" i="10"/>
  <c r="CZ8" i="10"/>
  <c r="CW8" i="10"/>
  <c r="CS8" i="10"/>
  <c r="CR8" i="10"/>
  <c r="CQ8" i="10"/>
  <c r="CN8" i="10"/>
  <c r="CK8" i="10"/>
  <c r="CH8" i="10"/>
  <c r="CE8" i="10"/>
  <c r="CB8" i="10"/>
  <c r="BY8" i="10"/>
  <c r="BU8" i="10"/>
  <c r="BT8" i="10"/>
  <c r="BS8" i="10"/>
  <c r="BP8" i="10"/>
  <c r="BM8" i="10"/>
  <c r="BJ8" i="10"/>
  <c r="BG8" i="10"/>
  <c r="BD8" i="10"/>
  <c r="BA8" i="10"/>
  <c r="AW8" i="10"/>
  <c r="AV8" i="10"/>
  <c r="AU8" i="10"/>
  <c r="AR8" i="10"/>
  <c r="AO8" i="10"/>
  <c r="AL8" i="10"/>
  <c r="AI8" i="10"/>
  <c r="AF8" i="10"/>
  <c r="AC8" i="10"/>
  <c r="Y8" i="10"/>
  <c r="X8" i="10"/>
  <c r="W8" i="10"/>
  <c r="T8" i="10"/>
  <c r="Q8" i="10"/>
  <c r="N8" i="10"/>
  <c r="K8" i="10"/>
  <c r="H8" i="10"/>
  <c r="E8" i="10"/>
  <c r="DQ7" i="10"/>
  <c r="DP7" i="10"/>
  <c r="DO7" i="10"/>
  <c r="DL7" i="10"/>
  <c r="DI7" i="10"/>
  <c r="DF7" i="10"/>
  <c r="DC7" i="10"/>
  <c r="CZ7" i="10"/>
  <c r="CW7" i="10"/>
  <c r="CS7" i="10"/>
  <c r="CR7" i="10"/>
  <c r="CQ7" i="10"/>
  <c r="CN7" i="10"/>
  <c r="CK7" i="10"/>
  <c r="CH7" i="10"/>
  <c r="CE7" i="10"/>
  <c r="CB7" i="10"/>
  <c r="BY7" i="10"/>
  <c r="BU7" i="10"/>
  <c r="BT7" i="10"/>
  <c r="BS7" i="10"/>
  <c r="BP7" i="10"/>
  <c r="BM7" i="10"/>
  <c r="BJ7" i="10"/>
  <c r="BG7" i="10"/>
  <c r="BD7" i="10"/>
  <c r="BA7" i="10"/>
  <c r="AW7" i="10"/>
  <c r="AV7" i="10"/>
  <c r="AU7" i="10"/>
  <c r="AR7" i="10"/>
  <c r="AO7" i="10"/>
  <c r="AL7" i="10"/>
  <c r="AI7" i="10"/>
  <c r="AF7" i="10"/>
  <c r="AC7" i="10"/>
  <c r="Y7" i="10"/>
  <c r="X7" i="10"/>
  <c r="W7" i="10"/>
  <c r="T7" i="10"/>
  <c r="Q7" i="10"/>
  <c r="N7" i="10"/>
  <c r="K7" i="10"/>
  <c r="H7" i="10"/>
  <c r="E7" i="10"/>
  <c r="DQ6" i="10"/>
  <c r="DP6" i="10"/>
  <c r="DO6" i="10"/>
  <c r="DL6" i="10"/>
  <c r="DI6" i="10"/>
  <c r="DF6" i="10"/>
  <c r="DC6" i="10"/>
  <c r="CZ6" i="10"/>
  <c r="CW6" i="10"/>
  <c r="CS6" i="10"/>
  <c r="CR6" i="10"/>
  <c r="CQ6" i="10"/>
  <c r="CN6" i="10"/>
  <c r="CK6" i="10"/>
  <c r="CH6" i="10"/>
  <c r="CE6" i="10"/>
  <c r="CB6" i="10"/>
  <c r="BY6" i="10"/>
  <c r="BU6" i="10"/>
  <c r="BT6" i="10"/>
  <c r="BS6" i="10"/>
  <c r="BP6" i="10"/>
  <c r="BM6" i="10"/>
  <c r="BJ6" i="10"/>
  <c r="BG6" i="10"/>
  <c r="BD6" i="10"/>
  <c r="BA6" i="10"/>
  <c r="AW6" i="10"/>
  <c r="AV6" i="10"/>
  <c r="AU6" i="10"/>
  <c r="AR6" i="10"/>
  <c r="AO6" i="10"/>
  <c r="AL6" i="10"/>
  <c r="AI6" i="10"/>
  <c r="AF6" i="10"/>
  <c r="AC6" i="10"/>
  <c r="Y6" i="10"/>
  <c r="X6" i="10"/>
  <c r="W6" i="10"/>
  <c r="T6" i="10"/>
  <c r="Q6" i="10"/>
  <c r="N6" i="10"/>
  <c r="K6" i="10"/>
  <c r="H6" i="10"/>
  <c r="E6" i="10"/>
  <c r="DQ5" i="10"/>
  <c r="DP5" i="10"/>
  <c r="DO5" i="10"/>
  <c r="DL5" i="10"/>
  <c r="DI5" i="10"/>
  <c r="DF5" i="10"/>
  <c r="DC5" i="10"/>
  <c r="CZ5" i="10"/>
  <c r="CW5" i="10"/>
  <c r="CS5" i="10"/>
  <c r="CR5" i="10"/>
  <c r="CQ5" i="10"/>
  <c r="CN5" i="10"/>
  <c r="CK5" i="10"/>
  <c r="CH5" i="10"/>
  <c r="CE5" i="10"/>
  <c r="CB5" i="10"/>
  <c r="BY5" i="10"/>
  <c r="BU5" i="10"/>
  <c r="BT5" i="10"/>
  <c r="BS5" i="10"/>
  <c r="BP5" i="10"/>
  <c r="BM5" i="10"/>
  <c r="BJ5" i="10"/>
  <c r="BG5" i="10"/>
  <c r="BD5" i="10"/>
  <c r="BA5" i="10"/>
  <c r="AW5" i="10"/>
  <c r="AV5" i="10"/>
  <c r="AU5" i="10"/>
  <c r="AR5" i="10"/>
  <c r="AO5" i="10"/>
  <c r="AL5" i="10"/>
  <c r="AI5" i="10"/>
  <c r="AF5" i="10"/>
  <c r="AC5" i="10"/>
  <c r="Y5" i="10"/>
  <c r="X5" i="10"/>
  <c r="W5" i="10"/>
  <c r="T5" i="10"/>
  <c r="Q5" i="10"/>
  <c r="N5" i="10"/>
  <c r="K5" i="10"/>
  <c r="H5" i="10"/>
  <c r="E5" i="10"/>
  <c r="DQ4" i="10"/>
  <c r="DP4" i="10"/>
  <c r="DO4" i="10"/>
  <c r="DL4" i="10"/>
  <c r="DI4" i="10"/>
  <c r="DF4" i="10"/>
  <c r="DC4" i="10"/>
  <c r="CZ4" i="10"/>
  <c r="CW4" i="10"/>
  <c r="CS4" i="10"/>
  <c r="CR4" i="10"/>
  <c r="CQ4" i="10"/>
  <c r="CN4" i="10"/>
  <c r="CK4" i="10"/>
  <c r="CH4" i="10"/>
  <c r="CE4" i="10"/>
  <c r="CB4" i="10"/>
  <c r="BY4" i="10"/>
  <c r="BU4" i="10"/>
  <c r="BT4" i="10"/>
  <c r="BS4" i="10"/>
  <c r="BP4" i="10"/>
  <c r="BM4" i="10"/>
  <c r="BJ4" i="10"/>
  <c r="BG4" i="10"/>
  <c r="BD4" i="10"/>
  <c r="BA4" i="10"/>
  <c r="AW4" i="10"/>
  <c r="AV4" i="10"/>
  <c r="AU4" i="10"/>
  <c r="AR4" i="10"/>
  <c r="AO4" i="10"/>
  <c r="AL4" i="10"/>
  <c r="AI4" i="10"/>
  <c r="AF4" i="10"/>
  <c r="AC4" i="10"/>
  <c r="Y4" i="10"/>
  <c r="X4" i="10"/>
  <c r="W4" i="10"/>
  <c r="T4" i="10"/>
  <c r="Q4" i="10"/>
  <c r="N4" i="10"/>
  <c r="K4" i="10"/>
  <c r="H4" i="10"/>
  <c r="E4" i="10"/>
  <c r="DQ21" i="9"/>
  <c r="DP21" i="9"/>
  <c r="DO21" i="9"/>
  <c r="DL21" i="9"/>
  <c r="DI21" i="9"/>
  <c r="DF21" i="9"/>
  <c r="DC21" i="9"/>
  <c r="CZ21" i="9"/>
  <c r="CW21" i="9"/>
  <c r="CS21" i="9"/>
  <c r="CR21" i="9"/>
  <c r="CQ21" i="9"/>
  <c r="CN21" i="9"/>
  <c r="CK21" i="9"/>
  <c r="CH21" i="9"/>
  <c r="CE21" i="9"/>
  <c r="CB21" i="9"/>
  <c r="BY21" i="9"/>
  <c r="BU21" i="9"/>
  <c r="BT21" i="9"/>
  <c r="BS21" i="9"/>
  <c r="BP21" i="9"/>
  <c r="BM21" i="9"/>
  <c r="BJ21" i="9"/>
  <c r="BG21" i="9"/>
  <c r="BD21" i="9"/>
  <c r="BA21" i="9"/>
  <c r="AW21" i="9"/>
  <c r="AV21" i="9"/>
  <c r="AU21" i="9"/>
  <c r="AR21" i="9"/>
  <c r="AO21" i="9"/>
  <c r="AL21" i="9"/>
  <c r="AI21" i="9"/>
  <c r="AF21" i="9"/>
  <c r="AC21" i="9"/>
  <c r="Y21" i="9"/>
  <c r="X21" i="9"/>
  <c r="W21" i="9"/>
  <c r="T21" i="9"/>
  <c r="Q21" i="9"/>
  <c r="N21" i="9"/>
  <c r="K21" i="9"/>
  <c r="H21" i="9"/>
  <c r="E21" i="9"/>
  <c r="DQ20" i="9"/>
  <c r="DP20" i="9"/>
  <c r="DO20" i="9"/>
  <c r="DL20" i="9"/>
  <c r="DI20" i="9"/>
  <c r="DF20" i="9"/>
  <c r="DC20" i="9"/>
  <c r="CZ20" i="9"/>
  <c r="CW20" i="9"/>
  <c r="CS20" i="9"/>
  <c r="CR20" i="9"/>
  <c r="CQ20" i="9"/>
  <c r="CN20" i="9"/>
  <c r="CK20" i="9"/>
  <c r="CH20" i="9"/>
  <c r="CE20" i="9"/>
  <c r="CB20" i="9"/>
  <c r="BY20" i="9"/>
  <c r="BU20" i="9"/>
  <c r="BT20" i="9"/>
  <c r="BS20" i="9"/>
  <c r="BP20" i="9"/>
  <c r="BM20" i="9"/>
  <c r="BJ20" i="9"/>
  <c r="BG20" i="9"/>
  <c r="BD20" i="9"/>
  <c r="BA20" i="9"/>
  <c r="AW20" i="9"/>
  <c r="AV20" i="9"/>
  <c r="AU20" i="9"/>
  <c r="AR20" i="9"/>
  <c r="AO20" i="9"/>
  <c r="AL20" i="9"/>
  <c r="AI20" i="9"/>
  <c r="AF20" i="9"/>
  <c r="AC20" i="9"/>
  <c r="Y20" i="9"/>
  <c r="X20" i="9"/>
  <c r="W20" i="9"/>
  <c r="T20" i="9"/>
  <c r="Q20" i="9"/>
  <c r="N20" i="9"/>
  <c r="K20" i="9"/>
  <c r="H20" i="9"/>
  <c r="E20" i="9"/>
  <c r="DQ19" i="9"/>
  <c r="DP19" i="9"/>
  <c r="DO19" i="9"/>
  <c r="DL19" i="9"/>
  <c r="DI19" i="9"/>
  <c r="DF19" i="9"/>
  <c r="DC19" i="9"/>
  <c r="CZ19" i="9"/>
  <c r="CW19" i="9"/>
  <c r="CS19" i="9"/>
  <c r="CR19" i="9"/>
  <c r="CQ19" i="9"/>
  <c r="CN19" i="9"/>
  <c r="CK19" i="9"/>
  <c r="CH19" i="9"/>
  <c r="CE19" i="9"/>
  <c r="CB19" i="9"/>
  <c r="BY19" i="9"/>
  <c r="BU19" i="9"/>
  <c r="BT19" i="9"/>
  <c r="BS19" i="9"/>
  <c r="BP19" i="9"/>
  <c r="BM19" i="9"/>
  <c r="BJ19" i="9"/>
  <c r="BG19" i="9"/>
  <c r="BD19" i="9"/>
  <c r="BA19" i="9"/>
  <c r="AW19" i="9"/>
  <c r="AV19" i="9"/>
  <c r="AU19" i="9"/>
  <c r="AR19" i="9"/>
  <c r="AO19" i="9"/>
  <c r="AL19" i="9"/>
  <c r="AI19" i="9"/>
  <c r="AF19" i="9"/>
  <c r="AC19" i="9"/>
  <c r="Y19" i="9"/>
  <c r="X19" i="9"/>
  <c r="W19" i="9"/>
  <c r="T19" i="9"/>
  <c r="Q19" i="9"/>
  <c r="N19" i="9"/>
  <c r="K19" i="9"/>
  <c r="H19" i="9"/>
  <c r="E19" i="9"/>
  <c r="DQ18" i="9"/>
  <c r="DP18" i="9"/>
  <c r="DO18" i="9"/>
  <c r="DL18" i="9"/>
  <c r="DI18" i="9"/>
  <c r="DF18" i="9"/>
  <c r="DC18" i="9"/>
  <c r="CZ18" i="9"/>
  <c r="CW18" i="9"/>
  <c r="CS18" i="9"/>
  <c r="CR18" i="9"/>
  <c r="CQ18" i="9"/>
  <c r="CN18" i="9"/>
  <c r="CK18" i="9"/>
  <c r="CH18" i="9"/>
  <c r="CE18" i="9"/>
  <c r="CB18" i="9"/>
  <c r="BY18" i="9"/>
  <c r="BU18" i="9"/>
  <c r="BT18" i="9"/>
  <c r="BS18" i="9"/>
  <c r="BP18" i="9"/>
  <c r="BM18" i="9"/>
  <c r="BJ18" i="9"/>
  <c r="BG18" i="9"/>
  <c r="BD18" i="9"/>
  <c r="BA18" i="9"/>
  <c r="AW18" i="9"/>
  <c r="AV18" i="9"/>
  <c r="AU18" i="9"/>
  <c r="AR18" i="9"/>
  <c r="AO18" i="9"/>
  <c r="AL18" i="9"/>
  <c r="AI18" i="9"/>
  <c r="AF18" i="9"/>
  <c r="AC18" i="9"/>
  <c r="Y18" i="9"/>
  <c r="X18" i="9"/>
  <c r="W18" i="9"/>
  <c r="T18" i="9"/>
  <c r="Q18" i="9"/>
  <c r="N18" i="9"/>
  <c r="K18" i="9"/>
  <c r="H18" i="9"/>
  <c r="E18" i="9"/>
  <c r="DQ17" i="9"/>
  <c r="DP17" i="9"/>
  <c r="DO17" i="9"/>
  <c r="DL17" i="9"/>
  <c r="DI17" i="9"/>
  <c r="DF17" i="9"/>
  <c r="DC17" i="9"/>
  <c r="CZ17" i="9"/>
  <c r="CW17" i="9"/>
  <c r="CS17" i="9"/>
  <c r="CR17" i="9"/>
  <c r="CQ17" i="9"/>
  <c r="CN17" i="9"/>
  <c r="CK17" i="9"/>
  <c r="CH17" i="9"/>
  <c r="CE17" i="9"/>
  <c r="CB17" i="9"/>
  <c r="BY17" i="9"/>
  <c r="BU17" i="9"/>
  <c r="BT17" i="9"/>
  <c r="BS17" i="9"/>
  <c r="BP17" i="9"/>
  <c r="BM17" i="9"/>
  <c r="BJ17" i="9"/>
  <c r="BG17" i="9"/>
  <c r="BD17" i="9"/>
  <c r="BA17" i="9"/>
  <c r="AW17" i="9"/>
  <c r="AV17" i="9"/>
  <c r="AU17" i="9"/>
  <c r="AR17" i="9"/>
  <c r="AO17" i="9"/>
  <c r="AL17" i="9"/>
  <c r="AI17" i="9"/>
  <c r="AF17" i="9"/>
  <c r="AC17" i="9"/>
  <c r="Y17" i="9"/>
  <c r="X17" i="9"/>
  <c r="W17" i="9"/>
  <c r="T17" i="9"/>
  <c r="Q17" i="9"/>
  <c r="N17" i="9"/>
  <c r="K17" i="9"/>
  <c r="H17" i="9"/>
  <c r="E17" i="9"/>
  <c r="DQ16" i="9"/>
  <c r="DP16" i="9"/>
  <c r="DO16" i="9"/>
  <c r="DL16" i="9"/>
  <c r="DI16" i="9"/>
  <c r="DF16" i="9"/>
  <c r="DC16" i="9"/>
  <c r="CZ16" i="9"/>
  <c r="CW16" i="9"/>
  <c r="CS16" i="9"/>
  <c r="CR16" i="9"/>
  <c r="CQ16" i="9"/>
  <c r="CN16" i="9"/>
  <c r="CK16" i="9"/>
  <c r="CH16" i="9"/>
  <c r="CE16" i="9"/>
  <c r="CB16" i="9"/>
  <c r="BY16" i="9"/>
  <c r="BU16" i="9"/>
  <c r="BT16" i="9"/>
  <c r="BS16" i="9"/>
  <c r="BP16" i="9"/>
  <c r="BM16" i="9"/>
  <c r="BJ16" i="9"/>
  <c r="BG16" i="9"/>
  <c r="BD16" i="9"/>
  <c r="BA16" i="9"/>
  <c r="AW16" i="9"/>
  <c r="AV16" i="9"/>
  <c r="AU16" i="9"/>
  <c r="AR16" i="9"/>
  <c r="AO16" i="9"/>
  <c r="AL16" i="9"/>
  <c r="AI16" i="9"/>
  <c r="AF16" i="9"/>
  <c r="AC16" i="9"/>
  <c r="Y16" i="9"/>
  <c r="X16" i="9"/>
  <c r="W16" i="9"/>
  <c r="T16" i="9"/>
  <c r="Q16" i="9"/>
  <c r="N16" i="9"/>
  <c r="K16" i="9"/>
  <c r="H16" i="9"/>
  <c r="E16" i="9"/>
  <c r="DQ15" i="9"/>
  <c r="DP15" i="9"/>
  <c r="DO15" i="9"/>
  <c r="DL15" i="9"/>
  <c r="DI15" i="9"/>
  <c r="DF15" i="9"/>
  <c r="DC15" i="9"/>
  <c r="CZ15" i="9"/>
  <c r="CW15" i="9"/>
  <c r="CS15" i="9"/>
  <c r="CR15" i="9"/>
  <c r="CQ15" i="9"/>
  <c r="CN15" i="9"/>
  <c r="CK15" i="9"/>
  <c r="CH15" i="9"/>
  <c r="CE15" i="9"/>
  <c r="CB15" i="9"/>
  <c r="BY15" i="9"/>
  <c r="BU15" i="9"/>
  <c r="BT15" i="9"/>
  <c r="BS15" i="9"/>
  <c r="BP15" i="9"/>
  <c r="BM15" i="9"/>
  <c r="BJ15" i="9"/>
  <c r="BG15" i="9"/>
  <c r="BD15" i="9"/>
  <c r="BA15" i="9"/>
  <c r="AW15" i="9"/>
  <c r="AV15" i="9"/>
  <c r="AU15" i="9"/>
  <c r="AR15" i="9"/>
  <c r="AO15" i="9"/>
  <c r="AL15" i="9"/>
  <c r="AI15" i="9"/>
  <c r="AF15" i="9"/>
  <c r="AC15" i="9"/>
  <c r="Y15" i="9"/>
  <c r="X15" i="9"/>
  <c r="W15" i="9"/>
  <c r="T15" i="9"/>
  <c r="Q15" i="9"/>
  <c r="N15" i="9"/>
  <c r="K15" i="9"/>
  <c r="H15" i="9"/>
  <c r="E15" i="9"/>
  <c r="DQ14" i="9"/>
  <c r="DP14" i="9"/>
  <c r="DO14" i="9"/>
  <c r="DL14" i="9"/>
  <c r="DI14" i="9"/>
  <c r="DF14" i="9"/>
  <c r="DC14" i="9"/>
  <c r="CZ14" i="9"/>
  <c r="CW14" i="9"/>
  <c r="CS14" i="9"/>
  <c r="CR14" i="9"/>
  <c r="CQ14" i="9"/>
  <c r="CN14" i="9"/>
  <c r="CK14" i="9"/>
  <c r="CH14" i="9"/>
  <c r="CE14" i="9"/>
  <c r="CB14" i="9"/>
  <c r="BY14" i="9"/>
  <c r="BU14" i="9"/>
  <c r="BT14" i="9"/>
  <c r="BS14" i="9"/>
  <c r="BP14" i="9"/>
  <c r="BM14" i="9"/>
  <c r="BJ14" i="9"/>
  <c r="BG14" i="9"/>
  <c r="BD14" i="9"/>
  <c r="BA14" i="9"/>
  <c r="AW14" i="9"/>
  <c r="AV14" i="9"/>
  <c r="AU14" i="9"/>
  <c r="AR14" i="9"/>
  <c r="AO14" i="9"/>
  <c r="AL14" i="9"/>
  <c r="AI14" i="9"/>
  <c r="AF14" i="9"/>
  <c r="AC14" i="9"/>
  <c r="Y14" i="9"/>
  <c r="X14" i="9"/>
  <c r="W14" i="9"/>
  <c r="T14" i="9"/>
  <c r="Q14" i="9"/>
  <c r="N14" i="9"/>
  <c r="K14" i="9"/>
  <c r="H14" i="9"/>
  <c r="E14" i="9"/>
  <c r="DQ13" i="9"/>
  <c r="DP13" i="9"/>
  <c r="DO13" i="9"/>
  <c r="DL13" i="9"/>
  <c r="DI13" i="9"/>
  <c r="DF13" i="9"/>
  <c r="DC13" i="9"/>
  <c r="CZ13" i="9"/>
  <c r="CW13" i="9"/>
  <c r="CS13" i="9"/>
  <c r="CR13" i="9"/>
  <c r="CQ13" i="9"/>
  <c r="CN13" i="9"/>
  <c r="CK13" i="9"/>
  <c r="CH13" i="9"/>
  <c r="CE13" i="9"/>
  <c r="CB13" i="9"/>
  <c r="BY13" i="9"/>
  <c r="BU13" i="9"/>
  <c r="BT13" i="9"/>
  <c r="BS13" i="9"/>
  <c r="BP13" i="9"/>
  <c r="BM13" i="9"/>
  <c r="BJ13" i="9"/>
  <c r="BG13" i="9"/>
  <c r="BD13" i="9"/>
  <c r="BA13" i="9"/>
  <c r="AW13" i="9"/>
  <c r="AV13" i="9"/>
  <c r="AU13" i="9"/>
  <c r="AR13" i="9"/>
  <c r="AO13" i="9"/>
  <c r="AL13" i="9"/>
  <c r="AI13" i="9"/>
  <c r="AF13" i="9"/>
  <c r="AC13" i="9"/>
  <c r="Y13" i="9"/>
  <c r="X13" i="9"/>
  <c r="W13" i="9"/>
  <c r="T13" i="9"/>
  <c r="Q13" i="9"/>
  <c r="N13" i="9"/>
  <c r="K13" i="9"/>
  <c r="H13" i="9"/>
  <c r="E13" i="9"/>
  <c r="DQ12" i="9"/>
  <c r="DP12" i="9"/>
  <c r="DO12" i="9"/>
  <c r="DL12" i="9"/>
  <c r="DI12" i="9"/>
  <c r="DF12" i="9"/>
  <c r="DC12" i="9"/>
  <c r="CZ12" i="9"/>
  <c r="CW12" i="9"/>
  <c r="CS12" i="9"/>
  <c r="CR12" i="9"/>
  <c r="CQ12" i="9"/>
  <c r="CN12" i="9"/>
  <c r="CK12" i="9"/>
  <c r="CH12" i="9"/>
  <c r="CE12" i="9"/>
  <c r="CB12" i="9"/>
  <c r="BY12" i="9"/>
  <c r="BU12" i="9"/>
  <c r="BT12" i="9"/>
  <c r="BS12" i="9"/>
  <c r="BP12" i="9"/>
  <c r="BM12" i="9"/>
  <c r="BJ12" i="9"/>
  <c r="BG12" i="9"/>
  <c r="BD12" i="9"/>
  <c r="BA12" i="9"/>
  <c r="AW12" i="9"/>
  <c r="AV12" i="9"/>
  <c r="AU12" i="9"/>
  <c r="AR12" i="9"/>
  <c r="AO12" i="9"/>
  <c r="AL12" i="9"/>
  <c r="AI12" i="9"/>
  <c r="AF12" i="9"/>
  <c r="AC12" i="9"/>
  <c r="Y12" i="9"/>
  <c r="X12" i="9"/>
  <c r="W12" i="9"/>
  <c r="T12" i="9"/>
  <c r="Q12" i="9"/>
  <c r="N12" i="9"/>
  <c r="K12" i="9"/>
  <c r="H12" i="9"/>
  <c r="E12" i="9"/>
  <c r="DQ11" i="9"/>
  <c r="DP11" i="9"/>
  <c r="DO11" i="9"/>
  <c r="DL11" i="9"/>
  <c r="DI11" i="9"/>
  <c r="DF11" i="9"/>
  <c r="DC11" i="9"/>
  <c r="CZ11" i="9"/>
  <c r="CW11" i="9"/>
  <c r="CS11" i="9"/>
  <c r="CR11" i="9"/>
  <c r="CQ11" i="9"/>
  <c r="CN11" i="9"/>
  <c r="CK11" i="9"/>
  <c r="CH11" i="9"/>
  <c r="CE11" i="9"/>
  <c r="CB11" i="9"/>
  <c r="BY11" i="9"/>
  <c r="BU11" i="9"/>
  <c r="BT11" i="9"/>
  <c r="BS11" i="9"/>
  <c r="BP11" i="9"/>
  <c r="BM11" i="9"/>
  <c r="BJ11" i="9"/>
  <c r="BG11" i="9"/>
  <c r="BD11" i="9"/>
  <c r="BA11" i="9"/>
  <c r="AW11" i="9"/>
  <c r="AV11" i="9"/>
  <c r="AU11" i="9"/>
  <c r="AR11" i="9"/>
  <c r="AO11" i="9"/>
  <c r="AL11" i="9"/>
  <c r="AI11" i="9"/>
  <c r="AF11" i="9"/>
  <c r="AC11" i="9"/>
  <c r="Y11" i="9"/>
  <c r="X11" i="9"/>
  <c r="W11" i="9"/>
  <c r="T11" i="9"/>
  <c r="Q11" i="9"/>
  <c r="N11" i="9"/>
  <c r="K11" i="9"/>
  <c r="H11" i="9"/>
  <c r="E11" i="9"/>
  <c r="DQ10" i="9"/>
  <c r="DP10" i="9"/>
  <c r="DO10" i="9"/>
  <c r="DL10" i="9"/>
  <c r="DI10" i="9"/>
  <c r="DF10" i="9"/>
  <c r="DC10" i="9"/>
  <c r="CZ10" i="9"/>
  <c r="CW10" i="9"/>
  <c r="CS10" i="9"/>
  <c r="CR10" i="9"/>
  <c r="CQ10" i="9"/>
  <c r="CN10" i="9"/>
  <c r="CK10" i="9"/>
  <c r="CH10" i="9"/>
  <c r="CE10" i="9"/>
  <c r="CB10" i="9"/>
  <c r="BY10" i="9"/>
  <c r="BU10" i="9"/>
  <c r="BT10" i="9"/>
  <c r="BS10" i="9"/>
  <c r="BP10" i="9"/>
  <c r="BM10" i="9"/>
  <c r="BJ10" i="9"/>
  <c r="BG10" i="9"/>
  <c r="BD10" i="9"/>
  <c r="BA10" i="9"/>
  <c r="AW10" i="9"/>
  <c r="AV10" i="9"/>
  <c r="AU10" i="9"/>
  <c r="AR10" i="9"/>
  <c r="AO10" i="9"/>
  <c r="AL10" i="9"/>
  <c r="AI10" i="9"/>
  <c r="AF10" i="9"/>
  <c r="AC10" i="9"/>
  <c r="Y10" i="9"/>
  <c r="X10" i="9"/>
  <c r="W10" i="9"/>
  <c r="T10" i="9"/>
  <c r="Q10" i="9"/>
  <c r="N10" i="9"/>
  <c r="K10" i="9"/>
  <c r="H10" i="9"/>
  <c r="E10" i="9"/>
  <c r="DQ9" i="9"/>
  <c r="DP9" i="9"/>
  <c r="DO9" i="9"/>
  <c r="DL9" i="9"/>
  <c r="DI9" i="9"/>
  <c r="DF9" i="9"/>
  <c r="DC9" i="9"/>
  <c r="CZ9" i="9"/>
  <c r="CW9" i="9"/>
  <c r="CS9" i="9"/>
  <c r="CR9" i="9"/>
  <c r="CQ9" i="9"/>
  <c r="CN9" i="9"/>
  <c r="CK9" i="9"/>
  <c r="CH9" i="9"/>
  <c r="CE9" i="9"/>
  <c r="CB9" i="9"/>
  <c r="BY9" i="9"/>
  <c r="BU9" i="9"/>
  <c r="BT9" i="9"/>
  <c r="BS9" i="9"/>
  <c r="BP9" i="9"/>
  <c r="BM9" i="9"/>
  <c r="BJ9" i="9"/>
  <c r="BG9" i="9"/>
  <c r="BD9" i="9"/>
  <c r="BA9" i="9"/>
  <c r="AW9" i="9"/>
  <c r="AV9" i="9"/>
  <c r="AU9" i="9"/>
  <c r="AR9" i="9"/>
  <c r="AO9" i="9"/>
  <c r="AL9" i="9"/>
  <c r="AI9" i="9"/>
  <c r="AF9" i="9"/>
  <c r="AC9" i="9"/>
  <c r="Y9" i="9"/>
  <c r="X9" i="9"/>
  <c r="W9" i="9"/>
  <c r="T9" i="9"/>
  <c r="Q9" i="9"/>
  <c r="N9" i="9"/>
  <c r="K9" i="9"/>
  <c r="H9" i="9"/>
  <c r="E9" i="9"/>
  <c r="DQ8" i="9"/>
  <c r="DP8" i="9"/>
  <c r="DO8" i="9"/>
  <c r="DL8" i="9"/>
  <c r="DI8" i="9"/>
  <c r="DF8" i="9"/>
  <c r="DC8" i="9"/>
  <c r="CZ8" i="9"/>
  <c r="CW8" i="9"/>
  <c r="CS8" i="9"/>
  <c r="CR8" i="9"/>
  <c r="CQ8" i="9"/>
  <c r="CN8" i="9"/>
  <c r="CK8" i="9"/>
  <c r="CH8" i="9"/>
  <c r="CE8" i="9"/>
  <c r="CB8" i="9"/>
  <c r="BY8" i="9"/>
  <c r="BU8" i="9"/>
  <c r="BT8" i="9"/>
  <c r="BS8" i="9"/>
  <c r="BP8" i="9"/>
  <c r="BM8" i="9"/>
  <c r="BJ8" i="9"/>
  <c r="BG8" i="9"/>
  <c r="BD8" i="9"/>
  <c r="BA8" i="9"/>
  <c r="AW8" i="9"/>
  <c r="AV8" i="9"/>
  <c r="AU8" i="9"/>
  <c r="AR8" i="9"/>
  <c r="AO8" i="9"/>
  <c r="AL8" i="9"/>
  <c r="AI8" i="9"/>
  <c r="AF8" i="9"/>
  <c r="AC8" i="9"/>
  <c r="Y8" i="9"/>
  <c r="X8" i="9"/>
  <c r="W8" i="9"/>
  <c r="T8" i="9"/>
  <c r="Q8" i="9"/>
  <c r="N8" i="9"/>
  <c r="K8" i="9"/>
  <c r="H8" i="9"/>
  <c r="E8" i="9"/>
  <c r="DQ7" i="9"/>
  <c r="DP7" i="9"/>
  <c r="DO7" i="9"/>
  <c r="DL7" i="9"/>
  <c r="DI7" i="9"/>
  <c r="DF7" i="9"/>
  <c r="DC7" i="9"/>
  <c r="CZ7" i="9"/>
  <c r="CW7" i="9"/>
  <c r="CS7" i="9"/>
  <c r="CR7" i="9"/>
  <c r="CQ7" i="9"/>
  <c r="CN7" i="9"/>
  <c r="CK7" i="9"/>
  <c r="CH7" i="9"/>
  <c r="CE7" i="9"/>
  <c r="CB7" i="9"/>
  <c r="BY7" i="9"/>
  <c r="BU7" i="9"/>
  <c r="BT7" i="9"/>
  <c r="BS7" i="9"/>
  <c r="BP7" i="9"/>
  <c r="BM7" i="9"/>
  <c r="BJ7" i="9"/>
  <c r="BG7" i="9"/>
  <c r="BD7" i="9"/>
  <c r="BA7" i="9"/>
  <c r="AW7" i="9"/>
  <c r="AV7" i="9"/>
  <c r="AU7" i="9"/>
  <c r="AR7" i="9"/>
  <c r="AO7" i="9"/>
  <c r="AL7" i="9"/>
  <c r="AI7" i="9"/>
  <c r="AF7" i="9"/>
  <c r="AC7" i="9"/>
  <c r="Y7" i="9"/>
  <c r="X7" i="9"/>
  <c r="W7" i="9"/>
  <c r="T7" i="9"/>
  <c r="Q7" i="9"/>
  <c r="N7" i="9"/>
  <c r="K7" i="9"/>
  <c r="H7" i="9"/>
  <c r="E7" i="9"/>
  <c r="DQ6" i="9"/>
  <c r="DP6" i="9"/>
  <c r="DO6" i="9"/>
  <c r="DL6" i="9"/>
  <c r="DI6" i="9"/>
  <c r="DF6" i="9"/>
  <c r="DC6" i="9"/>
  <c r="CZ6" i="9"/>
  <c r="CW6" i="9"/>
  <c r="CS6" i="9"/>
  <c r="CR6" i="9"/>
  <c r="CQ6" i="9"/>
  <c r="CN6" i="9"/>
  <c r="CK6" i="9"/>
  <c r="CH6" i="9"/>
  <c r="CE6" i="9"/>
  <c r="CB6" i="9"/>
  <c r="BY6" i="9"/>
  <c r="BU6" i="9"/>
  <c r="BT6" i="9"/>
  <c r="BS6" i="9"/>
  <c r="BP6" i="9"/>
  <c r="BM6" i="9"/>
  <c r="BJ6" i="9"/>
  <c r="BG6" i="9"/>
  <c r="BD6" i="9"/>
  <c r="BA6" i="9"/>
  <c r="AW6" i="9"/>
  <c r="AV6" i="9"/>
  <c r="AU6" i="9"/>
  <c r="AR6" i="9"/>
  <c r="AO6" i="9"/>
  <c r="AL6" i="9"/>
  <c r="AI6" i="9"/>
  <c r="AF6" i="9"/>
  <c r="AC6" i="9"/>
  <c r="Y6" i="9"/>
  <c r="X6" i="9"/>
  <c r="W6" i="9"/>
  <c r="T6" i="9"/>
  <c r="Q6" i="9"/>
  <c r="N6" i="9"/>
  <c r="K6" i="9"/>
  <c r="H6" i="9"/>
  <c r="E6" i="9"/>
  <c r="DQ5" i="9"/>
  <c r="DP5" i="9"/>
  <c r="DO5" i="9"/>
  <c r="DL5" i="9"/>
  <c r="DI5" i="9"/>
  <c r="DF5" i="9"/>
  <c r="DC5" i="9"/>
  <c r="CZ5" i="9"/>
  <c r="CW5" i="9"/>
  <c r="CS5" i="9"/>
  <c r="CR5" i="9"/>
  <c r="CQ5" i="9"/>
  <c r="CN5" i="9"/>
  <c r="CK5" i="9"/>
  <c r="CH5" i="9"/>
  <c r="CE5" i="9"/>
  <c r="CB5" i="9"/>
  <c r="BY5" i="9"/>
  <c r="BU5" i="9"/>
  <c r="BT5" i="9"/>
  <c r="BS5" i="9"/>
  <c r="BP5" i="9"/>
  <c r="BM5" i="9"/>
  <c r="BJ5" i="9"/>
  <c r="BG5" i="9"/>
  <c r="BD5" i="9"/>
  <c r="BA5" i="9"/>
  <c r="AW5" i="9"/>
  <c r="AV5" i="9"/>
  <c r="AU5" i="9"/>
  <c r="AR5" i="9"/>
  <c r="AO5" i="9"/>
  <c r="AL5" i="9"/>
  <c r="AI5" i="9"/>
  <c r="AF5" i="9"/>
  <c r="AC5" i="9"/>
  <c r="Y5" i="9"/>
  <c r="X5" i="9"/>
  <c r="W5" i="9"/>
  <c r="T5" i="9"/>
  <c r="Q5" i="9"/>
  <c r="N5" i="9"/>
  <c r="K5" i="9"/>
  <c r="H5" i="9"/>
  <c r="E5" i="9"/>
  <c r="DQ4" i="9"/>
  <c r="DP4" i="9"/>
  <c r="DO4" i="9"/>
  <c r="DL4" i="9"/>
  <c r="DI4" i="9"/>
  <c r="DF4" i="9"/>
  <c r="DC4" i="9"/>
  <c r="CZ4" i="9"/>
  <c r="CW4" i="9"/>
  <c r="CS4" i="9"/>
  <c r="CR4" i="9"/>
  <c r="CQ4" i="9"/>
  <c r="CN4" i="9"/>
  <c r="CK4" i="9"/>
  <c r="CH4" i="9"/>
  <c r="CE4" i="9"/>
  <c r="CB4" i="9"/>
  <c r="BY4" i="9"/>
  <c r="BU4" i="9"/>
  <c r="BT4" i="9"/>
  <c r="BS4" i="9"/>
  <c r="BP4" i="9"/>
  <c r="BM4" i="9"/>
  <c r="BJ4" i="9"/>
  <c r="BG4" i="9"/>
  <c r="BD4" i="9"/>
  <c r="BA4" i="9"/>
  <c r="AW4" i="9"/>
  <c r="AV4" i="9"/>
  <c r="AU4" i="9"/>
  <c r="AR4" i="9"/>
  <c r="AO4" i="9"/>
  <c r="AL4" i="9"/>
  <c r="AI4" i="9"/>
  <c r="AF4" i="9"/>
  <c r="AC4" i="9"/>
  <c r="Y4" i="9"/>
  <c r="X4" i="9"/>
  <c r="W4" i="9"/>
  <c r="T4" i="9"/>
  <c r="Q4" i="9"/>
  <c r="N4" i="9"/>
  <c r="K4" i="9"/>
  <c r="H4" i="9"/>
  <c r="E4" i="9"/>
  <c r="DQ21" i="8"/>
  <c r="DP21" i="8"/>
  <c r="DO21" i="8"/>
  <c r="DL21" i="8"/>
  <c r="DI21" i="8"/>
  <c r="DF21" i="8"/>
  <c r="DC21" i="8"/>
  <c r="CZ21" i="8"/>
  <c r="CW21" i="8"/>
  <c r="CS21" i="8"/>
  <c r="CR21" i="8"/>
  <c r="CQ21" i="8"/>
  <c r="CN21" i="8"/>
  <c r="CK21" i="8"/>
  <c r="CH21" i="8"/>
  <c r="CE21" i="8"/>
  <c r="CB21" i="8"/>
  <c r="BY21" i="8"/>
  <c r="BU21" i="8"/>
  <c r="BT21" i="8"/>
  <c r="BS21" i="8"/>
  <c r="BP21" i="8"/>
  <c r="BM21" i="8"/>
  <c r="BJ21" i="8"/>
  <c r="BG21" i="8"/>
  <c r="BD21" i="8"/>
  <c r="BA21" i="8"/>
  <c r="AW21" i="8"/>
  <c r="AV21" i="8"/>
  <c r="AU21" i="8"/>
  <c r="AR21" i="8"/>
  <c r="AO21" i="8"/>
  <c r="AL21" i="8"/>
  <c r="AI21" i="8"/>
  <c r="AF21" i="8"/>
  <c r="AC21" i="8"/>
  <c r="Y21" i="8"/>
  <c r="X21" i="8"/>
  <c r="W21" i="8"/>
  <c r="T21" i="8"/>
  <c r="Q21" i="8"/>
  <c r="N21" i="8"/>
  <c r="K21" i="8"/>
  <c r="H21" i="8"/>
  <c r="E21" i="8"/>
  <c r="DQ20" i="8"/>
  <c r="DP20" i="8"/>
  <c r="DO20" i="8"/>
  <c r="DL20" i="8"/>
  <c r="DI20" i="8"/>
  <c r="DF20" i="8"/>
  <c r="DC20" i="8"/>
  <c r="CZ20" i="8"/>
  <c r="CW20" i="8"/>
  <c r="CS20" i="8"/>
  <c r="CR20" i="8"/>
  <c r="CQ20" i="8"/>
  <c r="CN20" i="8"/>
  <c r="CK20" i="8"/>
  <c r="CH20" i="8"/>
  <c r="CE20" i="8"/>
  <c r="CB20" i="8"/>
  <c r="BY20" i="8"/>
  <c r="BU20" i="8"/>
  <c r="BT20" i="8"/>
  <c r="BS20" i="8"/>
  <c r="BP20" i="8"/>
  <c r="BM20" i="8"/>
  <c r="BJ20" i="8"/>
  <c r="BG20" i="8"/>
  <c r="BD20" i="8"/>
  <c r="BA20" i="8"/>
  <c r="AW20" i="8"/>
  <c r="AV20" i="8"/>
  <c r="AU20" i="8"/>
  <c r="AR20" i="8"/>
  <c r="AO20" i="8"/>
  <c r="AL20" i="8"/>
  <c r="AI20" i="8"/>
  <c r="AF20" i="8"/>
  <c r="AC20" i="8"/>
  <c r="Y20" i="8"/>
  <c r="X20" i="8"/>
  <c r="W20" i="8"/>
  <c r="T20" i="8"/>
  <c r="Q20" i="8"/>
  <c r="N20" i="8"/>
  <c r="K20" i="8"/>
  <c r="H20" i="8"/>
  <c r="E20" i="8"/>
  <c r="DQ19" i="8"/>
  <c r="DP19" i="8"/>
  <c r="DO19" i="8"/>
  <c r="DL19" i="8"/>
  <c r="DI19" i="8"/>
  <c r="DF19" i="8"/>
  <c r="DC19" i="8"/>
  <c r="CZ19" i="8"/>
  <c r="CW19" i="8"/>
  <c r="CS19" i="8"/>
  <c r="CR19" i="8"/>
  <c r="CQ19" i="8"/>
  <c r="CN19" i="8"/>
  <c r="CK19" i="8"/>
  <c r="CH19" i="8"/>
  <c r="CE19" i="8"/>
  <c r="CB19" i="8"/>
  <c r="BY19" i="8"/>
  <c r="BU19" i="8"/>
  <c r="BT19" i="8"/>
  <c r="BS19" i="8"/>
  <c r="BP19" i="8"/>
  <c r="BM19" i="8"/>
  <c r="BJ19" i="8"/>
  <c r="BG19" i="8"/>
  <c r="BD19" i="8"/>
  <c r="BA19" i="8"/>
  <c r="AW19" i="8"/>
  <c r="AV19" i="8"/>
  <c r="AU19" i="8"/>
  <c r="AR19" i="8"/>
  <c r="AO19" i="8"/>
  <c r="AL19" i="8"/>
  <c r="AI19" i="8"/>
  <c r="AF19" i="8"/>
  <c r="AC19" i="8"/>
  <c r="Y19" i="8"/>
  <c r="X19" i="8"/>
  <c r="W19" i="8"/>
  <c r="T19" i="8"/>
  <c r="Q19" i="8"/>
  <c r="N19" i="8"/>
  <c r="K19" i="8"/>
  <c r="H19" i="8"/>
  <c r="E19" i="8"/>
  <c r="DQ18" i="8"/>
  <c r="DP18" i="8"/>
  <c r="DO18" i="8"/>
  <c r="DL18" i="8"/>
  <c r="DI18" i="8"/>
  <c r="DF18" i="8"/>
  <c r="DC18" i="8"/>
  <c r="CZ18" i="8"/>
  <c r="CW18" i="8"/>
  <c r="CS18" i="8"/>
  <c r="CR18" i="8"/>
  <c r="CQ18" i="8"/>
  <c r="CN18" i="8"/>
  <c r="CK18" i="8"/>
  <c r="CH18" i="8"/>
  <c r="CE18" i="8"/>
  <c r="CB18" i="8"/>
  <c r="BY18" i="8"/>
  <c r="BU18" i="8"/>
  <c r="BT18" i="8"/>
  <c r="BS18" i="8"/>
  <c r="BP18" i="8"/>
  <c r="BM18" i="8"/>
  <c r="BJ18" i="8"/>
  <c r="BG18" i="8"/>
  <c r="BD18" i="8"/>
  <c r="BA18" i="8"/>
  <c r="AW18" i="8"/>
  <c r="AV18" i="8"/>
  <c r="AU18" i="8"/>
  <c r="AR18" i="8"/>
  <c r="AO18" i="8"/>
  <c r="AL18" i="8"/>
  <c r="AI18" i="8"/>
  <c r="AF18" i="8"/>
  <c r="AC18" i="8"/>
  <c r="Y18" i="8"/>
  <c r="X18" i="8"/>
  <c r="W18" i="8"/>
  <c r="T18" i="8"/>
  <c r="Q18" i="8"/>
  <c r="N18" i="8"/>
  <c r="K18" i="8"/>
  <c r="H18" i="8"/>
  <c r="E18" i="8"/>
  <c r="DQ17" i="8"/>
  <c r="DP17" i="8"/>
  <c r="DO17" i="8"/>
  <c r="DL17" i="8"/>
  <c r="DI17" i="8"/>
  <c r="DF17" i="8"/>
  <c r="DC17" i="8"/>
  <c r="CZ17" i="8"/>
  <c r="CW17" i="8"/>
  <c r="CS17" i="8"/>
  <c r="CR17" i="8"/>
  <c r="CQ17" i="8"/>
  <c r="CN17" i="8"/>
  <c r="CK17" i="8"/>
  <c r="CH17" i="8"/>
  <c r="CE17" i="8"/>
  <c r="CB17" i="8"/>
  <c r="BY17" i="8"/>
  <c r="BU17" i="8"/>
  <c r="BT17" i="8"/>
  <c r="BS17" i="8"/>
  <c r="BP17" i="8"/>
  <c r="BM17" i="8"/>
  <c r="BJ17" i="8"/>
  <c r="BG17" i="8"/>
  <c r="BD17" i="8"/>
  <c r="BA17" i="8"/>
  <c r="AW17" i="8"/>
  <c r="AV17" i="8"/>
  <c r="AU17" i="8"/>
  <c r="AR17" i="8"/>
  <c r="AO17" i="8"/>
  <c r="AL17" i="8"/>
  <c r="AI17" i="8"/>
  <c r="AF17" i="8"/>
  <c r="AC17" i="8"/>
  <c r="Y17" i="8"/>
  <c r="X17" i="8"/>
  <c r="W17" i="8"/>
  <c r="T17" i="8"/>
  <c r="Q17" i="8"/>
  <c r="N17" i="8"/>
  <c r="K17" i="8"/>
  <c r="H17" i="8"/>
  <c r="E17" i="8"/>
  <c r="DQ16" i="8"/>
  <c r="DP16" i="8"/>
  <c r="DO16" i="8"/>
  <c r="DL16" i="8"/>
  <c r="DI16" i="8"/>
  <c r="DF16" i="8"/>
  <c r="DC16" i="8"/>
  <c r="CZ16" i="8"/>
  <c r="CW16" i="8"/>
  <c r="CS16" i="8"/>
  <c r="CR16" i="8"/>
  <c r="CQ16" i="8"/>
  <c r="CN16" i="8"/>
  <c r="CK16" i="8"/>
  <c r="CH16" i="8"/>
  <c r="CE16" i="8"/>
  <c r="CB16" i="8"/>
  <c r="BY16" i="8"/>
  <c r="BU16" i="8"/>
  <c r="BT16" i="8"/>
  <c r="BS16" i="8"/>
  <c r="BP16" i="8"/>
  <c r="BM16" i="8"/>
  <c r="BJ16" i="8"/>
  <c r="BG16" i="8"/>
  <c r="BD16" i="8"/>
  <c r="BA16" i="8"/>
  <c r="AW16" i="8"/>
  <c r="AV16" i="8"/>
  <c r="AU16" i="8"/>
  <c r="AR16" i="8"/>
  <c r="AO16" i="8"/>
  <c r="AL16" i="8"/>
  <c r="AI16" i="8"/>
  <c r="AF16" i="8"/>
  <c r="AC16" i="8"/>
  <c r="Y16" i="8"/>
  <c r="X16" i="8"/>
  <c r="W16" i="8"/>
  <c r="T16" i="8"/>
  <c r="Q16" i="8"/>
  <c r="N16" i="8"/>
  <c r="K16" i="8"/>
  <c r="H16" i="8"/>
  <c r="E16" i="8"/>
  <c r="DQ15" i="8"/>
  <c r="DP15" i="8"/>
  <c r="DO15" i="8"/>
  <c r="DL15" i="8"/>
  <c r="DI15" i="8"/>
  <c r="DF15" i="8"/>
  <c r="DC15" i="8"/>
  <c r="CZ15" i="8"/>
  <c r="CW15" i="8"/>
  <c r="CS15" i="8"/>
  <c r="CR15" i="8"/>
  <c r="CQ15" i="8"/>
  <c r="CN15" i="8"/>
  <c r="CK15" i="8"/>
  <c r="CH15" i="8"/>
  <c r="CE15" i="8"/>
  <c r="CB15" i="8"/>
  <c r="BY15" i="8"/>
  <c r="BU15" i="8"/>
  <c r="BT15" i="8"/>
  <c r="BS15" i="8"/>
  <c r="BP15" i="8"/>
  <c r="BM15" i="8"/>
  <c r="BJ15" i="8"/>
  <c r="BG15" i="8"/>
  <c r="BD15" i="8"/>
  <c r="BA15" i="8"/>
  <c r="AW15" i="8"/>
  <c r="AV15" i="8"/>
  <c r="AU15" i="8"/>
  <c r="AR15" i="8"/>
  <c r="AO15" i="8"/>
  <c r="AL15" i="8"/>
  <c r="AI15" i="8"/>
  <c r="AF15" i="8"/>
  <c r="AC15" i="8"/>
  <c r="Y15" i="8"/>
  <c r="X15" i="8"/>
  <c r="W15" i="8"/>
  <c r="T15" i="8"/>
  <c r="Q15" i="8"/>
  <c r="N15" i="8"/>
  <c r="K15" i="8"/>
  <c r="H15" i="8"/>
  <c r="E15" i="8"/>
  <c r="DQ14" i="8"/>
  <c r="DP14" i="8"/>
  <c r="DO14" i="8"/>
  <c r="DL14" i="8"/>
  <c r="DI14" i="8"/>
  <c r="DF14" i="8"/>
  <c r="DC14" i="8"/>
  <c r="CZ14" i="8"/>
  <c r="CW14" i="8"/>
  <c r="CS14" i="8"/>
  <c r="CR14" i="8"/>
  <c r="CQ14" i="8"/>
  <c r="CN14" i="8"/>
  <c r="CK14" i="8"/>
  <c r="CH14" i="8"/>
  <c r="CE14" i="8"/>
  <c r="CB14" i="8"/>
  <c r="BY14" i="8"/>
  <c r="BU14" i="8"/>
  <c r="BT14" i="8"/>
  <c r="BS14" i="8"/>
  <c r="BP14" i="8"/>
  <c r="BM14" i="8"/>
  <c r="BJ14" i="8"/>
  <c r="BG14" i="8"/>
  <c r="BD14" i="8"/>
  <c r="BA14" i="8"/>
  <c r="AW14" i="8"/>
  <c r="AV14" i="8"/>
  <c r="AU14" i="8"/>
  <c r="AR14" i="8"/>
  <c r="AO14" i="8"/>
  <c r="AL14" i="8"/>
  <c r="AI14" i="8"/>
  <c r="AF14" i="8"/>
  <c r="AC14" i="8"/>
  <c r="Y14" i="8"/>
  <c r="X14" i="8"/>
  <c r="W14" i="8"/>
  <c r="T14" i="8"/>
  <c r="Q14" i="8"/>
  <c r="N14" i="8"/>
  <c r="K14" i="8"/>
  <c r="H14" i="8"/>
  <c r="E14" i="8"/>
  <c r="DQ13" i="8"/>
  <c r="DP13" i="8"/>
  <c r="DO13" i="8"/>
  <c r="DL13" i="8"/>
  <c r="DI13" i="8"/>
  <c r="DF13" i="8"/>
  <c r="DC13" i="8"/>
  <c r="CZ13" i="8"/>
  <c r="CW13" i="8"/>
  <c r="CS13" i="8"/>
  <c r="CR13" i="8"/>
  <c r="CQ13" i="8"/>
  <c r="CN13" i="8"/>
  <c r="CK13" i="8"/>
  <c r="CH13" i="8"/>
  <c r="CE13" i="8"/>
  <c r="CB13" i="8"/>
  <c r="BY13" i="8"/>
  <c r="BU13" i="8"/>
  <c r="BT13" i="8"/>
  <c r="BS13" i="8"/>
  <c r="BP13" i="8"/>
  <c r="BM13" i="8"/>
  <c r="BJ13" i="8"/>
  <c r="BG13" i="8"/>
  <c r="BD13" i="8"/>
  <c r="BA13" i="8"/>
  <c r="AW13" i="8"/>
  <c r="AV13" i="8"/>
  <c r="AU13" i="8"/>
  <c r="AR13" i="8"/>
  <c r="AO13" i="8"/>
  <c r="AL13" i="8"/>
  <c r="AI13" i="8"/>
  <c r="AF13" i="8"/>
  <c r="AC13" i="8"/>
  <c r="Y13" i="8"/>
  <c r="X13" i="8"/>
  <c r="W13" i="8"/>
  <c r="T13" i="8"/>
  <c r="Q13" i="8"/>
  <c r="N13" i="8"/>
  <c r="K13" i="8"/>
  <c r="H13" i="8"/>
  <c r="E13" i="8"/>
  <c r="DQ12" i="8"/>
  <c r="DP12" i="8"/>
  <c r="DO12" i="8"/>
  <c r="DL12" i="8"/>
  <c r="DI12" i="8"/>
  <c r="DF12" i="8"/>
  <c r="DC12" i="8"/>
  <c r="CZ12" i="8"/>
  <c r="CW12" i="8"/>
  <c r="CS12" i="8"/>
  <c r="CR12" i="8"/>
  <c r="CQ12" i="8"/>
  <c r="CN12" i="8"/>
  <c r="CK12" i="8"/>
  <c r="CH12" i="8"/>
  <c r="CE12" i="8"/>
  <c r="CB12" i="8"/>
  <c r="BY12" i="8"/>
  <c r="BU12" i="8"/>
  <c r="BT12" i="8"/>
  <c r="BS12" i="8"/>
  <c r="BP12" i="8"/>
  <c r="BM12" i="8"/>
  <c r="BJ12" i="8"/>
  <c r="BG12" i="8"/>
  <c r="BD12" i="8"/>
  <c r="BA12" i="8"/>
  <c r="AW12" i="8"/>
  <c r="AV12" i="8"/>
  <c r="AU12" i="8"/>
  <c r="AR12" i="8"/>
  <c r="AO12" i="8"/>
  <c r="AL12" i="8"/>
  <c r="AI12" i="8"/>
  <c r="AF12" i="8"/>
  <c r="AC12" i="8"/>
  <c r="Y12" i="8"/>
  <c r="X12" i="8"/>
  <c r="W12" i="8"/>
  <c r="T12" i="8"/>
  <c r="Q12" i="8"/>
  <c r="N12" i="8"/>
  <c r="K12" i="8"/>
  <c r="H12" i="8"/>
  <c r="E12" i="8"/>
  <c r="DQ11" i="8"/>
  <c r="DP11" i="8"/>
  <c r="DO11" i="8"/>
  <c r="DL11" i="8"/>
  <c r="DI11" i="8"/>
  <c r="DF11" i="8"/>
  <c r="DC11" i="8"/>
  <c r="CZ11" i="8"/>
  <c r="CW11" i="8"/>
  <c r="CS11" i="8"/>
  <c r="CR11" i="8"/>
  <c r="CQ11" i="8"/>
  <c r="CN11" i="8"/>
  <c r="CK11" i="8"/>
  <c r="CH11" i="8"/>
  <c r="CE11" i="8"/>
  <c r="CB11" i="8"/>
  <c r="BY11" i="8"/>
  <c r="BU11" i="8"/>
  <c r="BT11" i="8"/>
  <c r="BS11" i="8"/>
  <c r="BP11" i="8"/>
  <c r="BM11" i="8"/>
  <c r="BJ11" i="8"/>
  <c r="BG11" i="8"/>
  <c r="BD11" i="8"/>
  <c r="BA11" i="8"/>
  <c r="AW11" i="8"/>
  <c r="AV11" i="8"/>
  <c r="AU11" i="8"/>
  <c r="AR11" i="8"/>
  <c r="AO11" i="8"/>
  <c r="AL11" i="8"/>
  <c r="AI11" i="8"/>
  <c r="AF11" i="8"/>
  <c r="AC11" i="8"/>
  <c r="Y11" i="8"/>
  <c r="X11" i="8"/>
  <c r="W11" i="8"/>
  <c r="T11" i="8"/>
  <c r="Q11" i="8"/>
  <c r="N11" i="8"/>
  <c r="K11" i="8"/>
  <c r="H11" i="8"/>
  <c r="E11" i="8"/>
  <c r="DQ10" i="8"/>
  <c r="DP10" i="8"/>
  <c r="DO10" i="8"/>
  <c r="DL10" i="8"/>
  <c r="DI10" i="8"/>
  <c r="DF10" i="8"/>
  <c r="DC10" i="8"/>
  <c r="CZ10" i="8"/>
  <c r="CW10" i="8"/>
  <c r="CS10" i="8"/>
  <c r="CR10" i="8"/>
  <c r="CQ10" i="8"/>
  <c r="CN10" i="8"/>
  <c r="CK10" i="8"/>
  <c r="CH10" i="8"/>
  <c r="CE10" i="8"/>
  <c r="CB10" i="8"/>
  <c r="BY10" i="8"/>
  <c r="BU10" i="8"/>
  <c r="BT10" i="8"/>
  <c r="BS10" i="8"/>
  <c r="BP10" i="8"/>
  <c r="BM10" i="8"/>
  <c r="BJ10" i="8"/>
  <c r="BG10" i="8"/>
  <c r="BD10" i="8"/>
  <c r="BA10" i="8"/>
  <c r="AW10" i="8"/>
  <c r="AV10" i="8"/>
  <c r="AU10" i="8"/>
  <c r="AR10" i="8"/>
  <c r="AO10" i="8"/>
  <c r="AL10" i="8"/>
  <c r="AI10" i="8"/>
  <c r="AF10" i="8"/>
  <c r="AC10" i="8"/>
  <c r="Y10" i="8"/>
  <c r="W10" i="8"/>
  <c r="T10" i="8"/>
  <c r="Q10" i="8"/>
  <c r="N10" i="8"/>
  <c r="K10" i="8"/>
  <c r="H10" i="8"/>
  <c r="E10" i="8"/>
  <c r="DQ9" i="8"/>
  <c r="DP9" i="8"/>
  <c r="DO9" i="8"/>
  <c r="DL9" i="8"/>
  <c r="DI9" i="8"/>
  <c r="DF9" i="8"/>
  <c r="DC9" i="8"/>
  <c r="CZ9" i="8"/>
  <c r="CW9" i="8"/>
  <c r="CS9" i="8"/>
  <c r="CR9" i="8"/>
  <c r="CQ9" i="8"/>
  <c r="CN9" i="8"/>
  <c r="CK9" i="8"/>
  <c r="CH9" i="8"/>
  <c r="CE9" i="8"/>
  <c r="CB9" i="8"/>
  <c r="BY9" i="8"/>
  <c r="BU9" i="8"/>
  <c r="BT9" i="8"/>
  <c r="BS9" i="8"/>
  <c r="BP9" i="8"/>
  <c r="BM9" i="8"/>
  <c r="BJ9" i="8"/>
  <c r="BG9" i="8"/>
  <c r="BD9" i="8"/>
  <c r="BA9" i="8"/>
  <c r="AW9" i="8"/>
  <c r="AV9" i="8"/>
  <c r="AU9" i="8"/>
  <c r="AR9" i="8"/>
  <c r="AO9" i="8"/>
  <c r="AL9" i="8"/>
  <c r="AI9" i="8"/>
  <c r="AF9" i="8"/>
  <c r="AC9" i="8"/>
  <c r="Y9" i="8"/>
  <c r="W9" i="8"/>
  <c r="T9" i="8"/>
  <c r="Q9" i="8"/>
  <c r="N9" i="8"/>
  <c r="K9" i="8"/>
  <c r="H9" i="8"/>
  <c r="E9" i="8"/>
  <c r="DQ8" i="8"/>
  <c r="DP8" i="8"/>
  <c r="DO8" i="8"/>
  <c r="DL8" i="8"/>
  <c r="DI8" i="8"/>
  <c r="DF8" i="8"/>
  <c r="DC8" i="8"/>
  <c r="CZ8" i="8"/>
  <c r="CW8" i="8"/>
  <c r="CS8" i="8"/>
  <c r="CR8" i="8"/>
  <c r="CQ8" i="8"/>
  <c r="CN8" i="8"/>
  <c r="CK8" i="8"/>
  <c r="CH8" i="8"/>
  <c r="CE8" i="8"/>
  <c r="CB8" i="8"/>
  <c r="BY8" i="8"/>
  <c r="BU8" i="8"/>
  <c r="BT8" i="8"/>
  <c r="BS8" i="8"/>
  <c r="BP8" i="8"/>
  <c r="BM8" i="8"/>
  <c r="BJ8" i="8"/>
  <c r="BG8" i="8"/>
  <c r="BD8" i="8"/>
  <c r="BA8" i="8"/>
  <c r="AW8" i="8"/>
  <c r="AV8" i="8"/>
  <c r="AU8" i="8"/>
  <c r="AR8" i="8"/>
  <c r="AO8" i="8"/>
  <c r="AL8" i="8"/>
  <c r="AI8" i="8"/>
  <c r="AF8" i="8"/>
  <c r="AC8" i="8"/>
  <c r="Y8" i="8"/>
  <c r="W8" i="8"/>
  <c r="T8" i="8"/>
  <c r="Q8" i="8"/>
  <c r="N8" i="8"/>
  <c r="K8" i="8"/>
  <c r="H8" i="8"/>
  <c r="E8" i="8"/>
  <c r="DQ7" i="8"/>
  <c r="DP7" i="8"/>
  <c r="DO7" i="8"/>
  <c r="DL7" i="8"/>
  <c r="DI7" i="8"/>
  <c r="DF7" i="8"/>
  <c r="DC7" i="8"/>
  <c r="CZ7" i="8"/>
  <c r="CW7" i="8"/>
  <c r="CS7" i="8"/>
  <c r="CR7" i="8"/>
  <c r="CQ7" i="8"/>
  <c r="CN7" i="8"/>
  <c r="CK7" i="8"/>
  <c r="CH7" i="8"/>
  <c r="CE7" i="8"/>
  <c r="CB7" i="8"/>
  <c r="BY7" i="8"/>
  <c r="BU7" i="8"/>
  <c r="BT7" i="8"/>
  <c r="BS7" i="8"/>
  <c r="BP7" i="8"/>
  <c r="BM7" i="8"/>
  <c r="BJ7" i="8"/>
  <c r="BG7" i="8"/>
  <c r="BD7" i="8"/>
  <c r="BA7" i="8"/>
  <c r="AW7" i="8"/>
  <c r="AV7" i="8"/>
  <c r="AU7" i="8"/>
  <c r="AR7" i="8"/>
  <c r="AO7" i="8"/>
  <c r="AL7" i="8"/>
  <c r="AI7" i="8"/>
  <c r="AF7" i="8"/>
  <c r="AC7" i="8"/>
  <c r="Y7" i="8"/>
  <c r="X7" i="8"/>
  <c r="W7" i="8"/>
  <c r="T7" i="8"/>
  <c r="Q7" i="8"/>
  <c r="N7" i="8"/>
  <c r="K7" i="8"/>
  <c r="H7" i="8"/>
  <c r="E7" i="8"/>
  <c r="DQ6" i="8"/>
  <c r="DP6" i="8"/>
  <c r="DO6" i="8"/>
  <c r="DL6" i="8"/>
  <c r="DI6" i="8"/>
  <c r="DF6" i="8"/>
  <c r="DC6" i="8"/>
  <c r="CZ6" i="8"/>
  <c r="CW6" i="8"/>
  <c r="CS6" i="8"/>
  <c r="CR6" i="8"/>
  <c r="CQ6" i="8"/>
  <c r="CN6" i="8"/>
  <c r="CH6" i="8"/>
  <c r="CE6" i="8"/>
  <c r="CB6" i="8"/>
  <c r="BY6" i="8"/>
  <c r="BU6" i="8"/>
  <c r="BT6" i="8"/>
  <c r="BS6" i="8"/>
  <c r="BP6" i="8"/>
  <c r="BM6" i="8"/>
  <c r="BJ6" i="8"/>
  <c r="BG6" i="8"/>
  <c r="BD6" i="8"/>
  <c r="BA6" i="8"/>
  <c r="AW6" i="8"/>
  <c r="AV6" i="8"/>
  <c r="AU6" i="8"/>
  <c r="AR6" i="8"/>
  <c r="AO6" i="8"/>
  <c r="AL6" i="8"/>
  <c r="AI6" i="8"/>
  <c r="AF6" i="8"/>
  <c r="AC6" i="8"/>
  <c r="Y6" i="8"/>
  <c r="X6" i="8"/>
  <c r="W6" i="8"/>
  <c r="T6" i="8"/>
  <c r="Q6" i="8"/>
  <c r="N6" i="8"/>
  <c r="K6" i="8"/>
  <c r="H6" i="8"/>
  <c r="E6" i="8"/>
  <c r="DQ5" i="8"/>
  <c r="DP5" i="8"/>
  <c r="DO5" i="8"/>
  <c r="DL5" i="8"/>
  <c r="DI5" i="8"/>
  <c r="DF5" i="8"/>
  <c r="DC5" i="8"/>
  <c r="CZ5" i="8"/>
  <c r="CW5" i="8"/>
  <c r="CS5" i="8"/>
  <c r="CR5" i="8"/>
  <c r="CQ5" i="8"/>
  <c r="CN5" i="8"/>
  <c r="CK5" i="8"/>
  <c r="CH5" i="8"/>
  <c r="CE5" i="8"/>
  <c r="CB5" i="8"/>
  <c r="BY5" i="8"/>
  <c r="BU5" i="8"/>
  <c r="BT5" i="8"/>
  <c r="BS5" i="8"/>
  <c r="BP5" i="8"/>
  <c r="BM5" i="8"/>
  <c r="BJ5" i="8"/>
  <c r="BG5" i="8"/>
  <c r="BD5" i="8"/>
  <c r="BA5" i="8"/>
  <c r="AW5" i="8"/>
  <c r="AV5" i="8"/>
  <c r="AU5" i="8"/>
  <c r="AR5" i="8"/>
  <c r="AO5" i="8"/>
  <c r="AL5" i="8"/>
  <c r="AI5" i="8"/>
  <c r="AF5" i="8"/>
  <c r="AC5" i="8"/>
  <c r="Y5" i="8"/>
  <c r="X5" i="8"/>
  <c r="W5" i="8"/>
  <c r="T5" i="8"/>
  <c r="Q5" i="8"/>
  <c r="N5" i="8"/>
  <c r="K5" i="8"/>
  <c r="H5" i="8"/>
  <c r="E5" i="8"/>
  <c r="DQ4" i="8"/>
  <c r="DP4" i="8"/>
  <c r="DO4" i="8"/>
  <c r="DL4" i="8"/>
  <c r="DI4" i="8"/>
  <c r="DF4" i="8"/>
  <c r="DC4" i="8"/>
  <c r="CZ4" i="8"/>
  <c r="CW4" i="8"/>
  <c r="CS4" i="8"/>
  <c r="CR4" i="8"/>
  <c r="CQ4" i="8"/>
  <c r="CN4" i="8"/>
  <c r="CK4" i="8"/>
  <c r="CH4" i="8"/>
  <c r="CE4" i="8"/>
  <c r="CB4" i="8"/>
  <c r="BY4" i="8"/>
  <c r="BU4" i="8"/>
  <c r="BT4" i="8"/>
  <c r="BS4" i="8"/>
  <c r="BP4" i="8"/>
  <c r="BM4" i="8"/>
  <c r="BJ4" i="8"/>
  <c r="BG4" i="8"/>
  <c r="BD4" i="8"/>
  <c r="BA4" i="8"/>
  <c r="AW4" i="8"/>
  <c r="AV4" i="8"/>
  <c r="AU4" i="8"/>
  <c r="AR4" i="8"/>
  <c r="AO4" i="8"/>
  <c r="AL4" i="8"/>
  <c r="AI4" i="8"/>
  <c r="AF4" i="8"/>
  <c r="AC4" i="8"/>
  <c r="Y4" i="8"/>
  <c r="X4" i="8"/>
  <c r="W4" i="8"/>
  <c r="T4" i="8"/>
  <c r="Q4" i="8"/>
  <c r="N4" i="8"/>
  <c r="K4" i="8"/>
  <c r="H4" i="8"/>
  <c r="E4" i="8"/>
  <c r="DQ21" i="7"/>
  <c r="DP21" i="7"/>
  <c r="DO21" i="7"/>
  <c r="DL21" i="7"/>
  <c r="DI21" i="7"/>
  <c r="DF21" i="7"/>
  <c r="DC21" i="7"/>
  <c r="CZ21" i="7"/>
  <c r="CW21" i="7"/>
  <c r="CS21" i="7"/>
  <c r="CR21" i="7"/>
  <c r="CQ21" i="7"/>
  <c r="CN21" i="7"/>
  <c r="CK21" i="7"/>
  <c r="CH21" i="7"/>
  <c r="CE21" i="7"/>
  <c r="CB21" i="7"/>
  <c r="BY21" i="7"/>
  <c r="BU21" i="7"/>
  <c r="BT21" i="7"/>
  <c r="BS21" i="7"/>
  <c r="BP21" i="7"/>
  <c r="BM21" i="7"/>
  <c r="BJ21" i="7"/>
  <c r="BG21" i="7"/>
  <c r="BD21" i="7"/>
  <c r="BA21" i="7"/>
  <c r="AW21" i="7"/>
  <c r="AV21" i="7"/>
  <c r="AU21" i="7"/>
  <c r="AR21" i="7"/>
  <c r="AO21" i="7"/>
  <c r="AL21" i="7"/>
  <c r="AI21" i="7"/>
  <c r="AF21" i="7"/>
  <c r="AC21" i="7"/>
  <c r="Y21" i="7"/>
  <c r="X21" i="7"/>
  <c r="W21" i="7"/>
  <c r="T21" i="7"/>
  <c r="Q21" i="7"/>
  <c r="N21" i="7"/>
  <c r="K21" i="7"/>
  <c r="H21" i="7"/>
  <c r="E21" i="7"/>
  <c r="DQ20" i="7"/>
  <c r="DP20" i="7"/>
  <c r="DO20" i="7"/>
  <c r="DL20" i="7"/>
  <c r="DI20" i="7"/>
  <c r="DF20" i="7"/>
  <c r="DC20" i="7"/>
  <c r="CZ20" i="7"/>
  <c r="CW20" i="7"/>
  <c r="CS20" i="7"/>
  <c r="CR20" i="7"/>
  <c r="CQ20" i="7"/>
  <c r="CN20" i="7"/>
  <c r="CK20" i="7"/>
  <c r="CH20" i="7"/>
  <c r="CE20" i="7"/>
  <c r="CB20" i="7"/>
  <c r="BY20" i="7"/>
  <c r="BU20" i="7"/>
  <c r="BT20" i="7"/>
  <c r="BS20" i="7"/>
  <c r="BP20" i="7"/>
  <c r="BM20" i="7"/>
  <c r="BJ20" i="7"/>
  <c r="BG20" i="7"/>
  <c r="BD20" i="7"/>
  <c r="BA20" i="7"/>
  <c r="AW20" i="7"/>
  <c r="AV20" i="7"/>
  <c r="AU20" i="7"/>
  <c r="AR20" i="7"/>
  <c r="AO20" i="7"/>
  <c r="AL20" i="7"/>
  <c r="AI20" i="7"/>
  <c r="AF20" i="7"/>
  <c r="AC20" i="7"/>
  <c r="Y20" i="7"/>
  <c r="X20" i="7"/>
  <c r="W20" i="7"/>
  <c r="T20" i="7"/>
  <c r="Q20" i="7"/>
  <c r="N20" i="7"/>
  <c r="K20" i="7"/>
  <c r="H20" i="7"/>
  <c r="E20" i="7"/>
  <c r="DQ19" i="7"/>
  <c r="DP19" i="7"/>
  <c r="DO19" i="7"/>
  <c r="DL19" i="7"/>
  <c r="DI19" i="7"/>
  <c r="DF19" i="7"/>
  <c r="DC19" i="7"/>
  <c r="CZ19" i="7"/>
  <c r="CW19" i="7"/>
  <c r="CS19" i="7"/>
  <c r="CR19" i="7"/>
  <c r="CQ19" i="7"/>
  <c r="CN19" i="7"/>
  <c r="CK19" i="7"/>
  <c r="CH19" i="7"/>
  <c r="CE19" i="7"/>
  <c r="CB19" i="7"/>
  <c r="BY19" i="7"/>
  <c r="BU19" i="7"/>
  <c r="BT19" i="7"/>
  <c r="BS19" i="7"/>
  <c r="BP19" i="7"/>
  <c r="BM19" i="7"/>
  <c r="BJ19" i="7"/>
  <c r="BG19" i="7"/>
  <c r="BD19" i="7"/>
  <c r="BA19" i="7"/>
  <c r="AW19" i="7"/>
  <c r="AV19" i="7"/>
  <c r="AU19" i="7"/>
  <c r="AR19" i="7"/>
  <c r="AO19" i="7"/>
  <c r="AL19" i="7"/>
  <c r="AI19" i="7"/>
  <c r="AF19" i="7"/>
  <c r="AC19" i="7"/>
  <c r="Y19" i="7"/>
  <c r="X19" i="7"/>
  <c r="W19" i="7"/>
  <c r="T19" i="7"/>
  <c r="Q19" i="7"/>
  <c r="N19" i="7"/>
  <c r="K19" i="7"/>
  <c r="H19" i="7"/>
  <c r="E19" i="7"/>
  <c r="DQ18" i="7"/>
  <c r="DP18" i="7"/>
  <c r="DO18" i="7"/>
  <c r="DL18" i="7"/>
  <c r="DI18" i="7"/>
  <c r="DF18" i="7"/>
  <c r="DC18" i="7"/>
  <c r="CZ18" i="7"/>
  <c r="CW18" i="7"/>
  <c r="CS18" i="7"/>
  <c r="CR18" i="7"/>
  <c r="CQ18" i="7"/>
  <c r="CN18" i="7"/>
  <c r="CK18" i="7"/>
  <c r="CH18" i="7"/>
  <c r="CE18" i="7"/>
  <c r="CB18" i="7"/>
  <c r="BY18" i="7"/>
  <c r="BU18" i="7"/>
  <c r="BT18" i="7"/>
  <c r="BS18" i="7"/>
  <c r="BP18" i="7"/>
  <c r="BM18" i="7"/>
  <c r="BJ18" i="7"/>
  <c r="BG18" i="7"/>
  <c r="BD18" i="7"/>
  <c r="BA18" i="7"/>
  <c r="AW18" i="7"/>
  <c r="AV18" i="7"/>
  <c r="AU18" i="7"/>
  <c r="AR18" i="7"/>
  <c r="AO18" i="7"/>
  <c r="AL18" i="7"/>
  <c r="AI18" i="7"/>
  <c r="AF18" i="7"/>
  <c r="AC18" i="7"/>
  <c r="Y18" i="7"/>
  <c r="X18" i="7"/>
  <c r="W18" i="7"/>
  <c r="T18" i="7"/>
  <c r="Q18" i="7"/>
  <c r="N18" i="7"/>
  <c r="K18" i="7"/>
  <c r="H18" i="7"/>
  <c r="E18" i="7"/>
  <c r="DQ17" i="7"/>
  <c r="DP17" i="7"/>
  <c r="DO17" i="7"/>
  <c r="DL17" i="7"/>
  <c r="DI17" i="7"/>
  <c r="DF17" i="7"/>
  <c r="DC17" i="7"/>
  <c r="CZ17" i="7"/>
  <c r="CW17" i="7"/>
  <c r="CS17" i="7"/>
  <c r="CR17" i="7"/>
  <c r="CQ17" i="7"/>
  <c r="CN17" i="7"/>
  <c r="CK17" i="7"/>
  <c r="CH17" i="7"/>
  <c r="CE17" i="7"/>
  <c r="CB17" i="7"/>
  <c r="BY17" i="7"/>
  <c r="BU17" i="7"/>
  <c r="BT17" i="7"/>
  <c r="BS17" i="7"/>
  <c r="BP17" i="7"/>
  <c r="BM17" i="7"/>
  <c r="BJ17" i="7"/>
  <c r="BG17" i="7"/>
  <c r="BD17" i="7"/>
  <c r="BA17" i="7"/>
  <c r="AW17" i="7"/>
  <c r="AV17" i="7"/>
  <c r="AU17" i="7"/>
  <c r="AR17" i="7"/>
  <c r="AO17" i="7"/>
  <c r="AL17" i="7"/>
  <c r="AI17" i="7"/>
  <c r="AF17" i="7"/>
  <c r="AC17" i="7"/>
  <c r="Y17" i="7"/>
  <c r="X17" i="7"/>
  <c r="W17" i="7"/>
  <c r="T17" i="7"/>
  <c r="Q17" i="7"/>
  <c r="N17" i="7"/>
  <c r="K17" i="7"/>
  <c r="H17" i="7"/>
  <c r="E17" i="7"/>
  <c r="DQ16" i="7"/>
  <c r="DP16" i="7"/>
  <c r="DO16" i="7"/>
  <c r="DL16" i="7"/>
  <c r="DI16" i="7"/>
  <c r="DF16" i="7"/>
  <c r="DC16" i="7"/>
  <c r="CZ16" i="7"/>
  <c r="CW16" i="7"/>
  <c r="CS16" i="7"/>
  <c r="CR16" i="7"/>
  <c r="CQ16" i="7"/>
  <c r="CN16" i="7"/>
  <c r="CK16" i="7"/>
  <c r="CH16" i="7"/>
  <c r="CE16" i="7"/>
  <c r="CB16" i="7"/>
  <c r="BY16" i="7"/>
  <c r="BU16" i="7"/>
  <c r="BT16" i="7"/>
  <c r="BS16" i="7"/>
  <c r="BP16" i="7"/>
  <c r="BM16" i="7"/>
  <c r="BJ16" i="7"/>
  <c r="BG16" i="7"/>
  <c r="BD16" i="7"/>
  <c r="BA16" i="7"/>
  <c r="AW16" i="7"/>
  <c r="AV16" i="7"/>
  <c r="AU16" i="7"/>
  <c r="AR16" i="7"/>
  <c r="AO16" i="7"/>
  <c r="AL16" i="7"/>
  <c r="AI16" i="7"/>
  <c r="AF16" i="7"/>
  <c r="AC16" i="7"/>
  <c r="Y16" i="7"/>
  <c r="X16" i="7"/>
  <c r="W16" i="7"/>
  <c r="T16" i="7"/>
  <c r="Q16" i="7"/>
  <c r="N16" i="7"/>
  <c r="K16" i="7"/>
  <c r="H16" i="7"/>
  <c r="E16" i="7"/>
  <c r="DQ15" i="7"/>
  <c r="DP15" i="7"/>
  <c r="DO15" i="7"/>
  <c r="DL15" i="7"/>
  <c r="DI15" i="7"/>
  <c r="DF15" i="7"/>
  <c r="DC15" i="7"/>
  <c r="CZ15" i="7"/>
  <c r="CW15" i="7"/>
  <c r="CS15" i="7"/>
  <c r="CR15" i="7"/>
  <c r="CQ15" i="7"/>
  <c r="CN15" i="7"/>
  <c r="CK15" i="7"/>
  <c r="CH15" i="7"/>
  <c r="CE15" i="7"/>
  <c r="CB15" i="7"/>
  <c r="BY15" i="7"/>
  <c r="BU15" i="7"/>
  <c r="BT15" i="7"/>
  <c r="BS15" i="7"/>
  <c r="BP15" i="7"/>
  <c r="BM15" i="7"/>
  <c r="BJ15" i="7"/>
  <c r="BG15" i="7"/>
  <c r="BD15" i="7"/>
  <c r="BA15" i="7"/>
  <c r="AW15" i="7"/>
  <c r="AV15" i="7"/>
  <c r="AU15" i="7"/>
  <c r="AR15" i="7"/>
  <c r="AO15" i="7"/>
  <c r="AL15" i="7"/>
  <c r="AI15" i="7"/>
  <c r="AF15" i="7"/>
  <c r="AC15" i="7"/>
  <c r="Y15" i="7"/>
  <c r="X15" i="7"/>
  <c r="W15" i="7"/>
  <c r="T15" i="7"/>
  <c r="Q15" i="7"/>
  <c r="N15" i="7"/>
  <c r="K15" i="7"/>
  <c r="H15" i="7"/>
  <c r="E15" i="7"/>
  <c r="DQ14" i="7"/>
  <c r="DP14" i="7"/>
  <c r="DO14" i="7"/>
  <c r="DL14" i="7"/>
  <c r="DI14" i="7"/>
  <c r="DF14" i="7"/>
  <c r="DC14" i="7"/>
  <c r="CZ14" i="7"/>
  <c r="CW14" i="7"/>
  <c r="CS14" i="7"/>
  <c r="CR14" i="7"/>
  <c r="CQ14" i="7"/>
  <c r="CN14" i="7"/>
  <c r="CK14" i="7"/>
  <c r="CH14" i="7"/>
  <c r="CE14" i="7"/>
  <c r="CB14" i="7"/>
  <c r="BY14" i="7"/>
  <c r="BU14" i="7"/>
  <c r="BT14" i="7"/>
  <c r="BS14" i="7"/>
  <c r="BP14" i="7"/>
  <c r="BM14" i="7"/>
  <c r="BJ14" i="7"/>
  <c r="BG14" i="7"/>
  <c r="BD14" i="7"/>
  <c r="BA14" i="7"/>
  <c r="AW14" i="7"/>
  <c r="AV14" i="7"/>
  <c r="AU14" i="7"/>
  <c r="AR14" i="7"/>
  <c r="AO14" i="7"/>
  <c r="AL14" i="7"/>
  <c r="AI14" i="7"/>
  <c r="AF14" i="7"/>
  <c r="AC14" i="7"/>
  <c r="Y14" i="7"/>
  <c r="X14" i="7"/>
  <c r="W14" i="7"/>
  <c r="T14" i="7"/>
  <c r="Q14" i="7"/>
  <c r="N14" i="7"/>
  <c r="K14" i="7"/>
  <c r="H14" i="7"/>
  <c r="E14" i="7"/>
  <c r="DQ13" i="7"/>
  <c r="DP13" i="7"/>
  <c r="DO13" i="7"/>
  <c r="DL13" i="7"/>
  <c r="DI13" i="7"/>
  <c r="DF13" i="7"/>
  <c r="DC13" i="7"/>
  <c r="CZ13" i="7"/>
  <c r="CW13" i="7"/>
  <c r="CS13" i="7"/>
  <c r="CR13" i="7"/>
  <c r="CQ13" i="7"/>
  <c r="CN13" i="7"/>
  <c r="CK13" i="7"/>
  <c r="CH13" i="7"/>
  <c r="CE13" i="7"/>
  <c r="CB13" i="7"/>
  <c r="BY13" i="7"/>
  <c r="BU13" i="7"/>
  <c r="BT13" i="7"/>
  <c r="BS13" i="7"/>
  <c r="BP13" i="7"/>
  <c r="BM13" i="7"/>
  <c r="BJ13" i="7"/>
  <c r="BG13" i="7"/>
  <c r="BD13" i="7"/>
  <c r="BA13" i="7"/>
  <c r="AW13" i="7"/>
  <c r="AV13" i="7"/>
  <c r="AU13" i="7"/>
  <c r="AR13" i="7"/>
  <c r="AO13" i="7"/>
  <c r="AL13" i="7"/>
  <c r="AI13" i="7"/>
  <c r="AF13" i="7"/>
  <c r="AC13" i="7"/>
  <c r="Y13" i="7"/>
  <c r="X13" i="7"/>
  <c r="W13" i="7"/>
  <c r="T13" i="7"/>
  <c r="Q13" i="7"/>
  <c r="N13" i="7"/>
  <c r="K13" i="7"/>
  <c r="H13" i="7"/>
  <c r="E13" i="7"/>
  <c r="DQ12" i="7"/>
  <c r="DP12" i="7"/>
  <c r="DO12" i="7"/>
  <c r="DL12" i="7"/>
  <c r="DI12" i="7"/>
  <c r="DF12" i="7"/>
  <c r="DC12" i="7"/>
  <c r="CZ12" i="7"/>
  <c r="CW12" i="7"/>
  <c r="CS12" i="7"/>
  <c r="CR12" i="7"/>
  <c r="CQ12" i="7"/>
  <c r="CN12" i="7"/>
  <c r="CK12" i="7"/>
  <c r="CH12" i="7"/>
  <c r="CE12" i="7"/>
  <c r="CB12" i="7"/>
  <c r="BY12" i="7"/>
  <c r="BU12" i="7"/>
  <c r="BT12" i="7"/>
  <c r="BS12" i="7"/>
  <c r="BP12" i="7"/>
  <c r="BM12" i="7"/>
  <c r="BJ12" i="7"/>
  <c r="BG12" i="7"/>
  <c r="BD12" i="7"/>
  <c r="BA12" i="7"/>
  <c r="AW12" i="7"/>
  <c r="AV12" i="7"/>
  <c r="AU12" i="7"/>
  <c r="AR12" i="7"/>
  <c r="AO12" i="7"/>
  <c r="AL12" i="7"/>
  <c r="AI12" i="7"/>
  <c r="AF12" i="7"/>
  <c r="AC12" i="7"/>
  <c r="Y12" i="7"/>
  <c r="X12" i="7"/>
  <c r="W12" i="7"/>
  <c r="T12" i="7"/>
  <c r="Q12" i="7"/>
  <c r="N12" i="7"/>
  <c r="K12" i="7"/>
  <c r="H12" i="7"/>
  <c r="E12" i="7"/>
  <c r="DQ11" i="7"/>
  <c r="DP11" i="7"/>
  <c r="DO11" i="7"/>
  <c r="DL11" i="7"/>
  <c r="DI11" i="7"/>
  <c r="DF11" i="7"/>
  <c r="DC11" i="7"/>
  <c r="CZ11" i="7"/>
  <c r="CW11" i="7"/>
  <c r="CS11" i="7"/>
  <c r="CR11" i="7"/>
  <c r="CQ11" i="7"/>
  <c r="CN11" i="7"/>
  <c r="CK11" i="7"/>
  <c r="CH11" i="7"/>
  <c r="CE11" i="7"/>
  <c r="CB11" i="7"/>
  <c r="BY11" i="7"/>
  <c r="BU11" i="7"/>
  <c r="BT11" i="7"/>
  <c r="BS11" i="7"/>
  <c r="BP11" i="7"/>
  <c r="BM11" i="7"/>
  <c r="BJ11" i="7"/>
  <c r="BG11" i="7"/>
  <c r="BD11" i="7"/>
  <c r="BA11" i="7"/>
  <c r="AW11" i="7"/>
  <c r="AV11" i="7"/>
  <c r="AU11" i="7"/>
  <c r="AR11" i="7"/>
  <c r="AO11" i="7"/>
  <c r="AL11" i="7"/>
  <c r="AI11" i="7"/>
  <c r="AF11" i="7"/>
  <c r="AC11" i="7"/>
  <c r="Y11" i="7"/>
  <c r="X11" i="7"/>
  <c r="W11" i="7"/>
  <c r="T11" i="7"/>
  <c r="Q11" i="7"/>
  <c r="N11" i="7"/>
  <c r="K11" i="7"/>
  <c r="H11" i="7"/>
  <c r="E11" i="7"/>
  <c r="DQ10" i="7"/>
  <c r="DP10" i="7"/>
  <c r="DO10" i="7"/>
  <c r="DL10" i="7"/>
  <c r="DI10" i="7"/>
  <c r="DF10" i="7"/>
  <c r="DC10" i="7"/>
  <c r="CZ10" i="7"/>
  <c r="CW10" i="7"/>
  <c r="CS10" i="7"/>
  <c r="CR10" i="7"/>
  <c r="CQ10" i="7"/>
  <c r="CN10" i="7"/>
  <c r="CK10" i="7"/>
  <c r="CH10" i="7"/>
  <c r="CE10" i="7"/>
  <c r="CB10" i="7"/>
  <c r="BY10" i="7"/>
  <c r="BU10" i="7"/>
  <c r="BT10" i="7"/>
  <c r="BS10" i="7"/>
  <c r="BP10" i="7"/>
  <c r="BM10" i="7"/>
  <c r="BJ10" i="7"/>
  <c r="BG10" i="7"/>
  <c r="BD10" i="7"/>
  <c r="BA10" i="7"/>
  <c r="AW10" i="7"/>
  <c r="AV10" i="7"/>
  <c r="AU10" i="7"/>
  <c r="AR10" i="7"/>
  <c r="AO10" i="7"/>
  <c r="AL10" i="7"/>
  <c r="AI10" i="7"/>
  <c r="AF10" i="7"/>
  <c r="AC10" i="7"/>
  <c r="Y10" i="7"/>
  <c r="X10" i="7"/>
  <c r="W10" i="7"/>
  <c r="T10" i="7"/>
  <c r="Q10" i="7"/>
  <c r="N10" i="7"/>
  <c r="K10" i="7"/>
  <c r="H10" i="7"/>
  <c r="E10" i="7"/>
  <c r="DQ9" i="7"/>
  <c r="DP9" i="7"/>
  <c r="DO9" i="7"/>
  <c r="DL9" i="7"/>
  <c r="DI9" i="7"/>
  <c r="DF9" i="7"/>
  <c r="DC9" i="7"/>
  <c r="CZ9" i="7"/>
  <c r="CW9" i="7"/>
  <c r="CS9" i="7"/>
  <c r="CR9" i="7"/>
  <c r="CQ9" i="7"/>
  <c r="CN9" i="7"/>
  <c r="CK9" i="7"/>
  <c r="CH9" i="7"/>
  <c r="CE9" i="7"/>
  <c r="CB9" i="7"/>
  <c r="BY9" i="7"/>
  <c r="BU9" i="7"/>
  <c r="BT9" i="7"/>
  <c r="BS9" i="7"/>
  <c r="BP9" i="7"/>
  <c r="BM9" i="7"/>
  <c r="BJ9" i="7"/>
  <c r="BG9" i="7"/>
  <c r="BD9" i="7"/>
  <c r="BA9" i="7"/>
  <c r="AW9" i="7"/>
  <c r="AV9" i="7"/>
  <c r="AU9" i="7"/>
  <c r="AR9" i="7"/>
  <c r="AO9" i="7"/>
  <c r="AL9" i="7"/>
  <c r="AI9" i="7"/>
  <c r="AF9" i="7"/>
  <c r="AC9" i="7"/>
  <c r="Y9" i="7"/>
  <c r="X9" i="7"/>
  <c r="W9" i="7"/>
  <c r="T9" i="7"/>
  <c r="Q9" i="7"/>
  <c r="N9" i="7"/>
  <c r="K9" i="7"/>
  <c r="H9" i="7"/>
  <c r="E9" i="7"/>
  <c r="DQ8" i="7"/>
  <c r="DP8" i="7"/>
  <c r="DO8" i="7"/>
  <c r="DL8" i="7"/>
  <c r="DI8" i="7"/>
  <c r="DF8" i="7"/>
  <c r="DC8" i="7"/>
  <c r="CZ8" i="7"/>
  <c r="CW8" i="7"/>
  <c r="CS8" i="7"/>
  <c r="CR8" i="7"/>
  <c r="CQ8" i="7"/>
  <c r="CN8" i="7"/>
  <c r="CK8" i="7"/>
  <c r="CH8" i="7"/>
  <c r="CE8" i="7"/>
  <c r="CB8" i="7"/>
  <c r="BY8" i="7"/>
  <c r="BU8" i="7"/>
  <c r="BT8" i="7"/>
  <c r="BS8" i="7"/>
  <c r="BP8" i="7"/>
  <c r="BM8" i="7"/>
  <c r="BJ8" i="7"/>
  <c r="BG8" i="7"/>
  <c r="BD8" i="7"/>
  <c r="BA8" i="7"/>
  <c r="AW8" i="7"/>
  <c r="AV8" i="7"/>
  <c r="AU8" i="7"/>
  <c r="AR8" i="7"/>
  <c r="AO8" i="7"/>
  <c r="AL8" i="7"/>
  <c r="AI8" i="7"/>
  <c r="AF8" i="7"/>
  <c r="AC8" i="7"/>
  <c r="Y8" i="7"/>
  <c r="X8" i="7"/>
  <c r="W8" i="7"/>
  <c r="T8" i="7"/>
  <c r="Q8" i="7"/>
  <c r="N8" i="7"/>
  <c r="K8" i="7"/>
  <c r="H8" i="7"/>
  <c r="E8" i="7"/>
  <c r="DQ7" i="7"/>
  <c r="DP7" i="7"/>
  <c r="DO7" i="7"/>
  <c r="DL7" i="7"/>
  <c r="DI7" i="7"/>
  <c r="DF7" i="7"/>
  <c r="DC7" i="7"/>
  <c r="CZ7" i="7"/>
  <c r="CW7" i="7"/>
  <c r="CS7" i="7"/>
  <c r="CR7" i="7"/>
  <c r="CQ7" i="7"/>
  <c r="CN7" i="7"/>
  <c r="CK7" i="7"/>
  <c r="CH7" i="7"/>
  <c r="CE7" i="7"/>
  <c r="CB7" i="7"/>
  <c r="BY7" i="7"/>
  <c r="BU7" i="7"/>
  <c r="BT7" i="7"/>
  <c r="BS7" i="7"/>
  <c r="BP7" i="7"/>
  <c r="BM7" i="7"/>
  <c r="BJ7" i="7"/>
  <c r="BG7" i="7"/>
  <c r="BD7" i="7"/>
  <c r="BA7" i="7"/>
  <c r="AW7" i="7"/>
  <c r="AV7" i="7"/>
  <c r="AU7" i="7"/>
  <c r="AR7" i="7"/>
  <c r="AO7" i="7"/>
  <c r="AL7" i="7"/>
  <c r="AI7" i="7"/>
  <c r="AF7" i="7"/>
  <c r="AC7" i="7"/>
  <c r="Y7" i="7"/>
  <c r="X7" i="7"/>
  <c r="W7" i="7"/>
  <c r="T7" i="7"/>
  <c r="Q7" i="7"/>
  <c r="N7" i="7"/>
  <c r="K7" i="7"/>
  <c r="H7" i="7"/>
  <c r="E7" i="7"/>
  <c r="DQ6" i="7"/>
  <c r="DP6" i="7"/>
  <c r="DO6" i="7"/>
  <c r="DL6" i="7"/>
  <c r="DI6" i="7"/>
  <c r="DF6" i="7"/>
  <c r="DC6" i="7"/>
  <c r="CZ6" i="7"/>
  <c r="CW6" i="7"/>
  <c r="CS6" i="7"/>
  <c r="CR6" i="7"/>
  <c r="CQ6" i="7"/>
  <c r="CN6" i="7"/>
  <c r="CK6" i="7"/>
  <c r="CH6" i="7"/>
  <c r="CE6" i="7"/>
  <c r="CB6" i="7"/>
  <c r="BY6" i="7"/>
  <c r="BU6" i="7"/>
  <c r="BT6" i="7"/>
  <c r="BS6" i="7"/>
  <c r="BP6" i="7"/>
  <c r="BM6" i="7"/>
  <c r="BJ6" i="7"/>
  <c r="BG6" i="7"/>
  <c r="BD6" i="7"/>
  <c r="BA6" i="7"/>
  <c r="AW6" i="7"/>
  <c r="AV6" i="7"/>
  <c r="AU6" i="7"/>
  <c r="AR6" i="7"/>
  <c r="AO6" i="7"/>
  <c r="AL6" i="7"/>
  <c r="AI6" i="7"/>
  <c r="AF6" i="7"/>
  <c r="AC6" i="7"/>
  <c r="Y6" i="7"/>
  <c r="X6" i="7"/>
  <c r="W6" i="7"/>
  <c r="T6" i="7"/>
  <c r="Q6" i="7"/>
  <c r="N6" i="7"/>
  <c r="K6" i="7"/>
  <c r="H6" i="7"/>
  <c r="E6" i="7"/>
  <c r="DQ5" i="7"/>
  <c r="DP5" i="7"/>
  <c r="DO5" i="7"/>
  <c r="DL5" i="7"/>
  <c r="DI5" i="7"/>
  <c r="DF5" i="7"/>
  <c r="DC5" i="7"/>
  <c r="CZ5" i="7"/>
  <c r="CW5" i="7"/>
  <c r="CS5" i="7"/>
  <c r="CR5" i="7"/>
  <c r="CQ5" i="7"/>
  <c r="CN5" i="7"/>
  <c r="CK5" i="7"/>
  <c r="CH5" i="7"/>
  <c r="CE5" i="7"/>
  <c r="CB5" i="7"/>
  <c r="BY5" i="7"/>
  <c r="BU5" i="7"/>
  <c r="BT5" i="7"/>
  <c r="BS5" i="7"/>
  <c r="BP5" i="7"/>
  <c r="BM5" i="7"/>
  <c r="BJ5" i="7"/>
  <c r="BG5" i="7"/>
  <c r="BD5" i="7"/>
  <c r="BA5" i="7"/>
  <c r="AW5" i="7"/>
  <c r="AV5" i="7"/>
  <c r="AU5" i="7"/>
  <c r="AR5" i="7"/>
  <c r="AO5" i="7"/>
  <c r="AL5" i="7"/>
  <c r="AI5" i="7"/>
  <c r="AF5" i="7"/>
  <c r="AC5" i="7"/>
  <c r="Y5" i="7"/>
  <c r="X5" i="7"/>
  <c r="W5" i="7"/>
  <c r="T5" i="7"/>
  <c r="Q5" i="7"/>
  <c r="N5" i="7"/>
  <c r="K5" i="7"/>
  <c r="H5" i="7"/>
  <c r="E5" i="7"/>
  <c r="DQ4" i="7"/>
  <c r="DP4" i="7"/>
  <c r="DO4" i="7"/>
  <c r="DL4" i="7"/>
  <c r="DI4" i="7"/>
  <c r="DF4" i="7"/>
  <c r="DC4" i="7"/>
  <c r="CZ4" i="7"/>
  <c r="CW4" i="7"/>
  <c r="CS4" i="7"/>
  <c r="CR4" i="7"/>
  <c r="CQ4" i="7"/>
  <c r="CN4" i="7"/>
  <c r="CK4" i="7"/>
  <c r="CH4" i="7"/>
  <c r="CE4" i="7"/>
  <c r="CB4" i="7"/>
  <c r="BY4" i="7"/>
  <c r="BU4" i="7"/>
  <c r="BT4" i="7"/>
  <c r="BS4" i="7"/>
  <c r="BP4" i="7"/>
  <c r="BM4" i="7"/>
  <c r="BJ4" i="7"/>
  <c r="BG4" i="7"/>
  <c r="BD4" i="7"/>
  <c r="BA4" i="7"/>
  <c r="AW4" i="7"/>
  <c r="AV4" i="7"/>
  <c r="AU4" i="7"/>
  <c r="AR4" i="7"/>
  <c r="AO4" i="7"/>
  <c r="AL4" i="7"/>
  <c r="AI4" i="7"/>
  <c r="AF4" i="7"/>
  <c r="AC4" i="7"/>
  <c r="Y4" i="7"/>
  <c r="X4" i="7"/>
  <c r="W4" i="7"/>
  <c r="T4" i="7"/>
  <c r="Q4" i="7"/>
  <c r="N4" i="7"/>
  <c r="K4" i="7"/>
  <c r="H4" i="7"/>
  <c r="E4" i="7"/>
  <c r="DQ21" i="6"/>
  <c r="DP21" i="6"/>
  <c r="DO21" i="6"/>
  <c r="DL21" i="6"/>
  <c r="DI21" i="6"/>
  <c r="DF21" i="6"/>
  <c r="DC21" i="6"/>
  <c r="CZ21" i="6"/>
  <c r="CW21" i="6"/>
  <c r="CS21" i="6"/>
  <c r="CR21" i="6"/>
  <c r="CQ21" i="6"/>
  <c r="CN21" i="6"/>
  <c r="CK21" i="6"/>
  <c r="CH21" i="6"/>
  <c r="CE21" i="6"/>
  <c r="CB21" i="6"/>
  <c r="BY21" i="6"/>
  <c r="BU21" i="6"/>
  <c r="BT21" i="6"/>
  <c r="BS21" i="6"/>
  <c r="BP21" i="6"/>
  <c r="BM21" i="6"/>
  <c r="BJ21" i="6"/>
  <c r="BG21" i="6"/>
  <c r="BD21" i="6"/>
  <c r="BA21" i="6"/>
  <c r="AW21" i="6"/>
  <c r="AV21" i="6"/>
  <c r="AU21" i="6"/>
  <c r="AR21" i="6"/>
  <c r="AO21" i="6"/>
  <c r="AL21" i="6"/>
  <c r="AI21" i="6"/>
  <c r="AF21" i="6"/>
  <c r="AC21" i="6"/>
  <c r="Y21" i="6"/>
  <c r="X21" i="6"/>
  <c r="W21" i="6"/>
  <c r="T21" i="6"/>
  <c r="Q21" i="6"/>
  <c r="N21" i="6"/>
  <c r="K21" i="6"/>
  <c r="H21" i="6"/>
  <c r="E21" i="6"/>
  <c r="DQ20" i="6"/>
  <c r="DP20" i="6"/>
  <c r="DO20" i="6"/>
  <c r="DL20" i="6"/>
  <c r="DI20" i="6"/>
  <c r="DF20" i="6"/>
  <c r="DC20" i="6"/>
  <c r="CZ20" i="6"/>
  <c r="CW20" i="6"/>
  <c r="CS20" i="6"/>
  <c r="CR20" i="6"/>
  <c r="CQ20" i="6"/>
  <c r="CN20" i="6"/>
  <c r="CK20" i="6"/>
  <c r="CH20" i="6"/>
  <c r="CE20" i="6"/>
  <c r="CB20" i="6"/>
  <c r="BY20" i="6"/>
  <c r="BU20" i="6"/>
  <c r="BT20" i="6"/>
  <c r="BS20" i="6"/>
  <c r="BP20" i="6"/>
  <c r="BM20" i="6"/>
  <c r="BJ20" i="6"/>
  <c r="BG20" i="6"/>
  <c r="BD20" i="6"/>
  <c r="BA20" i="6"/>
  <c r="AW20" i="6"/>
  <c r="AV20" i="6"/>
  <c r="AU20" i="6"/>
  <c r="AR20" i="6"/>
  <c r="AO20" i="6"/>
  <c r="AL20" i="6"/>
  <c r="AI20" i="6"/>
  <c r="AF20" i="6"/>
  <c r="AC20" i="6"/>
  <c r="Y20" i="6"/>
  <c r="X20" i="6"/>
  <c r="W20" i="6"/>
  <c r="T20" i="6"/>
  <c r="Q20" i="6"/>
  <c r="N20" i="6"/>
  <c r="K20" i="6"/>
  <c r="H20" i="6"/>
  <c r="E20" i="6"/>
  <c r="DQ19" i="6"/>
  <c r="DP19" i="6"/>
  <c r="DO19" i="6"/>
  <c r="DL19" i="6"/>
  <c r="DI19" i="6"/>
  <c r="DF19" i="6"/>
  <c r="DC19" i="6"/>
  <c r="CZ19" i="6"/>
  <c r="CW19" i="6"/>
  <c r="CS19" i="6"/>
  <c r="CR19" i="6"/>
  <c r="CQ19" i="6"/>
  <c r="CN19" i="6"/>
  <c r="CK19" i="6"/>
  <c r="CH19" i="6"/>
  <c r="CE19" i="6"/>
  <c r="CB19" i="6"/>
  <c r="BY19" i="6"/>
  <c r="BU19" i="6"/>
  <c r="BT19" i="6"/>
  <c r="BS19" i="6"/>
  <c r="BP19" i="6"/>
  <c r="BM19" i="6"/>
  <c r="BJ19" i="6"/>
  <c r="BG19" i="6"/>
  <c r="BD19" i="6"/>
  <c r="BA19" i="6"/>
  <c r="AW19" i="6"/>
  <c r="AV19" i="6"/>
  <c r="AU19" i="6"/>
  <c r="AR19" i="6"/>
  <c r="AO19" i="6"/>
  <c r="AL19" i="6"/>
  <c r="AI19" i="6"/>
  <c r="AF19" i="6"/>
  <c r="AC19" i="6"/>
  <c r="Y19" i="6"/>
  <c r="X19" i="6"/>
  <c r="W19" i="6"/>
  <c r="T19" i="6"/>
  <c r="Q19" i="6"/>
  <c r="N19" i="6"/>
  <c r="K19" i="6"/>
  <c r="H19" i="6"/>
  <c r="E19" i="6"/>
  <c r="DQ18" i="6"/>
  <c r="DP18" i="6"/>
  <c r="DO18" i="6"/>
  <c r="DL18" i="6"/>
  <c r="DI18" i="6"/>
  <c r="DF18" i="6"/>
  <c r="DC18" i="6"/>
  <c r="CZ18" i="6"/>
  <c r="CW18" i="6"/>
  <c r="CS18" i="6"/>
  <c r="CR18" i="6"/>
  <c r="CQ18" i="6"/>
  <c r="CN18" i="6"/>
  <c r="CK18" i="6"/>
  <c r="CH18" i="6"/>
  <c r="CE18" i="6"/>
  <c r="CB18" i="6"/>
  <c r="BY18" i="6"/>
  <c r="BU18" i="6"/>
  <c r="BT18" i="6"/>
  <c r="BS18" i="6"/>
  <c r="BP18" i="6"/>
  <c r="BM18" i="6"/>
  <c r="BJ18" i="6"/>
  <c r="BG18" i="6"/>
  <c r="BD18" i="6"/>
  <c r="BA18" i="6"/>
  <c r="AW18" i="6"/>
  <c r="AV18" i="6"/>
  <c r="AU18" i="6"/>
  <c r="AR18" i="6"/>
  <c r="AO18" i="6"/>
  <c r="AL18" i="6"/>
  <c r="AI18" i="6"/>
  <c r="AF18" i="6"/>
  <c r="AC18" i="6"/>
  <c r="Y18" i="6"/>
  <c r="X18" i="6"/>
  <c r="W18" i="6"/>
  <c r="T18" i="6"/>
  <c r="Q18" i="6"/>
  <c r="N18" i="6"/>
  <c r="K18" i="6"/>
  <c r="H18" i="6"/>
  <c r="E18" i="6"/>
  <c r="DQ17" i="6"/>
  <c r="DP17" i="6"/>
  <c r="DO17" i="6"/>
  <c r="DL17" i="6"/>
  <c r="DI17" i="6"/>
  <c r="DF17" i="6"/>
  <c r="DC17" i="6"/>
  <c r="CZ17" i="6"/>
  <c r="CW17" i="6"/>
  <c r="CS17" i="6"/>
  <c r="CR17" i="6"/>
  <c r="CQ17" i="6"/>
  <c r="CN17" i="6"/>
  <c r="CK17" i="6"/>
  <c r="CH17" i="6"/>
  <c r="CE17" i="6"/>
  <c r="CB17" i="6"/>
  <c r="BY17" i="6"/>
  <c r="BU17" i="6"/>
  <c r="BT17" i="6"/>
  <c r="BS17" i="6"/>
  <c r="BP17" i="6"/>
  <c r="BM17" i="6"/>
  <c r="BJ17" i="6"/>
  <c r="BG17" i="6"/>
  <c r="BD17" i="6"/>
  <c r="BA17" i="6"/>
  <c r="AW17" i="6"/>
  <c r="AV17" i="6"/>
  <c r="AU17" i="6"/>
  <c r="AR17" i="6"/>
  <c r="AO17" i="6"/>
  <c r="AL17" i="6"/>
  <c r="AI17" i="6"/>
  <c r="AF17" i="6"/>
  <c r="AC17" i="6"/>
  <c r="Y17" i="6"/>
  <c r="X17" i="6"/>
  <c r="W17" i="6"/>
  <c r="T17" i="6"/>
  <c r="Q17" i="6"/>
  <c r="N17" i="6"/>
  <c r="K17" i="6"/>
  <c r="H17" i="6"/>
  <c r="E17" i="6"/>
  <c r="DQ16" i="6"/>
  <c r="DP16" i="6"/>
  <c r="DO16" i="6"/>
  <c r="DL16" i="6"/>
  <c r="DI16" i="6"/>
  <c r="DF16" i="6"/>
  <c r="DC16" i="6"/>
  <c r="CZ16" i="6"/>
  <c r="CW16" i="6"/>
  <c r="CS16" i="6"/>
  <c r="CR16" i="6"/>
  <c r="CQ16" i="6"/>
  <c r="CN16" i="6"/>
  <c r="CK16" i="6"/>
  <c r="CH16" i="6"/>
  <c r="CE16" i="6"/>
  <c r="CB16" i="6"/>
  <c r="BY16" i="6"/>
  <c r="BU16" i="6"/>
  <c r="BT16" i="6"/>
  <c r="BS16" i="6"/>
  <c r="BP16" i="6"/>
  <c r="BM16" i="6"/>
  <c r="BJ16" i="6"/>
  <c r="BG16" i="6"/>
  <c r="BD16" i="6"/>
  <c r="BA16" i="6"/>
  <c r="AW16" i="6"/>
  <c r="AV16" i="6"/>
  <c r="AU16" i="6"/>
  <c r="AR16" i="6"/>
  <c r="AO16" i="6"/>
  <c r="AL16" i="6"/>
  <c r="AI16" i="6"/>
  <c r="AF16" i="6"/>
  <c r="AC16" i="6"/>
  <c r="Y16" i="6"/>
  <c r="X16" i="6"/>
  <c r="W16" i="6"/>
  <c r="T16" i="6"/>
  <c r="Q16" i="6"/>
  <c r="N16" i="6"/>
  <c r="K16" i="6"/>
  <c r="H16" i="6"/>
  <c r="E16" i="6"/>
  <c r="DQ15" i="6"/>
  <c r="DP15" i="6"/>
  <c r="DO15" i="6"/>
  <c r="DL15" i="6"/>
  <c r="DI15" i="6"/>
  <c r="DF15" i="6"/>
  <c r="DC15" i="6"/>
  <c r="CZ15" i="6"/>
  <c r="CW15" i="6"/>
  <c r="CS15" i="6"/>
  <c r="CR15" i="6"/>
  <c r="CQ15" i="6"/>
  <c r="CN15" i="6"/>
  <c r="CK15" i="6"/>
  <c r="CH15" i="6"/>
  <c r="CE15" i="6"/>
  <c r="CB15" i="6"/>
  <c r="BY15" i="6"/>
  <c r="BU15" i="6"/>
  <c r="BT15" i="6"/>
  <c r="BS15" i="6"/>
  <c r="BP15" i="6"/>
  <c r="BM15" i="6"/>
  <c r="BJ15" i="6"/>
  <c r="BG15" i="6"/>
  <c r="BD15" i="6"/>
  <c r="BA15" i="6"/>
  <c r="AW15" i="6"/>
  <c r="AV15" i="6"/>
  <c r="AU15" i="6"/>
  <c r="AR15" i="6"/>
  <c r="AO15" i="6"/>
  <c r="AL15" i="6"/>
  <c r="AI15" i="6"/>
  <c r="AF15" i="6"/>
  <c r="AC15" i="6"/>
  <c r="Y15" i="6"/>
  <c r="X15" i="6"/>
  <c r="W15" i="6"/>
  <c r="T15" i="6"/>
  <c r="Q15" i="6"/>
  <c r="N15" i="6"/>
  <c r="K15" i="6"/>
  <c r="H15" i="6"/>
  <c r="E15" i="6"/>
  <c r="DQ14" i="6"/>
  <c r="DP14" i="6"/>
  <c r="DO14" i="6"/>
  <c r="DL14" i="6"/>
  <c r="DI14" i="6"/>
  <c r="DF14" i="6"/>
  <c r="DC14" i="6"/>
  <c r="CZ14" i="6"/>
  <c r="CW14" i="6"/>
  <c r="CS14" i="6"/>
  <c r="CR14" i="6"/>
  <c r="CQ14" i="6"/>
  <c r="CN14" i="6"/>
  <c r="CK14" i="6"/>
  <c r="CH14" i="6"/>
  <c r="CE14" i="6"/>
  <c r="CB14" i="6"/>
  <c r="BY14" i="6"/>
  <c r="BU14" i="6"/>
  <c r="BT14" i="6"/>
  <c r="BS14" i="6"/>
  <c r="BP14" i="6"/>
  <c r="BM14" i="6"/>
  <c r="BJ14" i="6"/>
  <c r="BG14" i="6"/>
  <c r="BD14" i="6"/>
  <c r="BA14" i="6"/>
  <c r="AW14" i="6"/>
  <c r="AV14" i="6"/>
  <c r="AU14" i="6"/>
  <c r="AR14" i="6"/>
  <c r="AO14" i="6"/>
  <c r="AL14" i="6"/>
  <c r="AI14" i="6"/>
  <c r="AF14" i="6"/>
  <c r="AC14" i="6"/>
  <c r="Y14" i="6"/>
  <c r="X14" i="6"/>
  <c r="W14" i="6"/>
  <c r="T14" i="6"/>
  <c r="Q14" i="6"/>
  <c r="N14" i="6"/>
  <c r="K14" i="6"/>
  <c r="H14" i="6"/>
  <c r="E14" i="6"/>
  <c r="DQ13" i="6"/>
  <c r="DP13" i="6"/>
  <c r="DO13" i="6"/>
  <c r="DL13" i="6"/>
  <c r="DI13" i="6"/>
  <c r="DF13" i="6"/>
  <c r="DC13" i="6"/>
  <c r="CZ13" i="6"/>
  <c r="CW13" i="6"/>
  <c r="CS13" i="6"/>
  <c r="CR13" i="6"/>
  <c r="CQ13" i="6"/>
  <c r="CN13" i="6"/>
  <c r="CK13" i="6"/>
  <c r="CH13" i="6"/>
  <c r="CE13" i="6"/>
  <c r="CB13" i="6"/>
  <c r="BY13" i="6"/>
  <c r="BU13" i="6"/>
  <c r="BT13" i="6"/>
  <c r="BS13" i="6"/>
  <c r="BP13" i="6"/>
  <c r="BM13" i="6"/>
  <c r="BJ13" i="6"/>
  <c r="BG13" i="6"/>
  <c r="BD13" i="6"/>
  <c r="BA13" i="6"/>
  <c r="AW13" i="6"/>
  <c r="AV13" i="6"/>
  <c r="AU13" i="6"/>
  <c r="AR13" i="6"/>
  <c r="AO13" i="6"/>
  <c r="AL13" i="6"/>
  <c r="AI13" i="6"/>
  <c r="AF13" i="6"/>
  <c r="AC13" i="6"/>
  <c r="Y13" i="6"/>
  <c r="X13" i="6"/>
  <c r="W13" i="6"/>
  <c r="T13" i="6"/>
  <c r="Q13" i="6"/>
  <c r="N13" i="6"/>
  <c r="K13" i="6"/>
  <c r="H13" i="6"/>
  <c r="E13" i="6"/>
  <c r="DQ12" i="6"/>
  <c r="DP12" i="6"/>
  <c r="DO12" i="6"/>
  <c r="DL12" i="6"/>
  <c r="DI12" i="6"/>
  <c r="DF12" i="6"/>
  <c r="DC12" i="6"/>
  <c r="CZ12" i="6"/>
  <c r="CW12" i="6"/>
  <c r="CS12" i="6"/>
  <c r="CR12" i="6"/>
  <c r="CQ12" i="6"/>
  <c r="CN12" i="6"/>
  <c r="CK12" i="6"/>
  <c r="CH12" i="6"/>
  <c r="CE12" i="6"/>
  <c r="CB12" i="6"/>
  <c r="BY12" i="6"/>
  <c r="BU12" i="6"/>
  <c r="BT12" i="6"/>
  <c r="BS12" i="6"/>
  <c r="BP12" i="6"/>
  <c r="BM12" i="6"/>
  <c r="BJ12" i="6"/>
  <c r="BG12" i="6"/>
  <c r="BD12" i="6"/>
  <c r="BA12" i="6"/>
  <c r="AW12" i="6"/>
  <c r="AV12" i="6"/>
  <c r="AU12" i="6"/>
  <c r="AR12" i="6"/>
  <c r="AO12" i="6"/>
  <c r="AL12" i="6"/>
  <c r="AI12" i="6"/>
  <c r="AF12" i="6"/>
  <c r="AC12" i="6"/>
  <c r="Y12" i="6"/>
  <c r="X12" i="6"/>
  <c r="W12" i="6"/>
  <c r="T12" i="6"/>
  <c r="Q12" i="6"/>
  <c r="N12" i="6"/>
  <c r="K12" i="6"/>
  <c r="H12" i="6"/>
  <c r="E12" i="6"/>
  <c r="DQ11" i="6"/>
  <c r="DP11" i="6"/>
  <c r="DO11" i="6"/>
  <c r="DL11" i="6"/>
  <c r="DI11" i="6"/>
  <c r="DF11" i="6"/>
  <c r="DC11" i="6"/>
  <c r="CZ11" i="6"/>
  <c r="CW11" i="6"/>
  <c r="CS11" i="6"/>
  <c r="CR11" i="6"/>
  <c r="CQ11" i="6"/>
  <c r="CN11" i="6"/>
  <c r="CK11" i="6"/>
  <c r="CH11" i="6"/>
  <c r="CE11" i="6"/>
  <c r="CB11" i="6"/>
  <c r="BY11" i="6"/>
  <c r="BU11" i="6"/>
  <c r="BT11" i="6"/>
  <c r="BS11" i="6"/>
  <c r="BP11" i="6"/>
  <c r="BM11" i="6"/>
  <c r="BJ11" i="6"/>
  <c r="BG11" i="6"/>
  <c r="BD11" i="6"/>
  <c r="BA11" i="6"/>
  <c r="AW11" i="6"/>
  <c r="AV11" i="6"/>
  <c r="AU11" i="6"/>
  <c r="AR11" i="6"/>
  <c r="AO11" i="6"/>
  <c r="AL11" i="6"/>
  <c r="AI11" i="6"/>
  <c r="AF11" i="6"/>
  <c r="AC11" i="6"/>
  <c r="Y11" i="6"/>
  <c r="X11" i="6"/>
  <c r="W11" i="6"/>
  <c r="T11" i="6"/>
  <c r="Q11" i="6"/>
  <c r="N11" i="6"/>
  <c r="K11" i="6"/>
  <c r="H11" i="6"/>
  <c r="E11" i="6"/>
  <c r="DQ10" i="6"/>
  <c r="DP10" i="6"/>
  <c r="DO10" i="6"/>
  <c r="DL10" i="6"/>
  <c r="DI10" i="6"/>
  <c r="DF10" i="6"/>
  <c r="DC10" i="6"/>
  <c r="CZ10" i="6"/>
  <c r="CW10" i="6"/>
  <c r="CS10" i="6"/>
  <c r="CR10" i="6"/>
  <c r="CQ10" i="6"/>
  <c r="CN10" i="6"/>
  <c r="CK10" i="6"/>
  <c r="CH10" i="6"/>
  <c r="CE10" i="6"/>
  <c r="CB10" i="6"/>
  <c r="BY10" i="6"/>
  <c r="BU10" i="6"/>
  <c r="BT10" i="6"/>
  <c r="BS10" i="6"/>
  <c r="BP10" i="6"/>
  <c r="BM10" i="6"/>
  <c r="BJ10" i="6"/>
  <c r="BG10" i="6"/>
  <c r="BD10" i="6"/>
  <c r="BA10" i="6"/>
  <c r="AW10" i="6"/>
  <c r="AV10" i="6"/>
  <c r="AU10" i="6"/>
  <c r="AR10" i="6"/>
  <c r="AO10" i="6"/>
  <c r="AL10" i="6"/>
  <c r="AI10" i="6"/>
  <c r="AF10" i="6"/>
  <c r="AC10" i="6"/>
  <c r="Y10" i="6"/>
  <c r="X10" i="6"/>
  <c r="W10" i="6"/>
  <c r="T10" i="6"/>
  <c r="Q10" i="6"/>
  <c r="N10" i="6"/>
  <c r="K10" i="6"/>
  <c r="H10" i="6"/>
  <c r="E10" i="6"/>
  <c r="DQ9" i="6"/>
  <c r="DP9" i="6"/>
  <c r="DO9" i="6"/>
  <c r="DL9" i="6"/>
  <c r="DI9" i="6"/>
  <c r="DF9" i="6"/>
  <c r="DC9" i="6"/>
  <c r="CZ9" i="6"/>
  <c r="CW9" i="6"/>
  <c r="CS9" i="6"/>
  <c r="CR9" i="6"/>
  <c r="CQ9" i="6"/>
  <c r="CN9" i="6"/>
  <c r="CK9" i="6"/>
  <c r="CH9" i="6"/>
  <c r="CE9" i="6"/>
  <c r="CB9" i="6"/>
  <c r="BY9" i="6"/>
  <c r="BU9" i="6"/>
  <c r="BT9" i="6"/>
  <c r="BS9" i="6"/>
  <c r="BP9" i="6"/>
  <c r="BM9" i="6"/>
  <c r="BJ9" i="6"/>
  <c r="BG9" i="6"/>
  <c r="BD9" i="6"/>
  <c r="BA9" i="6"/>
  <c r="AW9" i="6"/>
  <c r="AV9" i="6"/>
  <c r="AU9" i="6"/>
  <c r="AR9" i="6"/>
  <c r="AO9" i="6"/>
  <c r="AL9" i="6"/>
  <c r="AI9" i="6"/>
  <c r="AF9" i="6"/>
  <c r="AC9" i="6"/>
  <c r="Y9" i="6"/>
  <c r="X9" i="6"/>
  <c r="W9" i="6"/>
  <c r="T9" i="6"/>
  <c r="Q9" i="6"/>
  <c r="N9" i="6"/>
  <c r="K9" i="6"/>
  <c r="H9" i="6"/>
  <c r="E9" i="6"/>
  <c r="DQ8" i="6"/>
  <c r="DP8" i="6"/>
  <c r="DO8" i="6"/>
  <c r="DL8" i="6"/>
  <c r="DI8" i="6"/>
  <c r="DF8" i="6"/>
  <c r="DC8" i="6"/>
  <c r="CZ8" i="6"/>
  <c r="CW8" i="6"/>
  <c r="CS8" i="6"/>
  <c r="CR8" i="6"/>
  <c r="CQ8" i="6"/>
  <c r="CN8" i="6"/>
  <c r="CK8" i="6"/>
  <c r="CH8" i="6"/>
  <c r="CE8" i="6"/>
  <c r="CB8" i="6"/>
  <c r="BY8" i="6"/>
  <c r="BU8" i="6"/>
  <c r="BT8" i="6"/>
  <c r="BS8" i="6"/>
  <c r="BP8" i="6"/>
  <c r="BM8" i="6"/>
  <c r="BJ8" i="6"/>
  <c r="BG8" i="6"/>
  <c r="BD8" i="6"/>
  <c r="BA8" i="6"/>
  <c r="AW8" i="6"/>
  <c r="AV8" i="6"/>
  <c r="AU8" i="6"/>
  <c r="AR8" i="6"/>
  <c r="AO8" i="6"/>
  <c r="AL8" i="6"/>
  <c r="AI8" i="6"/>
  <c r="AF8" i="6"/>
  <c r="AC8" i="6"/>
  <c r="Y8" i="6"/>
  <c r="X8" i="6"/>
  <c r="W8" i="6"/>
  <c r="T8" i="6"/>
  <c r="Q8" i="6"/>
  <c r="N8" i="6"/>
  <c r="K8" i="6"/>
  <c r="H8" i="6"/>
  <c r="E8" i="6"/>
  <c r="DQ7" i="6"/>
  <c r="DP7" i="6"/>
  <c r="DO7" i="6"/>
  <c r="DL7" i="6"/>
  <c r="DI7" i="6"/>
  <c r="DF7" i="6"/>
  <c r="DC7" i="6"/>
  <c r="CZ7" i="6"/>
  <c r="CW7" i="6"/>
  <c r="CS7" i="6"/>
  <c r="CR7" i="6"/>
  <c r="CQ7" i="6"/>
  <c r="CN7" i="6"/>
  <c r="CK7" i="6"/>
  <c r="CH7" i="6"/>
  <c r="CE7" i="6"/>
  <c r="CB7" i="6"/>
  <c r="BY7" i="6"/>
  <c r="BU7" i="6"/>
  <c r="BT7" i="6"/>
  <c r="BS7" i="6"/>
  <c r="BP7" i="6"/>
  <c r="BM7" i="6"/>
  <c r="BJ7" i="6"/>
  <c r="BG7" i="6"/>
  <c r="BD7" i="6"/>
  <c r="BA7" i="6"/>
  <c r="AW7" i="6"/>
  <c r="AV7" i="6"/>
  <c r="AU7" i="6"/>
  <c r="AR7" i="6"/>
  <c r="AO7" i="6"/>
  <c r="AL7" i="6"/>
  <c r="AI7" i="6"/>
  <c r="AF7" i="6"/>
  <c r="AC7" i="6"/>
  <c r="Y7" i="6"/>
  <c r="X7" i="6"/>
  <c r="W7" i="6"/>
  <c r="T7" i="6"/>
  <c r="Q7" i="6"/>
  <c r="N7" i="6"/>
  <c r="K7" i="6"/>
  <c r="H7" i="6"/>
  <c r="E7" i="6"/>
  <c r="DQ6" i="6"/>
  <c r="DP6" i="6"/>
  <c r="DO6" i="6"/>
  <c r="DL6" i="6"/>
  <c r="DI6" i="6"/>
  <c r="DF6" i="6"/>
  <c r="DC6" i="6"/>
  <c r="CZ6" i="6"/>
  <c r="CW6" i="6"/>
  <c r="CS6" i="6"/>
  <c r="CR6" i="6"/>
  <c r="CQ6" i="6"/>
  <c r="CN6" i="6"/>
  <c r="CK6" i="6"/>
  <c r="CH6" i="6"/>
  <c r="CE6" i="6"/>
  <c r="CB6" i="6"/>
  <c r="BY6" i="6"/>
  <c r="BU6" i="6"/>
  <c r="BT6" i="6"/>
  <c r="BS6" i="6"/>
  <c r="BP6" i="6"/>
  <c r="BM6" i="6"/>
  <c r="BJ6" i="6"/>
  <c r="BG6" i="6"/>
  <c r="BD6" i="6"/>
  <c r="BA6" i="6"/>
  <c r="AW6" i="6"/>
  <c r="AV6" i="6"/>
  <c r="AU6" i="6"/>
  <c r="AR6" i="6"/>
  <c r="AO6" i="6"/>
  <c r="AL6" i="6"/>
  <c r="AI6" i="6"/>
  <c r="AF6" i="6"/>
  <c r="AC6" i="6"/>
  <c r="Y6" i="6"/>
  <c r="X6" i="6"/>
  <c r="W6" i="6"/>
  <c r="T6" i="6"/>
  <c r="Q6" i="6"/>
  <c r="N6" i="6"/>
  <c r="K6" i="6"/>
  <c r="H6" i="6"/>
  <c r="E6" i="6"/>
  <c r="DQ5" i="6"/>
  <c r="DP5" i="6"/>
  <c r="DO5" i="6"/>
  <c r="DL5" i="6"/>
  <c r="DI5" i="6"/>
  <c r="DF5" i="6"/>
  <c r="DC5" i="6"/>
  <c r="CZ5" i="6"/>
  <c r="CW5" i="6"/>
  <c r="CS5" i="6"/>
  <c r="CR5" i="6"/>
  <c r="CQ5" i="6"/>
  <c r="CN5" i="6"/>
  <c r="CK5" i="6"/>
  <c r="CH5" i="6"/>
  <c r="CE5" i="6"/>
  <c r="CB5" i="6"/>
  <c r="BY5" i="6"/>
  <c r="BU5" i="6"/>
  <c r="BT5" i="6"/>
  <c r="BS5" i="6"/>
  <c r="BP5" i="6"/>
  <c r="BM5" i="6"/>
  <c r="BJ5" i="6"/>
  <c r="BG5" i="6"/>
  <c r="BD5" i="6"/>
  <c r="BA5" i="6"/>
  <c r="AW5" i="6"/>
  <c r="AV5" i="6"/>
  <c r="AU5" i="6"/>
  <c r="AR5" i="6"/>
  <c r="AO5" i="6"/>
  <c r="AL5" i="6"/>
  <c r="AI5" i="6"/>
  <c r="AF5" i="6"/>
  <c r="AC5" i="6"/>
  <c r="Y5" i="6"/>
  <c r="X5" i="6"/>
  <c r="W5" i="6"/>
  <c r="T5" i="6"/>
  <c r="Q5" i="6"/>
  <c r="N5" i="6"/>
  <c r="K5" i="6"/>
  <c r="H5" i="6"/>
  <c r="E5" i="6"/>
  <c r="DQ4" i="6"/>
  <c r="DP4" i="6"/>
  <c r="DO4" i="6"/>
  <c r="DL4" i="6"/>
  <c r="DI4" i="6"/>
  <c r="DF4" i="6"/>
  <c r="DC4" i="6"/>
  <c r="CZ4" i="6"/>
  <c r="CW4" i="6"/>
  <c r="CS4" i="6"/>
  <c r="CR4" i="6"/>
  <c r="CQ4" i="6"/>
  <c r="CN4" i="6"/>
  <c r="CK4" i="6"/>
  <c r="CH4" i="6"/>
  <c r="CE4" i="6"/>
  <c r="CB4" i="6"/>
  <c r="BY4" i="6"/>
  <c r="BU4" i="6"/>
  <c r="BT4" i="6"/>
  <c r="BS4" i="6"/>
  <c r="BP4" i="6"/>
  <c r="BM4" i="6"/>
  <c r="BJ4" i="6"/>
  <c r="BG4" i="6"/>
  <c r="BD4" i="6"/>
  <c r="BA4" i="6"/>
  <c r="AW4" i="6"/>
  <c r="AV4" i="6"/>
  <c r="AU4" i="6"/>
  <c r="AR4" i="6"/>
  <c r="AO4" i="6"/>
  <c r="AL4" i="6"/>
  <c r="AI4" i="6"/>
  <c r="AF4" i="6"/>
  <c r="AC4" i="6"/>
  <c r="Y4" i="6"/>
  <c r="X4" i="6"/>
  <c r="W4" i="6"/>
  <c r="T4" i="6"/>
  <c r="Q4" i="6"/>
  <c r="N4" i="6"/>
  <c r="K4" i="6"/>
  <c r="H4" i="6"/>
  <c r="E4" i="6"/>
  <c r="DP20" i="4"/>
  <c r="DP21" i="4"/>
  <c r="DP22" i="4"/>
  <c r="DQ20" i="4"/>
  <c r="DQ21" i="4"/>
  <c r="DQ22" i="4"/>
  <c r="DO20" i="4"/>
  <c r="DO21" i="4"/>
  <c r="DO22" i="4"/>
  <c r="DL20" i="4"/>
  <c r="DL21" i="4"/>
  <c r="DL22" i="4"/>
  <c r="DI20" i="4"/>
  <c r="DI21" i="4"/>
  <c r="DI22" i="4"/>
  <c r="DI23" i="4"/>
  <c r="DF20" i="4"/>
  <c r="DF21" i="4"/>
  <c r="DF22" i="4"/>
  <c r="DC20" i="4"/>
  <c r="DC21" i="4"/>
  <c r="DC22" i="4"/>
  <c r="CZ20" i="4"/>
  <c r="CZ21" i="4"/>
  <c r="CZ22" i="4"/>
  <c r="CW20" i="4"/>
  <c r="CW21" i="4"/>
  <c r="CW22" i="4"/>
  <c r="CR20" i="4"/>
  <c r="CR21" i="4"/>
  <c r="CR22" i="4"/>
  <c r="CS20" i="4"/>
  <c r="CS21" i="4"/>
  <c r="CS22" i="4"/>
  <c r="CQ20" i="4"/>
  <c r="CQ21" i="4"/>
  <c r="CQ22" i="4"/>
  <c r="CN20" i="4"/>
  <c r="CN21" i="4"/>
  <c r="CN22" i="4"/>
  <c r="CK20" i="4"/>
  <c r="CK21" i="4"/>
  <c r="CK22" i="4"/>
  <c r="CH20" i="4"/>
  <c r="CH21" i="4"/>
  <c r="CH22" i="4"/>
  <c r="CE20" i="4"/>
  <c r="CE21" i="4"/>
  <c r="CE22" i="4"/>
  <c r="CB20" i="4"/>
  <c r="CB21" i="4"/>
  <c r="CB22" i="4"/>
  <c r="BY20" i="4"/>
  <c r="BY21" i="4"/>
  <c r="BY22" i="4"/>
  <c r="BU20" i="4"/>
  <c r="BU21" i="4"/>
  <c r="BU22" i="4"/>
  <c r="BT20" i="4"/>
  <c r="BT21" i="4"/>
  <c r="BT22" i="4"/>
  <c r="BS20" i="4"/>
  <c r="BS21" i="4"/>
  <c r="BS22" i="4"/>
  <c r="BP20" i="4"/>
  <c r="BP21" i="4"/>
  <c r="BP22" i="4"/>
  <c r="BM20" i="4"/>
  <c r="BM21" i="4"/>
  <c r="BM22" i="4"/>
  <c r="BJ20" i="4"/>
  <c r="BJ21" i="4"/>
  <c r="BJ22" i="4"/>
  <c r="BG20" i="4"/>
  <c r="BG21" i="4"/>
  <c r="BG22" i="4"/>
  <c r="BD20" i="4"/>
  <c r="BD21" i="4"/>
  <c r="BD22" i="4"/>
  <c r="BA20" i="4"/>
  <c r="BA21" i="4"/>
  <c r="BA22" i="4"/>
  <c r="AV20" i="4"/>
  <c r="AV21" i="4"/>
  <c r="AV22" i="4"/>
  <c r="AW20" i="4"/>
  <c r="AW21" i="4"/>
  <c r="AW22" i="4"/>
  <c r="AU20" i="4"/>
  <c r="AU21" i="4"/>
  <c r="AU22" i="4"/>
  <c r="AR20" i="4"/>
  <c r="AR21" i="4"/>
  <c r="AR22" i="4"/>
  <c r="AO20" i="4"/>
  <c r="AO21" i="4"/>
  <c r="AO22" i="4"/>
  <c r="AL20" i="4"/>
  <c r="AL21" i="4"/>
  <c r="AL22" i="4"/>
  <c r="AI20" i="4"/>
  <c r="AI21" i="4"/>
  <c r="AI22" i="4"/>
  <c r="AF20" i="4"/>
  <c r="AF21" i="4"/>
  <c r="AF22" i="4"/>
  <c r="AC20" i="4"/>
  <c r="AC21" i="4"/>
  <c r="AC22" i="4"/>
  <c r="AC23" i="4"/>
  <c r="Y20" i="4"/>
  <c r="Y21" i="4"/>
  <c r="Y22" i="4"/>
  <c r="X20" i="4"/>
  <c r="X21" i="4"/>
  <c r="X22" i="4"/>
  <c r="W20" i="4"/>
  <c r="W21" i="4"/>
  <c r="W22" i="4"/>
  <c r="T20" i="4"/>
  <c r="T21" i="4"/>
  <c r="T22" i="4"/>
  <c r="Q20" i="4"/>
  <c r="Q21" i="4"/>
  <c r="Q22" i="4"/>
  <c r="N20" i="4"/>
  <c r="N21" i="4"/>
  <c r="N22" i="4"/>
  <c r="K20" i="4"/>
  <c r="K21" i="4"/>
  <c r="K22" i="4"/>
  <c r="H20" i="4"/>
  <c r="H21" i="4"/>
  <c r="H22" i="4"/>
  <c r="E20" i="4"/>
  <c r="E21" i="4"/>
  <c r="E22" i="4"/>
  <c r="DQ25" i="4"/>
  <c r="DP25" i="4"/>
  <c r="DO25" i="4"/>
  <c r="DL25" i="4"/>
  <c r="DI25" i="4"/>
  <c r="DF25" i="4"/>
  <c r="DC25" i="4"/>
  <c r="CZ25" i="4"/>
  <c r="CW25" i="4"/>
  <c r="CS25" i="4"/>
  <c r="CR25" i="4"/>
  <c r="CQ25" i="4"/>
  <c r="CN25" i="4"/>
  <c r="CK25" i="4"/>
  <c r="CH25" i="4"/>
  <c r="CE25" i="4"/>
  <c r="CB25" i="4"/>
  <c r="BY25" i="4"/>
  <c r="BU25" i="4"/>
  <c r="BT25" i="4"/>
  <c r="BS25" i="4"/>
  <c r="BP25" i="4"/>
  <c r="BM25" i="4"/>
  <c r="BJ25" i="4"/>
  <c r="BG25" i="4"/>
  <c r="BD25" i="4"/>
  <c r="BA25" i="4"/>
  <c r="AW25" i="4"/>
  <c r="AV25" i="4"/>
  <c r="AU25" i="4"/>
  <c r="AR25" i="4"/>
  <c r="AO25" i="4"/>
  <c r="AL25" i="4"/>
  <c r="AI25" i="4"/>
  <c r="AF25" i="4"/>
  <c r="AC25" i="4"/>
  <c r="Y25" i="4"/>
  <c r="X25" i="4"/>
  <c r="W25" i="4"/>
  <c r="T25" i="4"/>
  <c r="Q25" i="4"/>
  <c r="N25" i="4"/>
  <c r="K25" i="4"/>
  <c r="H25" i="4"/>
  <c r="E25" i="4"/>
  <c r="DQ23" i="4"/>
  <c r="DP23" i="4"/>
  <c r="DO23" i="4"/>
  <c r="DL23" i="4"/>
  <c r="DF23" i="4"/>
  <c r="DC23" i="4"/>
  <c r="CZ23" i="4"/>
  <c r="CW23" i="4"/>
  <c r="CS23" i="4"/>
  <c r="CR23" i="4"/>
  <c r="CQ23" i="4"/>
  <c r="CN23" i="4"/>
  <c r="CK23" i="4"/>
  <c r="CH23" i="4"/>
  <c r="CE23" i="4"/>
  <c r="CB23" i="4"/>
  <c r="BY23" i="4"/>
  <c r="BU23" i="4"/>
  <c r="BT23" i="4"/>
  <c r="BS23" i="4"/>
  <c r="BP23" i="4"/>
  <c r="BM23" i="4"/>
  <c r="BJ23" i="4"/>
  <c r="BG23" i="4"/>
  <c r="BD23" i="4"/>
  <c r="BA23" i="4"/>
  <c r="AW23" i="4"/>
  <c r="AV23" i="4"/>
  <c r="AU23" i="4"/>
  <c r="AR23" i="4"/>
  <c r="AO23" i="4"/>
  <c r="AL23" i="4"/>
  <c r="AI23" i="4"/>
  <c r="AF23" i="4"/>
  <c r="Y23" i="4"/>
  <c r="X23" i="4"/>
  <c r="W23" i="4"/>
  <c r="T23" i="4"/>
  <c r="Q23" i="4"/>
  <c r="N23" i="4"/>
  <c r="K23" i="4"/>
  <c r="H23" i="4"/>
  <c r="E23" i="4"/>
  <c r="DQ19" i="4"/>
  <c r="DP19" i="4"/>
  <c r="DO19" i="4"/>
  <c r="DL19" i="4"/>
  <c r="DI19" i="4"/>
  <c r="DF19" i="4"/>
  <c r="DC19" i="4"/>
  <c r="CZ19" i="4"/>
  <c r="CW19" i="4"/>
  <c r="CS19" i="4"/>
  <c r="CR19" i="4"/>
  <c r="CQ19" i="4"/>
  <c r="CN19" i="4"/>
  <c r="CK19" i="4"/>
  <c r="CH19" i="4"/>
  <c r="CE19" i="4"/>
  <c r="CB19" i="4"/>
  <c r="BY19" i="4"/>
  <c r="BU19" i="4"/>
  <c r="BT19" i="4"/>
  <c r="BS19" i="4"/>
  <c r="BP19" i="4"/>
  <c r="BM19" i="4"/>
  <c r="BJ19" i="4"/>
  <c r="BG19" i="4"/>
  <c r="BD19" i="4"/>
  <c r="BA19" i="4"/>
  <c r="AW19" i="4"/>
  <c r="AV19" i="4"/>
  <c r="AU19" i="4"/>
  <c r="AR19" i="4"/>
  <c r="AO19" i="4"/>
  <c r="AL19" i="4"/>
  <c r="AI19" i="4"/>
  <c r="AF19" i="4"/>
  <c r="AC19" i="4"/>
  <c r="Y19" i="4"/>
  <c r="X19" i="4"/>
  <c r="W19" i="4"/>
  <c r="T19" i="4"/>
  <c r="Q19" i="4"/>
  <c r="N19" i="4"/>
  <c r="K19" i="4"/>
  <c r="H19" i="4"/>
  <c r="E19" i="4"/>
  <c r="DQ18" i="4"/>
  <c r="DP18" i="4"/>
  <c r="DO18" i="4"/>
  <c r="DL18" i="4"/>
  <c r="DI18" i="4"/>
  <c r="DF18" i="4"/>
  <c r="DC18" i="4"/>
  <c r="CZ18" i="4"/>
  <c r="CW18" i="4"/>
  <c r="CS18" i="4"/>
  <c r="CR18" i="4"/>
  <c r="CQ18" i="4"/>
  <c r="CN18" i="4"/>
  <c r="CK18" i="4"/>
  <c r="CH18" i="4"/>
  <c r="CE18" i="4"/>
  <c r="CB18" i="4"/>
  <c r="BY18" i="4"/>
  <c r="BU18" i="4"/>
  <c r="BT18" i="4"/>
  <c r="BS18" i="4"/>
  <c r="BP18" i="4"/>
  <c r="BM18" i="4"/>
  <c r="BJ18" i="4"/>
  <c r="BG18" i="4"/>
  <c r="BD18" i="4"/>
  <c r="BA18" i="4"/>
  <c r="AW18" i="4"/>
  <c r="AV18" i="4"/>
  <c r="AU18" i="4"/>
  <c r="AR18" i="4"/>
  <c r="AO18" i="4"/>
  <c r="AL18" i="4"/>
  <c r="AI18" i="4"/>
  <c r="Y18" i="4"/>
  <c r="X18" i="4"/>
  <c r="W18" i="4"/>
  <c r="T18" i="4"/>
  <c r="Q18" i="4"/>
  <c r="N18" i="4"/>
  <c r="K18" i="4"/>
  <c r="H18" i="4"/>
  <c r="E18" i="4"/>
  <c r="DQ17" i="4"/>
  <c r="DP17" i="4"/>
  <c r="DO17" i="4"/>
  <c r="DL17" i="4"/>
  <c r="DI17" i="4"/>
  <c r="DF17" i="4"/>
  <c r="DC17" i="4"/>
  <c r="CZ17" i="4"/>
  <c r="CW17" i="4"/>
  <c r="CS17" i="4"/>
  <c r="CR17" i="4"/>
  <c r="CQ17" i="4"/>
  <c r="CN17" i="4"/>
  <c r="CK17" i="4"/>
  <c r="CH17" i="4"/>
  <c r="CE17" i="4"/>
  <c r="CB17" i="4"/>
  <c r="BY17" i="4"/>
  <c r="BU17" i="4"/>
  <c r="BT17" i="4"/>
  <c r="BS17" i="4"/>
  <c r="BP17" i="4"/>
  <c r="BM17" i="4"/>
  <c r="BJ17" i="4"/>
  <c r="BG17" i="4"/>
  <c r="BD17" i="4"/>
  <c r="BA17" i="4"/>
  <c r="AW17" i="4"/>
  <c r="AV17" i="4"/>
  <c r="AR17" i="4"/>
  <c r="AO17" i="4"/>
  <c r="AL17" i="4"/>
  <c r="AI17" i="4"/>
  <c r="AF17" i="4"/>
  <c r="AC17" i="4"/>
  <c r="Y17" i="4"/>
  <c r="X17" i="4"/>
  <c r="W17" i="4"/>
  <c r="T17" i="4"/>
  <c r="N17" i="4"/>
  <c r="K17" i="4"/>
  <c r="E17" i="4"/>
  <c r="DO13" i="4"/>
  <c r="DL13" i="4"/>
  <c r="DI13" i="4"/>
  <c r="DF13" i="4"/>
  <c r="DC13" i="4"/>
  <c r="CZ13" i="4"/>
  <c r="CW13" i="4"/>
  <c r="DR13" i="4" s="1"/>
  <c r="CS13" i="4"/>
  <c r="CR13" i="4"/>
  <c r="CQ13" i="4"/>
  <c r="CN13" i="4"/>
  <c r="CK13" i="4"/>
  <c r="CH13" i="4"/>
  <c r="CE13" i="4"/>
  <c r="CB13" i="4"/>
  <c r="BY13" i="4"/>
  <c r="BS13" i="4"/>
  <c r="BP13" i="4"/>
  <c r="BM13" i="4"/>
  <c r="BJ13" i="4"/>
  <c r="BG13" i="4"/>
  <c r="BD13" i="4"/>
  <c r="BA13" i="4"/>
  <c r="BV13" i="4" s="1"/>
  <c r="AU13" i="4"/>
  <c r="AR13" i="4"/>
  <c r="AO13" i="4"/>
  <c r="AL13" i="4"/>
  <c r="AI13" i="4"/>
  <c r="AF13" i="4"/>
  <c r="AC13" i="4"/>
  <c r="Y13" i="4"/>
  <c r="X13" i="4"/>
  <c r="W13" i="4"/>
  <c r="T13" i="4"/>
  <c r="Q13" i="4"/>
  <c r="N13" i="4"/>
  <c r="K13" i="4"/>
  <c r="H13" i="4"/>
  <c r="E13" i="4"/>
  <c r="DQ12" i="4"/>
  <c r="DP12" i="4"/>
  <c r="DO12" i="4"/>
  <c r="DL12" i="4"/>
  <c r="DI12" i="4"/>
  <c r="DF12" i="4"/>
  <c r="DC12" i="4"/>
  <c r="CZ12" i="4"/>
  <c r="CW12" i="4"/>
  <c r="CS12" i="4"/>
  <c r="CR12" i="4"/>
  <c r="CQ12" i="4"/>
  <c r="CN12" i="4"/>
  <c r="CK12" i="4"/>
  <c r="CH12" i="4"/>
  <c r="CE12" i="4"/>
  <c r="CB12" i="4"/>
  <c r="BY12" i="4"/>
  <c r="BU12" i="4"/>
  <c r="BT12" i="4"/>
  <c r="BS12" i="4"/>
  <c r="BP12" i="4"/>
  <c r="BM12" i="4"/>
  <c r="BJ12" i="4"/>
  <c r="BG12" i="4"/>
  <c r="BD12" i="4"/>
  <c r="BA12" i="4"/>
  <c r="AW12" i="4"/>
  <c r="AV12" i="4"/>
  <c r="AU12" i="4"/>
  <c r="AR12" i="4"/>
  <c r="AO12" i="4"/>
  <c r="AL12" i="4"/>
  <c r="AI12" i="4"/>
  <c r="AF12" i="4"/>
  <c r="AC12" i="4"/>
  <c r="Y12" i="4"/>
  <c r="X12" i="4"/>
  <c r="W12" i="4"/>
  <c r="T12" i="4"/>
  <c r="Q12" i="4"/>
  <c r="N12" i="4"/>
  <c r="H12" i="4"/>
  <c r="E12" i="4"/>
  <c r="DQ11" i="4"/>
  <c r="DP11" i="4"/>
  <c r="DO11" i="4"/>
  <c r="DL11" i="4"/>
  <c r="DI11" i="4"/>
  <c r="DF11" i="4"/>
  <c r="DC11" i="4"/>
  <c r="CZ11" i="4"/>
  <c r="CW11" i="4"/>
  <c r="CS11" i="4"/>
  <c r="CR11" i="4"/>
  <c r="CQ11" i="4"/>
  <c r="CN11" i="4"/>
  <c r="CK11" i="4"/>
  <c r="CH11" i="4"/>
  <c r="CE11" i="4"/>
  <c r="CB11" i="4"/>
  <c r="BY11" i="4"/>
  <c r="BU11" i="4"/>
  <c r="BT11" i="4"/>
  <c r="BS11" i="4"/>
  <c r="BP11" i="4"/>
  <c r="BM11" i="4"/>
  <c r="BJ11" i="4"/>
  <c r="BG11" i="4"/>
  <c r="BD11" i="4"/>
  <c r="BA11" i="4"/>
  <c r="AW11" i="4"/>
  <c r="AV11" i="4"/>
  <c r="AU11" i="4"/>
  <c r="AR11" i="4"/>
  <c r="AO11" i="4"/>
  <c r="AL11" i="4"/>
  <c r="AI11" i="4"/>
  <c r="AF11" i="4"/>
  <c r="AC11" i="4"/>
  <c r="Y11" i="4"/>
  <c r="X11" i="4"/>
  <c r="W11" i="4"/>
  <c r="T11" i="4"/>
  <c r="Q11" i="4"/>
  <c r="N11" i="4"/>
  <c r="K11" i="4"/>
  <c r="H11" i="4"/>
  <c r="E11" i="4"/>
  <c r="DQ10" i="4"/>
  <c r="DP10" i="4"/>
  <c r="DO10" i="4"/>
  <c r="DL10" i="4"/>
  <c r="DI10" i="4"/>
  <c r="DF10" i="4"/>
  <c r="DC10" i="4"/>
  <c r="CZ10" i="4"/>
  <c r="CW10" i="4"/>
  <c r="CS10" i="4"/>
  <c r="CR10" i="4"/>
  <c r="CQ10" i="4"/>
  <c r="CN10" i="4"/>
  <c r="CK10" i="4"/>
  <c r="CH10" i="4"/>
  <c r="CE10" i="4"/>
  <c r="CB10" i="4"/>
  <c r="BY10" i="4"/>
  <c r="BU10" i="4"/>
  <c r="BT10" i="4"/>
  <c r="BS10" i="4"/>
  <c r="BP10" i="4"/>
  <c r="BM10" i="4"/>
  <c r="BJ10" i="4"/>
  <c r="BG10" i="4"/>
  <c r="BD10" i="4"/>
  <c r="BA10" i="4"/>
  <c r="AW10" i="4"/>
  <c r="AV10" i="4"/>
  <c r="AU10" i="4"/>
  <c r="AR10" i="4"/>
  <c r="AO10" i="4"/>
  <c r="AL10" i="4"/>
  <c r="AI10" i="4"/>
  <c r="AF10" i="4"/>
  <c r="AC10" i="4"/>
  <c r="Y10" i="4"/>
  <c r="X10" i="4"/>
  <c r="W10" i="4"/>
  <c r="T10" i="4"/>
  <c r="Q10" i="4"/>
  <c r="N10" i="4"/>
  <c r="K10" i="4"/>
  <c r="H10" i="4"/>
  <c r="E10" i="4"/>
  <c r="DQ9" i="4"/>
  <c r="DP9" i="4"/>
  <c r="DO9" i="4"/>
  <c r="DL9" i="4"/>
  <c r="DI9" i="4"/>
  <c r="DF9" i="4"/>
  <c r="DC9" i="4"/>
  <c r="CZ9" i="4"/>
  <c r="CW9" i="4"/>
  <c r="CS9" i="4"/>
  <c r="CR9" i="4"/>
  <c r="CQ9" i="4"/>
  <c r="CN9" i="4"/>
  <c r="CK9" i="4"/>
  <c r="CH9" i="4"/>
  <c r="CE9" i="4"/>
  <c r="CB9" i="4"/>
  <c r="BY9" i="4"/>
  <c r="BU9" i="4"/>
  <c r="BT9" i="4"/>
  <c r="BS9" i="4"/>
  <c r="BP9" i="4"/>
  <c r="BM9" i="4"/>
  <c r="BJ9" i="4"/>
  <c r="BG9" i="4"/>
  <c r="BD9" i="4"/>
  <c r="BA9" i="4"/>
  <c r="AW9" i="4"/>
  <c r="AV9" i="4"/>
  <c r="AU9" i="4"/>
  <c r="AR9" i="4"/>
  <c r="AO9" i="4"/>
  <c r="AL9" i="4"/>
  <c r="AI9" i="4"/>
  <c r="AF9" i="4"/>
  <c r="AC9" i="4"/>
  <c r="Y9" i="4"/>
  <c r="X9" i="4"/>
  <c r="W9" i="4"/>
  <c r="T9" i="4"/>
  <c r="Q9" i="4"/>
  <c r="N9" i="4"/>
  <c r="K9" i="4"/>
  <c r="H9" i="4"/>
  <c r="E9" i="4"/>
  <c r="DQ8" i="4"/>
  <c r="DP8" i="4"/>
  <c r="DO8" i="4"/>
  <c r="DL8" i="4"/>
  <c r="DI8" i="4"/>
  <c r="DF8" i="4"/>
  <c r="DC8" i="4"/>
  <c r="CZ8" i="4"/>
  <c r="CW8" i="4"/>
  <c r="CS8" i="4"/>
  <c r="CR8" i="4"/>
  <c r="CQ8" i="4"/>
  <c r="CN8" i="4"/>
  <c r="CK8" i="4"/>
  <c r="CH8" i="4"/>
  <c r="CE8" i="4"/>
  <c r="CB8" i="4"/>
  <c r="BY8" i="4"/>
  <c r="BU8" i="4"/>
  <c r="BT8" i="4"/>
  <c r="BS8" i="4"/>
  <c r="BP8" i="4"/>
  <c r="BM8" i="4"/>
  <c r="BJ8" i="4"/>
  <c r="BG8" i="4"/>
  <c r="BD8" i="4"/>
  <c r="BA8" i="4"/>
  <c r="AW8" i="4"/>
  <c r="AV8" i="4"/>
  <c r="AU8" i="4"/>
  <c r="AR8" i="4"/>
  <c r="AO8" i="4"/>
  <c r="AL8" i="4"/>
  <c r="AI8" i="4"/>
  <c r="AF8" i="4"/>
  <c r="AC8" i="4"/>
  <c r="Y8" i="4"/>
  <c r="X8" i="4"/>
  <c r="W8" i="4"/>
  <c r="T8" i="4"/>
  <c r="Q8" i="4"/>
  <c r="N8" i="4"/>
  <c r="K8" i="4"/>
  <c r="H8" i="4"/>
  <c r="E8" i="4"/>
  <c r="DQ7" i="4"/>
  <c r="DP7" i="4"/>
  <c r="DO7" i="4"/>
  <c r="DL7" i="4"/>
  <c r="DI7" i="4"/>
  <c r="DF7" i="4"/>
  <c r="DC7" i="4"/>
  <c r="CZ7" i="4"/>
  <c r="CW7" i="4"/>
  <c r="CS7" i="4"/>
  <c r="CR7" i="4"/>
  <c r="CQ7" i="4"/>
  <c r="CN7" i="4"/>
  <c r="CK7" i="4"/>
  <c r="CH7" i="4"/>
  <c r="CE7" i="4"/>
  <c r="CB7" i="4"/>
  <c r="BY7" i="4"/>
  <c r="BU7" i="4"/>
  <c r="BT7" i="4"/>
  <c r="BS7" i="4"/>
  <c r="BP7" i="4"/>
  <c r="BM7" i="4"/>
  <c r="BJ7" i="4"/>
  <c r="BG7" i="4"/>
  <c r="BD7" i="4"/>
  <c r="BA7" i="4"/>
  <c r="AW7" i="4"/>
  <c r="AV7" i="4"/>
  <c r="AU7" i="4"/>
  <c r="AR7" i="4"/>
  <c r="AO7" i="4"/>
  <c r="AL7" i="4"/>
  <c r="AI7" i="4"/>
  <c r="AF7" i="4"/>
  <c r="AC7" i="4"/>
  <c r="Y7" i="4"/>
  <c r="X7" i="4"/>
  <c r="W7" i="4"/>
  <c r="T7" i="4"/>
  <c r="Q7" i="4"/>
  <c r="N7" i="4"/>
  <c r="K7" i="4"/>
  <c r="H7" i="4"/>
  <c r="E7" i="4"/>
  <c r="DQ6" i="4"/>
  <c r="DP6" i="4"/>
  <c r="DO6" i="4"/>
  <c r="DL6" i="4"/>
  <c r="DI6" i="4"/>
  <c r="DF6" i="4"/>
  <c r="DC6" i="4"/>
  <c r="CZ6" i="4"/>
  <c r="CW6" i="4"/>
  <c r="CS6" i="4"/>
  <c r="CR6" i="4"/>
  <c r="CQ6" i="4"/>
  <c r="CN6" i="4"/>
  <c r="CK6" i="4"/>
  <c r="CH6" i="4"/>
  <c r="CE6" i="4"/>
  <c r="CB6" i="4"/>
  <c r="BY6" i="4"/>
  <c r="BU6" i="4"/>
  <c r="BT6" i="4"/>
  <c r="BS6" i="4"/>
  <c r="BP6" i="4"/>
  <c r="BM6" i="4"/>
  <c r="BJ6" i="4"/>
  <c r="BG6" i="4"/>
  <c r="BD6" i="4"/>
  <c r="BA6" i="4"/>
  <c r="AW6" i="4"/>
  <c r="AV6" i="4"/>
  <c r="AU6" i="4"/>
  <c r="AR6" i="4"/>
  <c r="AO6" i="4"/>
  <c r="AL6" i="4"/>
  <c r="AI6" i="4"/>
  <c r="AF6" i="4"/>
  <c r="AC6" i="4"/>
  <c r="Y6" i="4"/>
  <c r="X6" i="4"/>
  <c r="W6" i="4"/>
  <c r="T6" i="4"/>
  <c r="Q6" i="4"/>
  <c r="N6" i="4"/>
  <c r="K6" i="4"/>
  <c r="H6" i="4"/>
  <c r="E6" i="4"/>
  <c r="DQ5" i="4"/>
  <c r="DP5" i="4"/>
  <c r="DO5" i="4"/>
  <c r="DL5" i="4"/>
  <c r="DI5" i="4"/>
  <c r="DF5" i="4"/>
  <c r="DC5" i="4"/>
  <c r="CZ5" i="4"/>
  <c r="CW5" i="4"/>
  <c r="CS5" i="4"/>
  <c r="CR5" i="4"/>
  <c r="CQ5" i="4"/>
  <c r="CN5" i="4"/>
  <c r="CK5" i="4"/>
  <c r="CH5" i="4"/>
  <c r="CE5" i="4"/>
  <c r="CB5" i="4"/>
  <c r="BY5" i="4"/>
  <c r="BU5" i="4"/>
  <c r="BT5" i="4"/>
  <c r="BS5" i="4"/>
  <c r="BP5" i="4"/>
  <c r="BM5" i="4"/>
  <c r="BJ5" i="4"/>
  <c r="BG5" i="4"/>
  <c r="BD5" i="4"/>
  <c r="BA5" i="4"/>
  <c r="AW5" i="4"/>
  <c r="AV5" i="4"/>
  <c r="AU5" i="4"/>
  <c r="AR5" i="4"/>
  <c r="AO5" i="4"/>
  <c r="AL5" i="4"/>
  <c r="AI5" i="4"/>
  <c r="AF5" i="4"/>
  <c r="AC5" i="4"/>
  <c r="Y5" i="4"/>
  <c r="X5" i="4"/>
  <c r="W5" i="4"/>
  <c r="T5" i="4"/>
  <c r="Q5" i="4"/>
  <c r="N5" i="4"/>
  <c r="K5" i="4"/>
  <c r="H5" i="4"/>
  <c r="E5" i="4"/>
  <c r="DQ4" i="4"/>
  <c r="DP4" i="4"/>
  <c r="DO4" i="4"/>
  <c r="DL4" i="4"/>
  <c r="DI4" i="4"/>
  <c r="DF4" i="4"/>
  <c r="DC4" i="4"/>
  <c r="CZ4" i="4"/>
  <c r="CW4" i="4"/>
  <c r="CS4" i="4"/>
  <c r="CR4" i="4"/>
  <c r="CQ4" i="4"/>
  <c r="CN4" i="4"/>
  <c r="CK4" i="4"/>
  <c r="CH4" i="4"/>
  <c r="CE4" i="4"/>
  <c r="CB4" i="4"/>
  <c r="BY4" i="4"/>
  <c r="BU4" i="4"/>
  <c r="BT4" i="4"/>
  <c r="BS4" i="4"/>
  <c r="BP4" i="4"/>
  <c r="BM4" i="4"/>
  <c r="BJ4" i="4"/>
  <c r="BG4" i="4"/>
  <c r="BD4" i="4"/>
  <c r="BA4" i="4"/>
  <c r="AW4" i="4"/>
  <c r="AV4" i="4"/>
  <c r="AU4" i="4"/>
  <c r="AR4" i="4"/>
  <c r="AO4" i="4"/>
  <c r="AL4" i="4"/>
  <c r="AI4" i="4"/>
  <c r="AF4" i="4"/>
  <c r="AC4" i="4"/>
  <c r="Y4" i="4"/>
  <c r="X4" i="4"/>
  <c r="W4" i="4"/>
  <c r="T4" i="4"/>
  <c r="Q4" i="4"/>
  <c r="N4" i="4"/>
  <c r="K4" i="4"/>
  <c r="H4" i="4"/>
  <c r="E4" i="4"/>
  <c r="BT23" i="16" l="1"/>
  <c r="Z17" i="16"/>
  <c r="DU17" i="16" s="1"/>
  <c r="AX11" i="14"/>
  <c r="AX12" i="14"/>
  <c r="AX13" i="14"/>
  <c r="AX15" i="14"/>
  <c r="AX14" i="14"/>
  <c r="AX16" i="14"/>
  <c r="CR23" i="16"/>
  <c r="DS7" i="16"/>
  <c r="X23" i="16"/>
  <c r="DP23" i="16"/>
  <c r="AV23" i="16"/>
  <c r="DR4" i="17"/>
  <c r="DR5" i="17"/>
  <c r="DR6" i="17"/>
  <c r="DR7" i="17"/>
  <c r="DR8" i="17"/>
  <c r="DR9" i="17"/>
  <c r="DR10" i="17"/>
  <c r="DR11" i="17"/>
  <c r="DR12" i="17"/>
  <c r="DR13" i="17"/>
  <c r="DR14" i="17"/>
  <c r="DR16" i="17"/>
  <c r="DR17" i="17"/>
  <c r="DR18" i="17"/>
  <c r="DR19" i="17"/>
  <c r="DR20" i="17"/>
  <c r="DR21" i="17"/>
  <c r="DR22" i="17"/>
  <c r="AX13" i="4"/>
  <c r="Z17" i="4"/>
  <c r="DS21" i="13"/>
  <c r="DS21" i="10"/>
  <c r="DS21" i="8"/>
  <c r="Z22" i="4"/>
  <c r="AX22" i="4"/>
  <c r="AX21" i="4"/>
  <c r="Z20" i="4"/>
  <c r="AX20" i="4"/>
  <c r="AX21" i="8"/>
  <c r="DS9" i="13"/>
  <c r="AX21" i="10"/>
  <c r="DV17" i="9"/>
  <c r="DT20" i="7"/>
  <c r="DS21" i="7"/>
  <c r="BV20" i="6"/>
  <c r="CT20" i="6"/>
  <c r="AX21" i="6"/>
  <c r="BV21" i="6"/>
  <c r="BV22" i="4"/>
  <c r="CT22" i="4"/>
  <c r="CT23" i="4"/>
  <c r="CT25" i="4"/>
  <c r="AX4" i="11"/>
  <c r="BV4" i="11"/>
  <c r="CR25" i="11"/>
  <c r="AX5" i="11"/>
  <c r="CT7" i="11"/>
  <c r="AX8" i="11"/>
  <c r="BV8" i="11"/>
  <c r="DV5" i="11"/>
  <c r="DV17" i="11"/>
  <c r="DV24" i="11"/>
  <c r="BV10" i="11"/>
  <c r="CT10" i="11"/>
  <c r="AX11" i="11"/>
  <c r="BV11" i="11"/>
  <c r="CT12" i="11"/>
  <c r="AX16" i="11"/>
  <c r="AX17" i="11"/>
  <c r="DV19" i="11"/>
  <c r="AX20" i="11"/>
  <c r="DV21" i="11"/>
  <c r="CT22" i="11"/>
  <c r="AX23" i="11"/>
  <c r="AX24" i="11"/>
  <c r="DS14" i="13"/>
  <c r="Z16" i="13"/>
  <c r="DT16" i="13"/>
  <c r="CT16" i="13"/>
  <c r="DR16" i="13"/>
  <c r="CT17" i="13"/>
  <c r="X22" i="13"/>
  <c r="DP22" i="13"/>
  <c r="DS5" i="13"/>
  <c r="DT4" i="13"/>
  <c r="BV12" i="13"/>
  <c r="Z14" i="13"/>
  <c r="DR14" i="13"/>
  <c r="DT20" i="13"/>
  <c r="Z21" i="13"/>
  <c r="DR21" i="13"/>
  <c r="AX20" i="13"/>
  <c r="BV20" i="13"/>
  <c r="AX5" i="13"/>
  <c r="DT5" i="13"/>
  <c r="BV6" i="13"/>
  <c r="CT6" i="13"/>
  <c r="BV7" i="13"/>
  <c r="CT10" i="13"/>
  <c r="AX11" i="13"/>
  <c r="BV11" i="13"/>
  <c r="AX18" i="13"/>
  <c r="DR18" i="13"/>
  <c r="Z19" i="13"/>
  <c r="DT19" i="13"/>
  <c r="DS19" i="13"/>
  <c r="DR19" i="13"/>
  <c r="Z4" i="13"/>
  <c r="CT4" i="13"/>
  <c r="DR4" i="13"/>
  <c r="BV5" i="13"/>
  <c r="AV22" i="13"/>
  <c r="CT7" i="13"/>
  <c r="AX8" i="13"/>
  <c r="BV8" i="13"/>
  <c r="AX9" i="13"/>
  <c r="DR9" i="13"/>
  <c r="DT10" i="13"/>
  <c r="DR10" i="13"/>
  <c r="DS11" i="13"/>
  <c r="CT12" i="13"/>
  <c r="AX13" i="13"/>
  <c r="BV13" i="13"/>
  <c r="AX14" i="13"/>
  <c r="BV15" i="13"/>
  <c r="CT15" i="13"/>
  <c r="Z17" i="13"/>
  <c r="DR17" i="13"/>
  <c r="AX19" i="13"/>
  <c r="DS20" i="13"/>
  <c r="AX21" i="13"/>
  <c r="DT21" i="13"/>
  <c r="BT22" i="13"/>
  <c r="CT5" i="13"/>
  <c r="Z6" i="13"/>
  <c r="AX6" i="13"/>
  <c r="DT6" i="13"/>
  <c r="DR6" i="13"/>
  <c r="Z7" i="13"/>
  <c r="DT7" i="13"/>
  <c r="DR7" i="13"/>
  <c r="AX10" i="13"/>
  <c r="DT11" i="13"/>
  <c r="CT11" i="13"/>
  <c r="DR11" i="13"/>
  <c r="DT12" i="13"/>
  <c r="DS12" i="13"/>
  <c r="DR12" i="13"/>
  <c r="DS13" i="13"/>
  <c r="BV14" i="13"/>
  <c r="DS15" i="13"/>
  <c r="AX16" i="13"/>
  <c r="BV16" i="13"/>
  <c r="AX17" i="13"/>
  <c r="BV18" i="13"/>
  <c r="CT18" i="13"/>
  <c r="BV19" i="13"/>
  <c r="Z20" i="13"/>
  <c r="CT20" i="13"/>
  <c r="DR20" i="13"/>
  <c r="BV21" i="13"/>
  <c r="AX4" i="13"/>
  <c r="BV4" i="13"/>
  <c r="Z5" i="13"/>
  <c r="DR5" i="13"/>
  <c r="CR22" i="13"/>
  <c r="AX7" i="13"/>
  <c r="DT8" i="13"/>
  <c r="CT8" i="13"/>
  <c r="DR8" i="13"/>
  <c r="BV9" i="13"/>
  <c r="CT9" i="13"/>
  <c r="BV10" i="13"/>
  <c r="AX12" i="13"/>
  <c r="Z13" i="13"/>
  <c r="DT13" i="13"/>
  <c r="CT13" i="13"/>
  <c r="DR13" i="13"/>
  <c r="CT14" i="13"/>
  <c r="AX15" i="13"/>
  <c r="DR15" i="13"/>
  <c r="DS16" i="13"/>
  <c r="BV17" i="13"/>
  <c r="CT19" i="13"/>
  <c r="CT21" i="13"/>
  <c r="Z4" i="10"/>
  <c r="DT4" i="10"/>
  <c r="BT22" i="10"/>
  <c r="DR4" i="10"/>
  <c r="DR8" i="10"/>
  <c r="DT9" i="10"/>
  <c r="CT9" i="10"/>
  <c r="DS10" i="10"/>
  <c r="CT10" i="10"/>
  <c r="AX11" i="10"/>
  <c r="DR15" i="10"/>
  <c r="DS7" i="10"/>
  <c r="CT7" i="10"/>
  <c r="DT13" i="10"/>
  <c r="CT13" i="10"/>
  <c r="DS14" i="10"/>
  <c r="CT14" i="10"/>
  <c r="DS20" i="10"/>
  <c r="Z6" i="10"/>
  <c r="DT6" i="10"/>
  <c r="DR6" i="10"/>
  <c r="BV12" i="10"/>
  <c r="DT20" i="10"/>
  <c r="DS5" i="10"/>
  <c r="CT5" i="10"/>
  <c r="DS12" i="10"/>
  <c r="AX16" i="10"/>
  <c r="AX17" i="10"/>
  <c r="BV18" i="10"/>
  <c r="BV19" i="10"/>
  <c r="DT7" i="10"/>
  <c r="Z10" i="10"/>
  <c r="BV11" i="10"/>
  <c r="DT14" i="10"/>
  <c r="DR14" i="10"/>
  <c r="AX15" i="10"/>
  <c r="BV16" i="10"/>
  <c r="Z20" i="10"/>
  <c r="CT20" i="10"/>
  <c r="DR20" i="10"/>
  <c r="BV21" i="10"/>
  <c r="CR22" i="10"/>
  <c r="Z5" i="10"/>
  <c r="DR5" i="10"/>
  <c r="AX6" i="10"/>
  <c r="DR7" i="10"/>
  <c r="AX8" i="10"/>
  <c r="DR9" i="10"/>
  <c r="DS11" i="10"/>
  <c r="BV17" i="10"/>
  <c r="DT18" i="10"/>
  <c r="X22" i="10"/>
  <c r="BV4" i="10"/>
  <c r="DP22" i="10"/>
  <c r="AX5" i="10"/>
  <c r="BV6" i="10"/>
  <c r="AX7" i="10"/>
  <c r="BV8" i="10"/>
  <c r="AX9" i="10"/>
  <c r="AX10" i="10"/>
  <c r="DT11" i="10"/>
  <c r="CT11" i="10"/>
  <c r="Z12" i="10"/>
  <c r="DT12" i="10"/>
  <c r="DR12" i="10"/>
  <c r="AX13" i="10"/>
  <c r="AX14" i="10"/>
  <c r="DS15" i="10"/>
  <c r="BV15" i="10"/>
  <c r="DT16" i="10"/>
  <c r="CT16" i="10"/>
  <c r="CT17" i="10"/>
  <c r="DR18" i="10"/>
  <c r="Z19" i="10"/>
  <c r="DT19" i="10"/>
  <c r="DR19" i="10"/>
  <c r="CT21" i="10"/>
  <c r="AX4" i="10"/>
  <c r="DT5" i="10"/>
  <c r="Z7" i="10"/>
  <c r="DT10" i="10"/>
  <c r="DR10" i="10"/>
  <c r="CT12" i="10"/>
  <c r="DR13" i="10"/>
  <c r="DS16" i="10"/>
  <c r="CT18" i="10"/>
  <c r="DS19" i="10"/>
  <c r="CT19" i="10"/>
  <c r="AV22" i="10"/>
  <c r="CT4" i="10"/>
  <c r="BV5" i="10"/>
  <c r="CT6" i="10"/>
  <c r="BV7" i="10"/>
  <c r="DT8" i="10"/>
  <c r="CT8" i="10"/>
  <c r="DS9" i="10"/>
  <c r="BV9" i="10"/>
  <c r="BV10" i="10"/>
  <c r="DR11" i="10"/>
  <c r="AX12" i="10"/>
  <c r="DS13" i="10"/>
  <c r="BV13" i="10"/>
  <c r="BV14" i="10"/>
  <c r="DT15" i="10"/>
  <c r="CT15" i="10"/>
  <c r="DR16" i="10"/>
  <c r="DT17" i="10"/>
  <c r="DR17" i="10"/>
  <c r="AX18" i="10"/>
  <c r="AX19" i="10"/>
  <c r="AX20" i="10"/>
  <c r="BV20" i="10"/>
  <c r="Z21" i="10"/>
  <c r="DT21" i="10"/>
  <c r="DR21" i="10"/>
  <c r="DV5" i="9"/>
  <c r="DW15" i="9"/>
  <c r="DV15" i="9"/>
  <c r="AX16" i="9"/>
  <c r="BV16" i="9"/>
  <c r="AX17" i="9"/>
  <c r="DR17" i="9"/>
  <c r="BV18" i="9"/>
  <c r="CT18" i="9"/>
  <c r="AX19" i="9"/>
  <c r="BV19" i="9"/>
  <c r="Z5" i="9"/>
  <c r="AX5" i="9"/>
  <c r="DW5" i="9"/>
  <c r="DR5" i="9"/>
  <c r="BV6" i="9"/>
  <c r="CT6" i="9"/>
  <c r="AX7" i="9"/>
  <c r="BV7" i="9"/>
  <c r="X22" i="9"/>
  <c r="DP22" i="9"/>
  <c r="Z12" i="9"/>
  <c r="DW12" i="9"/>
  <c r="CT12" i="9"/>
  <c r="DR12" i="9"/>
  <c r="DV13" i="9"/>
  <c r="DW4" i="9"/>
  <c r="Z11" i="9"/>
  <c r="DW11" i="9"/>
  <c r="CT11" i="9"/>
  <c r="DV14" i="9"/>
  <c r="Z20" i="9"/>
  <c r="DW20" i="9"/>
  <c r="CT20" i="9"/>
  <c r="DR20" i="9"/>
  <c r="DV21" i="9"/>
  <c r="DS19" i="8"/>
  <c r="DS14" i="8"/>
  <c r="DS17" i="8"/>
  <c r="AX18" i="8"/>
  <c r="DT20" i="8"/>
  <c r="DT6" i="8"/>
  <c r="CT6" i="8"/>
  <c r="DS7" i="8"/>
  <c r="AX8" i="8"/>
  <c r="DR9" i="8"/>
  <c r="DT10" i="8"/>
  <c r="CT10" i="8"/>
  <c r="DR10" i="8"/>
  <c r="DS11" i="8"/>
  <c r="BV11" i="8"/>
  <c r="DS16" i="8"/>
  <c r="DS20" i="8"/>
  <c r="DT4" i="8"/>
  <c r="AV22" i="8"/>
  <c r="CT4" i="8"/>
  <c r="DS5" i="8"/>
  <c r="DS9" i="8"/>
  <c r="DS12" i="8"/>
  <c r="AX13" i="8"/>
  <c r="AX14" i="8"/>
  <c r="DR14" i="8"/>
  <c r="DS15" i="8"/>
  <c r="BV15" i="8"/>
  <c r="DT17" i="8"/>
  <c r="Z4" i="8"/>
  <c r="BT22" i="8"/>
  <c r="DR4" i="8"/>
  <c r="BV5" i="8"/>
  <c r="CT5" i="8"/>
  <c r="Z6" i="8"/>
  <c r="DR6" i="8"/>
  <c r="Z7" i="8"/>
  <c r="DT7" i="8"/>
  <c r="CT7" i="8"/>
  <c r="DR7" i="8"/>
  <c r="DS8" i="8"/>
  <c r="BV8" i="8"/>
  <c r="AX9" i="8"/>
  <c r="DT11" i="8"/>
  <c r="CT11" i="8"/>
  <c r="Z12" i="8"/>
  <c r="DT12" i="8"/>
  <c r="CT12" i="8"/>
  <c r="DR12" i="8"/>
  <c r="DS13" i="8"/>
  <c r="BV13" i="8"/>
  <c r="DT15" i="8"/>
  <c r="CT15" i="8"/>
  <c r="AX16" i="8"/>
  <c r="BV16" i="8"/>
  <c r="AX17" i="8"/>
  <c r="DR17" i="8"/>
  <c r="DS18" i="8"/>
  <c r="BV18" i="8"/>
  <c r="CT18" i="8"/>
  <c r="AX19" i="8"/>
  <c r="BV19" i="8"/>
  <c r="Z20" i="8"/>
  <c r="CT20" i="8"/>
  <c r="DR20" i="8"/>
  <c r="BV21" i="8"/>
  <c r="AX4" i="8"/>
  <c r="CR22" i="8"/>
  <c r="DT5" i="8"/>
  <c r="AX6" i="8"/>
  <c r="DT8" i="8"/>
  <c r="CT8" i="8"/>
  <c r="BV9" i="8"/>
  <c r="AX10" i="8"/>
  <c r="BV10" i="8"/>
  <c r="DR11" i="8"/>
  <c r="DT13" i="8"/>
  <c r="CT13" i="8"/>
  <c r="BV14" i="8"/>
  <c r="CT14" i="8"/>
  <c r="DR15" i="8"/>
  <c r="DT18" i="8"/>
  <c r="CT19" i="8"/>
  <c r="CT21" i="8"/>
  <c r="X22" i="8"/>
  <c r="BV4" i="8"/>
  <c r="DP22" i="8"/>
  <c r="Z5" i="8"/>
  <c r="AX5" i="8"/>
  <c r="DR5" i="8"/>
  <c r="DS6" i="8"/>
  <c r="BV6" i="8"/>
  <c r="AX7" i="8"/>
  <c r="BV7" i="8"/>
  <c r="DR8" i="8"/>
  <c r="DT9" i="8"/>
  <c r="CT9" i="8"/>
  <c r="DS10" i="8"/>
  <c r="AX11" i="8"/>
  <c r="AX12" i="8"/>
  <c r="BV12" i="8"/>
  <c r="DR13" i="8"/>
  <c r="DT14" i="8"/>
  <c r="AX15" i="8"/>
  <c r="DT16" i="8"/>
  <c r="CT16" i="8"/>
  <c r="DR16" i="8"/>
  <c r="BV17" i="8"/>
  <c r="CT17" i="8"/>
  <c r="DR18" i="8"/>
  <c r="Z19" i="8"/>
  <c r="DT19" i="8"/>
  <c r="DR19" i="8"/>
  <c r="AX20" i="8"/>
  <c r="BV20" i="8"/>
  <c r="Z21" i="8"/>
  <c r="DT21" i="8"/>
  <c r="DR21" i="8"/>
  <c r="DS14" i="7"/>
  <c r="DT16" i="7"/>
  <c r="CT16" i="7"/>
  <c r="DR16" i="7"/>
  <c r="CT17" i="7"/>
  <c r="X22" i="7"/>
  <c r="DP22" i="7"/>
  <c r="DS5" i="7"/>
  <c r="AX12" i="7"/>
  <c r="BV12" i="7"/>
  <c r="Z21" i="7"/>
  <c r="DR21" i="7"/>
  <c r="DT4" i="7"/>
  <c r="AX20" i="7"/>
  <c r="BV20" i="7"/>
  <c r="Z5" i="7"/>
  <c r="AX5" i="7"/>
  <c r="DT5" i="7"/>
  <c r="DR5" i="7"/>
  <c r="BV6" i="7"/>
  <c r="CT6" i="7"/>
  <c r="AX7" i="7"/>
  <c r="BV7" i="7"/>
  <c r="DT9" i="7"/>
  <c r="DS9" i="7"/>
  <c r="AX11" i="7"/>
  <c r="BV11" i="7"/>
  <c r="DS13" i="7"/>
  <c r="AX18" i="7"/>
  <c r="DR18" i="7"/>
  <c r="DT19" i="7"/>
  <c r="DR19" i="7"/>
  <c r="Z4" i="7"/>
  <c r="AV22" i="7"/>
  <c r="CT4" i="7"/>
  <c r="DR4" i="7"/>
  <c r="DT6" i="7"/>
  <c r="DS6" i="7"/>
  <c r="AX8" i="7"/>
  <c r="BV8" i="7"/>
  <c r="AX9" i="7"/>
  <c r="DR9" i="7"/>
  <c r="DT10" i="7"/>
  <c r="CT10" i="7"/>
  <c r="DR10" i="7"/>
  <c r="DS11" i="7"/>
  <c r="DS12" i="7"/>
  <c r="AX13" i="7"/>
  <c r="BV13" i="7"/>
  <c r="AX14" i="7"/>
  <c r="DR14" i="7"/>
  <c r="BV15" i="7"/>
  <c r="CT15" i="7"/>
  <c r="Z17" i="7"/>
  <c r="DR17" i="7"/>
  <c r="AX19" i="7"/>
  <c r="DS20" i="7"/>
  <c r="AX21" i="7"/>
  <c r="DT21" i="7"/>
  <c r="BT22" i="7"/>
  <c r="BV5" i="7"/>
  <c r="CT5" i="7"/>
  <c r="Z6" i="7"/>
  <c r="AX6" i="7"/>
  <c r="DR6" i="7"/>
  <c r="Z7" i="7"/>
  <c r="DT7" i="7"/>
  <c r="CT7" i="7"/>
  <c r="DR7" i="7"/>
  <c r="DT11" i="7"/>
  <c r="CT11" i="7"/>
  <c r="DR11" i="7"/>
  <c r="DT12" i="7"/>
  <c r="CT12" i="7"/>
  <c r="DR12" i="7"/>
  <c r="DT15" i="7"/>
  <c r="DS15" i="7"/>
  <c r="AX16" i="7"/>
  <c r="BV16" i="7"/>
  <c r="AX17" i="7"/>
  <c r="BV18" i="7"/>
  <c r="CT18" i="7"/>
  <c r="BV19" i="7"/>
  <c r="Z20" i="7"/>
  <c r="CT20" i="7"/>
  <c r="DR20" i="7"/>
  <c r="BV21" i="7"/>
  <c r="AX4" i="7"/>
  <c r="BV4" i="7"/>
  <c r="CR22" i="7"/>
  <c r="DT8" i="7"/>
  <c r="CT8" i="7"/>
  <c r="DR8" i="7"/>
  <c r="BV9" i="7"/>
  <c r="CT9" i="7"/>
  <c r="AX10" i="7"/>
  <c r="BV10" i="7"/>
  <c r="Z13" i="7"/>
  <c r="DT13" i="7"/>
  <c r="CT13" i="7"/>
  <c r="DR13" i="7"/>
  <c r="BV14" i="7"/>
  <c r="CT14" i="7"/>
  <c r="Z15" i="7"/>
  <c r="AX15" i="7"/>
  <c r="DR15" i="7"/>
  <c r="DS16" i="7"/>
  <c r="BV17" i="7"/>
  <c r="DT18" i="7"/>
  <c r="DS18" i="7"/>
  <c r="DS19" i="7"/>
  <c r="CT19" i="7"/>
  <c r="CT21" i="7"/>
  <c r="BV11" i="6"/>
  <c r="CT11" i="6"/>
  <c r="DS14" i="6"/>
  <c r="DR16" i="6"/>
  <c r="Z17" i="6"/>
  <c r="DR17" i="6"/>
  <c r="DS18" i="6"/>
  <c r="CT4" i="6"/>
  <c r="BT22" i="6"/>
  <c r="DS9" i="6"/>
  <c r="DS12" i="6"/>
  <c r="DT15" i="6"/>
  <c r="CT15" i="6"/>
  <c r="DS19" i="6"/>
  <c r="BV4" i="6"/>
  <c r="AV22" i="6"/>
  <c r="BV5" i="6"/>
  <c r="AX6" i="6"/>
  <c r="BV6" i="6"/>
  <c r="DT6" i="6"/>
  <c r="Z7" i="6"/>
  <c r="AX7" i="6"/>
  <c r="DR7" i="6"/>
  <c r="BV8" i="6"/>
  <c r="CT8" i="6"/>
  <c r="AX9" i="6"/>
  <c r="BV9" i="6"/>
  <c r="AX10" i="6"/>
  <c r="DR10" i="6"/>
  <c r="DT11" i="6"/>
  <c r="DS11" i="6"/>
  <c r="AX12" i="6"/>
  <c r="DR12" i="6"/>
  <c r="BV13" i="6"/>
  <c r="CT13" i="6"/>
  <c r="AX14" i="6"/>
  <c r="BV14" i="6"/>
  <c r="DT18" i="6"/>
  <c r="CT18" i="6"/>
  <c r="BV19" i="6"/>
  <c r="CT19" i="6"/>
  <c r="DT20" i="6"/>
  <c r="DS20" i="6"/>
  <c r="DS21" i="6"/>
  <c r="Z4" i="6"/>
  <c r="DR4" i="6"/>
  <c r="DT5" i="6"/>
  <c r="DR5" i="6"/>
  <c r="DP22" i="6"/>
  <c r="DT8" i="6"/>
  <c r="DR11" i="6"/>
  <c r="DT13" i="6"/>
  <c r="DS13" i="6"/>
  <c r="AX15" i="6"/>
  <c r="BV15" i="6"/>
  <c r="BV16" i="6"/>
  <c r="CT16" i="6"/>
  <c r="AX17" i="6"/>
  <c r="BV17" i="6"/>
  <c r="Z20" i="6"/>
  <c r="DR20" i="6"/>
  <c r="Z21" i="6"/>
  <c r="DR21" i="6"/>
  <c r="Z5" i="6"/>
  <c r="CT6" i="6"/>
  <c r="BV7" i="6"/>
  <c r="CT7" i="6"/>
  <c r="DR8" i="6"/>
  <c r="DT9" i="6"/>
  <c r="CT9" i="6"/>
  <c r="BV10" i="6"/>
  <c r="CT10" i="6"/>
  <c r="BV12" i="6"/>
  <c r="CT12" i="6"/>
  <c r="DR13" i="6"/>
  <c r="DR14" i="6"/>
  <c r="DS15" i="6"/>
  <c r="DT16" i="6"/>
  <c r="DS16" i="6"/>
  <c r="AX18" i="6"/>
  <c r="BV18" i="6"/>
  <c r="AX19" i="6"/>
  <c r="DR19" i="6"/>
  <c r="CT11" i="16"/>
  <c r="AX12" i="16"/>
  <c r="DS15" i="16"/>
  <c r="CT16" i="16"/>
  <c r="BV11" i="16"/>
  <c r="BV12" i="16"/>
  <c r="DS13" i="16"/>
  <c r="DS14" i="16"/>
  <c r="Z4" i="16"/>
  <c r="CT5" i="16"/>
  <c r="DR5" i="16"/>
  <c r="BV6" i="16"/>
  <c r="CT6" i="16"/>
  <c r="DS9" i="16"/>
  <c r="AX10" i="16"/>
  <c r="BV10" i="16"/>
  <c r="DS8" i="16"/>
  <c r="AX4" i="16"/>
  <c r="DT5" i="16"/>
  <c r="BV7" i="16"/>
  <c r="CT7" i="16"/>
  <c r="AX8" i="16"/>
  <c r="BV8" i="16"/>
  <c r="Z9" i="16"/>
  <c r="AX9" i="16"/>
  <c r="DT9" i="16"/>
  <c r="DR9" i="16"/>
  <c r="DS10" i="16"/>
  <c r="DS11" i="16"/>
  <c r="DR11" i="16"/>
  <c r="AX13" i="16"/>
  <c r="BV13" i="16"/>
  <c r="AX14" i="16"/>
  <c r="BV14" i="16"/>
  <c r="Z15" i="16"/>
  <c r="AX15" i="16"/>
  <c r="DT15" i="16"/>
  <c r="DR15" i="16"/>
  <c r="DS16" i="16"/>
  <c r="DR16" i="16"/>
  <c r="AX5" i="16"/>
  <c r="BV5" i="16"/>
  <c r="Z6" i="16"/>
  <c r="AX6" i="16"/>
  <c r="DT6" i="16"/>
  <c r="DR6" i="16"/>
  <c r="DT7" i="16"/>
  <c r="DR7" i="16"/>
  <c r="DT10" i="16"/>
  <c r="CT10" i="16"/>
  <c r="Z11" i="16"/>
  <c r="DT12" i="16"/>
  <c r="CT12" i="16"/>
  <c r="CT13" i="16"/>
  <c r="CT14" i="16"/>
  <c r="Z16" i="16"/>
  <c r="DT4" i="16"/>
  <c r="CT4" i="16"/>
  <c r="DR4" i="16"/>
  <c r="DS5" i="16"/>
  <c r="Z7" i="16"/>
  <c r="DT8" i="16"/>
  <c r="CT8" i="16"/>
  <c r="BV9" i="16"/>
  <c r="CT9" i="16"/>
  <c r="BV15" i="16"/>
  <c r="CT15" i="16"/>
  <c r="BV16" i="16"/>
  <c r="BT25" i="11"/>
  <c r="DW5" i="11"/>
  <c r="DV6" i="11"/>
  <c r="BV6" i="11"/>
  <c r="CT6" i="11"/>
  <c r="BV7" i="11"/>
  <c r="DV9" i="11"/>
  <c r="BV9" i="11"/>
  <c r="CT9" i="11"/>
  <c r="BV12" i="11"/>
  <c r="BV19" i="11"/>
  <c r="BV21" i="11"/>
  <c r="BV22" i="11"/>
  <c r="Z24" i="11"/>
  <c r="DP25" i="11"/>
  <c r="BV5" i="11"/>
  <c r="Z6" i="11"/>
  <c r="AX6" i="11"/>
  <c r="DW6" i="11"/>
  <c r="DR6" i="11"/>
  <c r="DR7" i="11"/>
  <c r="AX9" i="11"/>
  <c r="DR9" i="11"/>
  <c r="DW10" i="11"/>
  <c r="DR10" i="11"/>
  <c r="DV11" i="11"/>
  <c r="DV12" i="11"/>
  <c r="DR12" i="11"/>
  <c r="BV17" i="11"/>
  <c r="AX19" i="11"/>
  <c r="DR19" i="11"/>
  <c r="AX21" i="11"/>
  <c r="DR21" i="11"/>
  <c r="DV22" i="11"/>
  <c r="DR22" i="11"/>
  <c r="BV24" i="11"/>
  <c r="Z4" i="11"/>
  <c r="DW4" i="11"/>
  <c r="AV25" i="11"/>
  <c r="CT4" i="11"/>
  <c r="DR4" i="11"/>
  <c r="CT5" i="11"/>
  <c r="Z7" i="11"/>
  <c r="Z8" i="11"/>
  <c r="DW8" i="11"/>
  <c r="CT8" i="11"/>
  <c r="DR8" i="11"/>
  <c r="Z11" i="11"/>
  <c r="DW11" i="11"/>
  <c r="CT11" i="11"/>
  <c r="DR11" i="11"/>
  <c r="Z12" i="11"/>
  <c r="DW16" i="11"/>
  <c r="CT16" i="11"/>
  <c r="CT17" i="11"/>
  <c r="DW20" i="11"/>
  <c r="CT20" i="11"/>
  <c r="Z22" i="11"/>
  <c r="AX22" i="11"/>
  <c r="Z23" i="11"/>
  <c r="DW23" i="11"/>
  <c r="CT23" i="11"/>
  <c r="CT24" i="11"/>
  <c r="DW24" i="11"/>
  <c r="AV22" i="9"/>
  <c r="DV7" i="9"/>
  <c r="AX8" i="9"/>
  <c r="BV8" i="9"/>
  <c r="CT9" i="9"/>
  <c r="AX10" i="9"/>
  <c r="BV10" i="9"/>
  <c r="Z13" i="9"/>
  <c r="DW13" i="9"/>
  <c r="CT13" i="9"/>
  <c r="DR13" i="9"/>
  <c r="BV14" i="9"/>
  <c r="CT14" i="9"/>
  <c r="AX15" i="9"/>
  <c r="DR15" i="9"/>
  <c r="DV16" i="9"/>
  <c r="DW18" i="9"/>
  <c r="DV18" i="9"/>
  <c r="DV19" i="9"/>
  <c r="CT19" i="9"/>
  <c r="BV21" i="9"/>
  <c r="CT21" i="9"/>
  <c r="BV9" i="9"/>
  <c r="BT22" i="9"/>
  <c r="BV5" i="9"/>
  <c r="CT5" i="9"/>
  <c r="Z6" i="9"/>
  <c r="AX6" i="9"/>
  <c r="DR6" i="9"/>
  <c r="Z7" i="9"/>
  <c r="DW7" i="9"/>
  <c r="CT7" i="9"/>
  <c r="DR7" i="9"/>
  <c r="DW9" i="9"/>
  <c r="DV9" i="9"/>
  <c r="DV10" i="9"/>
  <c r="AX11" i="9"/>
  <c r="BV11" i="9"/>
  <c r="AX12" i="9"/>
  <c r="BV12" i="9"/>
  <c r="DW16" i="9"/>
  <c r="CT16" i="9"/>
  <c r="DR16" i="9"/>
  <c r="BV17" i="9"/>
  <c r="CT17" i="9"/>
  <c r="AX18" i="9"/>
  <c r="DR18" i="9"/>
  <c r="DW19" i="9"/>
  <c r="DR19" i="9"/>
  <c r="AX20" i="9"/>
  <c r="BV20" i="9"/>
  <c r="Z21" i="9"/>
  <c r="DR21" i="9"/>
  <c r="DR11" i="9"/>
  <c r="Z4" i="9"/>
  <c r="CT4" i="9"/>
  <c r="DR4" i="9"/>
  <c r="DW6" i="9"/>
  <c r="AX4" i="9"/>
  <c r="BV4" i="9"/>
  <c r="CR22" i="9"/>
  <c r="DW8" i="9"/>
  <c r="CT8" i="9"/>
  <c r="DR8" i="9"/>
  <c r="AX9" i="9"/>
  <c r="DR9" i="9"/>
  <c r="DW10" i="9"/>
  <c r="CT10" i="9"/>
  <c r="DR10" i="9"/>
  <c r="DV12" i="9"/>
  <c r="AX13" i="9"/>
  <c r="BV13" i="9"/>
  <c r="AX14" i="9"/>
  <c r="DR14" i="9"/>
  <c r="BV15" i="9"/>
  <c r="CT15" i="9"/>
  <c r="DV20" i="9"/>
  <c r="AX21" i="9"/>
  <c r="DW21" i="9"/>
  <c r="CT5" i="14"/>
  <c r="CT17" i="14"/>
  <c r="Z4" i="14"/>
  <c r="DR4" i="14"/>
  <c r="AX9" i="14"/>
  <c r="Z6" i="14"/>
  <c r="BV10" i="14"/>
  <c r="Z11" i="14"/>
  <c r="AX4" i="14"/>
  <c r="Z5" i="14"/>
  <c r="DR5" i="14"/>
  <c r="AX6" i="14"/>
  <c r="Z7" i="14"/>
  <c r="AX8" i="14"/>
  <c r="BV9" i="14"/>
  <c r="Z15" i="14"/>
  <c r="Z17" i="14"/>
  <c r="DR17" i="14"/>
  <c r="BV4" i="14"/>
  <c r="AX17" i="14"/>
  <c r="AX5" i="14"/>
  <c r="BV6" i="14"/>
  <c r="AX7" i="14"/>
  <c r="BV8" i="14"/>
  <c r="BV11" i="14"/>
  <c r="Z12" i="14"/>
  <c r="CT4" i="14"/>
  <c r="BV5" i="14"/>
  <c r="BV7" i="14"/>
  <c r="Z9" i="14"/>
  <c r="AX10" i="14"/>
  <c r="Z14" i="14"/>
  <c r="BV17" i="14"/>
  <c r="DV10" i="11"/>
  <c r="Z16" i="11"/>
  <c r="Z20" i="11"/>
  <c r="Z9" i="11"/>
  <c r="DW9" i="11"/>
  <c r="Z10" i="11"/>
  <c r="Z19" i="11"/>
  <c r="DW19" i="11"/>
  <c r="Z21" i="11"/>
  <c r="DW21" i="11"/>
  <c r="DW17" i="11"/>
  <c r="DS10" i="13"/>
  <c r="Z8" i="13"/>
  <c r="Z10" i="13"/>
  <c r="Z11" i="13"/>
  <c r="Z12" i="13"/>
  <c r="DT14" i="13"/>
  <c r="DT18" i="13"/>
  <c r="Z18" i="13"/>
  <c r="Z9" i="13"/>
  <c r="DT9" i="13"/>
  <c r="Z15" i="13"/>
  <c r="DT15" i="13"/>
  <c r="DT17" i="13"/>
  <c r="Z14" i="10"/>
  <c r="Z17" i="10"/>
  <c r="Z8" i="10"/>
  <c r="Z9" i="10"/>
  <c r="Z11" i="10"/>
  <c r="Z13" i="10"/>
  <c r="Z15" i="10"/>
  <c r="Z16" i="10"/>
  <c r="Z18" i="10"/>
  <c r="Z16" i="9"/>
  <c r="Z19" i="9"/>
  <c r="Z8" i="9"/>
  <c r="Z10" i="9"/>
  <c r="Z14" i="9"/>
  <c r="DW14" i="9"/>
  <c r="Z18" i="9"/>
  <c r="Z9" i="9"/>
  <c r="Z15" i="9"/>
  <c r="Z17" i="9"/>
  <c r="DW17" i="9"/>
  <c r="Z10" i="8"/>
  <c r="Z11" i="8"/>
  <c r="Z14" i="8"/>
  <c r="Z16" i="8"/>
  <c r="Z18" i="8"/>
  <c r="Z8" i="8"/>
  <c r="Z9" i="8"/>
  <c r="Z13" i="8"/>
  <c r="Z15" i="8"/>
  <c r="Z17" i="8"/>
  <c r="Z16" i="7"/>
  <c r="Z19" i="7"/>
  <c r="Z8" i="7"/>
  <c r="Z10" i="7"/>
  <c r="Z11" i="7"/>
  <c r="Z12" i="7"/>
  <c r="Z14" i="7"/>
  <c r="DT14" i="7"/>
  <c r="Z18" i="7"/>
  <c r="Z9" i="7"/>
  <c r="DT17" i="7"/>
  <c r="Z14" i="6"/>
  <c r="Z8" i="6"/>
  <c r="Z10" i="6"/>
  <c r="Z13" i="6"/>
  <c r="Z11" i="6"/>
  <c r="Z12" i="6"/>
  <c r="Z16" i="6"/>
  <c r="Z19" i="6"/>
  <c r="Z8" i="16"/>
  <c r="Z10" i="16"/>
  <c r="Z12" i="16"/>
  <c r="DT13" i="16"/>
  <c r="DT14" i="16"/>
  <c r="Z13" i="14"/>
  <c r="Z16" i="14"/>
  <c r="Z10" i="14"/>
  <c r="Z8" i="14"/>
  <c r="Z5" i="16"/>
  <c r="AX7" i="16"/>
  <c r="AX11" i="16"/>
  <c r="Z13" i="16"/>
  <c r="Z14" i="16"/>
  <c r="AX16" i="16"/>
  <c r="DS4" i="16"/>
  <c r="DR8" i="16"/>
  <c r="DR10" i="16"/>
  <c r="DR12" i="16"/>
  <c r="BV4" i="16"/>
  <c r="DT11" i="16"/>
  <c r="DS12" i="16"/>
  <c r="DR13" i="16"/>
  <c r="DR14" i="16"/>
  <c r="DT16" i="16"/>
  <c r="DS6" i="13"/>
  <c r="DS4" i="13"/>
  <c r="DR5" i="11"/>
  <c r="DW7" i="11"/>
  <c r="X25" i="11"/>
  <c r="DV4" i="11"/>
  <c r="AX12" i="11"/>
  <c r="Z17" i="11"/>
  <c r="Z5" i="11"/>
  <c r="AX7" i="11"/>
  <c r="AX10" i="11"/>
  <c r="DR16" i="11"/>
  <c r="DR20" i="11"/>
  <c r="DR23" i="11"/>
  <c r="DW12" i="11"/>
  <c r="DV16" i="11"/>
  <c r="BV16" i="11"/>
  <c r="DR17" i="11"/>
  <c r="CT19" i="11"/>
  <c r="DV20" i="11"/>
  <c r="BV20" i="11"/>
  <c r="CT21" i="11"/>
  <c r="DW22" i="11"/>
  <c r="DV23" i="11"/>
  <c r="BV23" i="11"/>
  <c r="DR24" i="11"/>
  <c r="DS4" i="10"/>
  <c r="DV4" i="9"/>
  <c r="DS4" i="8"/>
  <c r="DS4" i="7"/>
  <c r="X22" i="6"/>
  <c r="AX4" i="6"/>
  <c r="Z6" i="6"/>
  <c r="AX11" i="6"/>
  <c r="AX13" i="6"/>
  <c r="Z18" i="6"/>
  <c r="AX20" i="6"/>
  <c r="CT5" i="6"/>
  <c r="DT7" i="6"/>
  <c r="DT10" i="6"/>
  <c r="DT12" i="6"/>
  <c r="DT19" i="6"/>
  <c r="AX8" i="6"/>
  <c r="Z9" i="6"/>
  <c r="Z15" i="6"/>
  <c r="AX16" i="6"/>
  <c r="DT4" i="6"/>
  <c r="CR22" i="6"/>
  <c r="DS4" i="6"/>
  <c r="DS5" i="6"/>
  <c r="AX5" i="6"/>
  <c r="DR6" i="6"/>
  <c r="DR9" i="6"/>
  <c r="DT14" i="6"/>
  <c r="CT14" i="6"/>
  <c r="DR15" i="6"/>
  <c r="DT17" i="6"/>
  <c r="CT17" i="6"/>
  <c r="DR18" i="6"/>
  <c r="DT21" i="6"/>
  <c r="CT21" i="6"/>
  <c r="Z21" i="4"/>
  <c r="BV21" i="4"/>
  <c r="CT21" i="4"/>
  <c r="DR22" i="4"/>
  <c r="DS20" i="4"/>
  <c r="DT20" i="4"/>
  <c r="BV20" i="4"/>
  <c r="CT20" i="4"/>
  <c r="DR20" i="4"/>
  <c r="DR21" i="4"/>
  <c r="DT21" i="4"/>
  <c r="DS21" i="4"/>
  <c r="DS22" i="4"/>
  <c r="DT22" i="4"/>
  <c r="DT10" i="4"/>
  <c r="DS11" i="4"/>
  <c r="DS13" i="4"/>
  <c r="DS8" i="4"/>
  <c r="AX8" i="4"/>
  <c r="DS19" i="4"/>
  <c r="DS6" i="4"/>
  <c r="DS9" i="4"/>
  <c r="DS17" i="4"/>
  <c r="BV17" i="4"/>
  <c r="DS18" i="4"/>
  <c r="AX6" i="4"/>
  <c r="DS7" i="4"/>
  <c r="BV7" i="4"/>
  <c r="DS12" i="4"/>
  <c r="BV12" i="4"/>
  <c r="DT17" i="4"/>
  <c r="AX25" i="4"/>
  <c r="DT4" i="4"/>
  <c r="AV26" i="4"/>
  <c r="DR4" i="4"/>
  <c r="DS5" i="4"/>
  <c r="DT7" i="4"/>
  <c r="AX11" i="4"/>
  <c r="DT12" i="4"/>
  <c r="AX19" i="4"/>
  <c r="DS23" i="4"/>
  <c r="BV23" i="4"/>
  <c r="Z4" i="4"/>
  <c r="DT5" i="4"/>
  <c r="AX9" i="4"/>
  <c r="DS10" i="4"/>
  <c r="BV10" i="4"/>
  <c r="AX18" i="4"/>
  <c r="DT23" i="4"/>
  <c r="DS25" i="4"/>
  <c r="CT7" i="4"/>
  <c r="BV9" i="4"/>
  <c r="CT10" i="4"/>
  <c r="BV11" i="4"/>
  <c r="CT12" i="4"/>
  <c r="CT17" i="4"/>
  <c r="BV18" i="4"/>
  <c r="BV19" i="4"/>
  <c r="BV25" i="4"/>
  <c r="AX4" i="4"/>
  <c r="BV8" i="4"/>
  <c r="BV4" i="4"/>
  <c r="CR26" i="4"/>
  <c r="Z5" i="4"/>
  <c r="DR5" i="4"/>
  <c r="CT6" i="4"/>
  <c r="Z7" i="4"/>
  <c r="DR7" i="4"/>
  <c r="CT8" i="4"/>
  <c r="CT9" i="4"/>
  <c r="Z10" i="4"/>
  <c r="DR10" i="4"/>
  <c r="CT11" i="4"/>
  <c r="Z12" i="4"/>
  <c r="DR12" i="4"/>
  <c r="CT13" i="4"/>
  <c r="DR17" i="4"/>
  <c r="CT18" i="4"/>
  <c r="CT19" i="4"/>
  <c r="Z23" i="4"/>
  <c r="DR23" i="4"/>
  <c r="CT4" i="4"/>
  <c r="DT6" i="4"/>
  <c r="AX7" i="4"/>
  <c r="Z8" i="4"/>
  <c r="DT8" i="4"/>
  <c r="DR8" i="4"/>
  <c r="Z9" i="4"/>
  <c r="DT9" i="4"/>
  <c r="DR9" i="4"/>
  <c r="AX10" i="4"/>
  <c r="Z11" i="4"/>
  <c r="DT11" i="4"/>
  <c r="DR11" i="4"/>
  <c r="AX12" i="4"/>
  <c r="Z13" i="4"/>
  <c r="DT13" i="4"/>
  <c r="AX17" i="4"/>
  <c r="Z18" i="4"/>
  <c r="DT18" i="4"/>
  <c r="DR18" i="4"/>
  <c r="Z19" i="4"/>
  <c r="DT19" i="4"/>
  <c r="DR19" i="4"/>
  <c r="AX23" i="4"/>
  <c r="Z25" i="4"/>
  <c r="DT25" i="4"/>
  <c r="DR25" i="4"/>
  <c r="BV6" i="4"/>
  <c r="Z6" i="4"/>
  <c r="DR6" i="4"/>
  <c r="CT5" i="4"/>
  <c r="AX5" i="4"/>
  <c r="BV5" i="4"/>
  <c r="X26" i="4"/>
  <c r="BT26" i="4"/>
  <c r="DP26" i="4"/>
  <c r="DS4" i="4"/>
  <c r="CT23" i="16" l="1"/>
  <c r="DS23" i="16"/>
  <c r="DT23" i="16"/>
  <c r="AX23" i="16"/>
  <c r="Z23" i="16"/>
  <c r="BV23" i="16"/>
  <c r="DR23" i="16"/>
  <c r="DX17" i="11"/>
  <c r="DU10" i="13"/>
  <c r="DU14" i="10"/>
  <c r="DX19" i="9"/>
  <c r="DU8" i="7"/>
  <c r="DU19" i="13"/>
  <c r="DU16" i="13"/>
  <c r="DU6" i="13"/>
  <c r="DU10" i="10"/>
  <c r="DU21" i="10"/>
  <c r="DU7" i="10"/>
  <c r="DU19" i="10"/>
  <c r="DX9" i="9"/>
  <c r="DU15" i="8"/>
  <c r="DR22" i="8"/>
  <c r="DU8" i="8"/>
  <c r="DU4" i="8"/>
  <c r="DU16" i="8"/>
  <c r="DU21" i="7"/>
  <c r="DU7" i="7"/>
  <c r="DU6" i="7"/>
  <c r="DU5" i="7"/>
  <c r="DU19" i="7"/>
  <c r="DU10" i="16"/>
  <c r="DU22" i="4"/>
  <c r="DX23" i="11"/>
  <c r="DX9" i="11"/>
  <c r="DX16" i="11"/>
  <c r="DX5" i="11"/>
  <c r="DX12" i="11"/>
  <c r="DX6" i="11"/>
  <c r="DX8" i="11"/>
  <c r="DX4" i="11"/>
  <c r="DX19" i="11"/>
  <c r="DU8" i="13"/>
  <c r="DU21" i="13"/>
  <c r="DU4" i="13"/>
  <c r="DT22" i="13"/>
  <c r="DU5" i="13"/>
  <c r="AX22" i="13"/>
  <c r="DU15" i="13"/>
  <c r="DU12" i="13"/>
  <c r="BV22" i="13"/>
  <c r="DU13" i="13"/>
  <c r="DU7" i="13"/>
  <c r="DU17" i="13"/>
  <c r="DU14" i="13"/>
  <c r="DU11" i="13"/>
  <c r="CT22" i="13"/>
  <c r="DR22" i="13"/>
  <c r="DU18" i="13"/>
  <c r="DU9" i="13"/>
  <c r="DU20" i="13"/>
  <c r="DU4" i="10"/>
  <c r="BV22" i="10"/>
  <c r="DU17" i="10"/>
  <c r="DU5" i="10"/>
  <c r="DU18" i="10"/>
  <c r="DU16" i="10"/>
  <c r="CT22" i="10"/>
  <c r="AX22" i="10"/>
  <c r="DU15" i="10"/>
  <c r="DU9" i="10"/>
  <c r="DU6" i="10"/>
  <c r="DU13" i="10"/>
  <c r="DU8" i="10"/>
  <c r="DT22" i="10"/>
  <c r="DR22" i="10"/>
  <c r="DS22" i="10"/>
  <c r="DU20" i="10"/>
  <c r="DU11" i="10"/>
  <c r="DU12" i="10"/>
  <c r="DX17" i="9"/>
  <c r="DX13" i="9"/>
  <c r="DX20" i="9"/>
  <c r="DX5" i="9"/>
  <c r="DX4" i="9"/>
  <c r="DT22" i="9"/>
  <c r="DX15" i="9"/>
  <c r="DX21" i="9"/>
  <c r="DX12" i="9"/>
  <c r="DX8" i="9"/>
  <c r="AX22" i="9"/>
  <c r="DX10" i="9"/>
  <c r="DX18" i="9"/>
  <c r="DX16" i="9"/>
  <c r="DX11" i="9"/>
  <c r="DX6" i="9"/>
  <c r="BV22" i="9"/>
  <c r="DX7" i="9"/>
  <c r="Z22" i="9"/>
  <c r="DU17" i="8"/>
  <c r="DU10" i="8"/>
  <c r="DU21" i="8"/>
  <c r="DU19" i="8"/>
  <c r="DU7" i="8"/>
  <c r="DU6" i="8"/>
  <c r="DU18" i="8"/>
  <c r="DU13" i="8"/>
  <c r="DU11" i="8"/>
  <c r="DT22" i="8"/>
  <c r="AX22" i="8"/>
  <c r="CT22" i="8"/>
  <c r="BV22" i="8"/>
  <c r="DU12" i="8"/>
  <c r="DU14" i="8"/>
  <c r="DU5" i="8"/>
  <c r="DS22" i="8"/>
  <c r="DU20" i="8"/>
  <c r="DU11" i="7"/>
  <c r="DU4" i="7"/>
  <c r="DU14" i="7"/>
  <c r="DU16" i="7"/>
  <c r="DT22" i="7"/>
  <c r="AX22" i="7"/>
  <c r="DU18" i="7"/>
  <c r="DU12" i="7"/>
  <c r="BV22" i="7"/>
  <c r="DU17" i="7"/>
  <c r="DU13" i="7"/>
  <c r="CT22" i="7"/>
  <c r="DS22" i="7"/>
  <c r="DU15" i="7"/>
  <c r="DU20" i="7"/>
  <c r="DU9" i="7"/>
  <c r="Z22" i="7"/>
  <c r="DU10" i="7"/>
  <c r="DR22" i="7"/>
  <c r="DU10" i="6"/>
  <c r="DU8" i="6"/>
  <c r="DU7" i="6"/>
  <c r="DU12" i="6"/>
  <c r="DU20" i="6"/>
  <c r="DU17" i="6"/>
  <c r="DU21" i="6"/>
  <c r="DS22" i="6"/>
  <c r="DU11" i="6"/>
  <c r="DR22" i="6"/>
  <c r="DU19" i="6"/>
  <c r="DU5" i="6"/>
  <c r="DU6" i="6"/>
  <c r="DU13" i="6"/>
  <c r="DU12" i="16"/>
  <c r="DU9" i="16"/>
  <c r="DU16" i="16"/>
  <c r="DU11" i="16"/>
  <c r="DU5" i="16"/>
  <c r="DU8" i="16"/>
  <c r="DU6" i="16"/>
  <c r="DU15" i="16"/>
  <c r="AX25" i="11"/>
  <c r="DX22" i="11"/>
  <c r="DX20" i="11"/>
  <c r="DX24" i="11"/>
  <c r="DX10" i="11"/>
  <c r="BV25" i="11"/>
  <c r="DR25" i="11"/>
  <c r="DX11" i="11"/>
  <c r="DR22" i="9"/>
  <c r="DX14" i="9"/>
  <c r="CT22" i="9"/>
  <c r="DS22" i="9"/>
  <c r="DX21" i="11"/>
  <c r="DT25" i="11"/>
  <c r="Z22" i="13"/>
  <c r="Z22" i="10"/>
  <c r="Z22" i="8"/>
  <c r="DU9" i="8"/>
  <c r="DU14" i="6"/>
  <c r="DU16" i="6"/>
  <c r="DU13" i="16"/>
  <c r="DU7" i="16"/>
  <c r="DU14" i="16"/>
  <c r="DU4" i="16"/>
  <c r="DS22" i="13"/>
  <c r="CT25" i="11"/>
  <c r="DS25" i="11"/>
  <c r="DX7" i="11"/>
  <c r="Z25" i="11"/>
  <c r="CT22" i="6"/>
  <c r="DU15" i="6"/>
  <c r="DU18" i="6"/>
  <c r="BV22" i="6"/>
  <c r="DT22" i="6"/>
  <c r="Z22" i="6"/>
  <c r="AX22" i="6"/>
  <c r="DU9" i="6"/>
  <c r="DU4" i="6"/>
  <c r="DU21" i="4"/>
  <c r="DU20" i="4"/>
  <c r="DT26" i="4"/>
  <c r="DU4" i="4"/>
  <c r="DR26" i="4"/>
  <c r="Z26" i="4"/>
  <c r="DS26" i="4"/>
  <c r="DU25" i="4"/>
  <c r="DU19" i="4"/>
  <c r="DU13" i="4"/>
  <c r="DU11" i="4"/>
  <c r="DU8" i="4"/>
  <c r="DU23" i="4"/>
  <c r="DU18" i="4"/>
  <c r="DU9" i="4"/>
  <c r="DU12" i="4"/>
  <c r="DU7" i="4"/>
  <c r="AX26" i="4"/>
  <c r="DU17" i="4"/>
  <c r="BV26" i="4"/>
  <c r="CT26" i="4"/>
  <c r="DU10" i="4"/>
  <c r="DU6" i="4"/>
  <c r="DU5" i="4"/>
  <c r="DU23" i="16" l="1"/>
  <c r="DU22" i="13"/>
  <c r="DU22" i="8"/>
  <c r="DU22" i="10"/>
  <c r="DU22" i="9"/>
  <c r="DU22" i="7"/>
  <c r="DU25" i="11"/>
  <c r="DU22" i="6"/>
  <c r="DU26" i="4"/>
</calcChain>
</file>

<file path=xl/sharedStrings.xml><?xml version="1.0" encoding="utf-8"?>
<sst xmlns="http://schemas.openxmlformats.org/spreadsheetml/2006/main" count="2371" uniqueCount="74">
  <si>
    <t>VALOR</t>
  </si>
  <si>
    <t>TOTAL</t>
  </si>
  <si>
    <t>ADELANTO + HS. EXTRAS</t>
  </si>
  <si>
    <t>HORA</t>
  </si>
  <si>
    <t>MARTES</t>
  </si>
  <si>
    <t>MIERCOLES</t>
  </si>
  <si>
    <t>JUEVES</t>
  </si>
  <si>
    <t>VIERNES</t>
  </si>
  <si>
    <t>SABADO</t>
  </si>
  <si>
    <t>SEMANA 1</t>
  </si>
  <si>
    <t>DOMINGO</t>
  </si>
  <si>
    <t>LUNES</t>
  </si>
  <si>
    <t>SEMANA 2</t>
  </si>
  <si>
    <t>SEMANA 3</t>
  </si>
  <si>
    <t>SEMANA 4</t>
  </si>
  <si>
    <t>SEMANA 5</t>
  </si>
  <si>
    <t>MENSUAL</t>
  </si>
  <si>
    <t>EMPLEADOS</t>
  </si>
  <si>
    <t>EXTRA</t>
  </si>
  <si>
    <t>ADELANTO</t>
  </si>
  <si>
    <t>HS</t>
  </si>
  <si>
    <t>EXTRAS</t>
  </si>
  <si>
    <t>LUCIANO GUZMAN</t>
  </si>
  <si>
    <t>IVAN TRILLO</t>
  </si>
  <si>
    <t>ALAN TORRES</t>
  </si>
  <si>
    <t>MAXIMILIANO LEYRIA</t>
  </si>
  <si>
    <t>AGUSTIN CEJAS</t>
  </si>
  <si>
    <t>SEBASTIAN LOYOLA</t>
  </si>
  <si>
    <t>RENZO NICOLAS ANDRADA</t>
  </si>
  <si>
    <t>LEONARDO SANDIVARES (FLACO)</t>
  </si>
  <si>
    <t>FACUNDO OVIEDO</t>
  </si>
  <si>
    <t>LEONARDO GODOY</t>
  </si>
  <si>
    <t>ROXANA NIETO</t>
  </si>
  <si>
    <t>DANIEL MOLLAR</t>
  </si>
  <si>
    <t>CAROLINA (limpieza)</t>
  </si>
  <si>
    <t>JUAN JOSE GARCIA  (C. Paz)</t>
  </si>
  <si>
    <t>ENZO MALDONADO</t>
  </si>
  <si>
    <t>SÁBADO</t>
  </si>
  <si>
    <t>MAXIMILIANO FLORES</t>
  </si>
  <si>
    <t>SOTO CONTRERAS, LUCA SAMIR</t>
  </si>
  <si>
    <t>NICOLAS EZEQUIEL PONCE</t>
  </si>
  <si>
    <t>MAYO 2025</t>
  </si>
  <si>
    <t>JUNIO 2025</t>
  </si>
  <si>
    <t>JULIO 2025</t>
  </si>
  <si>
    <t>AGOSTO 2025</t>
  </si>
  <si>
    <t>OCTUBRE 2025</t>
  </si>
  <si>
    <t>NOVIEMBRE 2025</t>
  </si>
  <si>
    <t>DICIEMBRE 2025</t>
  </si>
  <si>
    <t>LAUTARO MONSERRAT</t>
  </si>
  <si>
    <t xml:space="preserve"> </t>
  </si>
  <si>
    <t xml:space="preserve">  </t>
  </si>
  <si>
    <t>Caro prestamo $30.000</t>
  </si>
  <si>
    <t>GONZALEZ, GABRIEL</t>
  </si>
  <si>
    <t xml:space="preserve">                                                                                                                                                                                                            </t>
  </si>
  <si>
    <t>SEPTIEMBRE 2025</t>
  </si>
  <si>
    <t>MARTIN BUSTOS</t>
  </si>
  <si>
    <t>JUAN CRUZ, LOZA</t>
  </si>
  <si>
    <t>LAUTARO, CHARRA SANCHEZ</t>
  </si>
  <si>
    <t>LAUTARO CHARRAS SANCHEZ</t>
  </si>
  <si>
    <t>DIEGO MALDONADO</t>
  </si>
  <si>
    <t>BRYAN OLIVA</t>
  </si>
  <si>
    <t xml:space="preserve">AGUSTIN </t>
  </si>
  <si>
    <t>ENERO 2026</t>
  </si>
  <si>
    <t>ANGEL MOYANO</t>
  </si>
  <si>
    <t>BRIAN OLIVA</t>
  </si>
  <si>
    <t>FRANCO ALBORNOZ</t>
  </si>
  <si>
    <t>FABRICIO WAYAR</t>
  </si>
  <si>
    <t>FEBRERO 2026</t>
  </si>
  <si>
    <t>PABLO WEISS</t>
  </si>
  <si>
    <t>JUAN MARTIN CHAVES</t>
  </si>
  <si>
    <t>JUAN M. CHAVES</t>
  </si>
  <si>
    <t>NICOLAS EZEQUIEL PONCE (C. Paz)</t>
  </si>
  <si>
    <t>MARZO 2026</t>
  </si>
  <si>
    <t>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</si>
</sst>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€&quot;_-;\-* #,##0.00\ &quot;€&quot;_-;_-* &quot;-&quot;??\ &quot;€&quot;_-;_-@_-"/>
    <numFmt numFmtId="165" formatCode="_-[$$-2C0A]\ * #,##0_-;\-[$$-2C0A]\ * #,##0_-;_-[$$-2C0A]\ * &quot;-&quot;??_-;_-@_-"/>
    <numFmt numFmtId="166" formatCode="0.0"/>
    <numFmt numFmtId="167" formatCode="&quot;$&quot;\ #,##0.00"/>
    <numFmt numFmtId="168" formatCode="&quot;$&quot;\ 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0">
    <xf numFmtId="0" fontId="0" fillId="0" borderId="0" xfId="0"/>
    <xf numFmtId="165" fontId="3" fillId="4" borderId="17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center" vertical="center"/>
    </xf>
    <xf numFmtId="165" fontId="3" fillId="4" borderId="3" xfId="0" applyNumberFormat="1" applyFont="1" applyFill="1" applyBorder="1" applyAlignment="1" applyProtection="1">
      <alignment horizontal="center" vertical="center"/>
    </xf>
    <xf numFmtId="49" fontId="7" fillId="2" borderId="26" xfId="0" applyNumberFormat="1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6" fillId="2" borderId="36" xfId="0" applyNumberFormat="1" applyFont="1" applyFill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1" fontId="8" fillId="4" borderId="14" xfId="0" applyNumberFormat="1" applyFont="1" applyFill="1" applyBorder="1" applyAlignment="1" applyProtection="1">
      <alignment horizontal="center" vertical="center"/>
      <protection locked="0"/>
    </xf>
    <xf numFmtId="0" fontId="8" fillId="4" borderId="14" xfId="0" applyFont="1" applyFill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4" borderId="24" xfId="0" applyFont="1" applyFill="1" applyBorder="1" applyAlignment="1" applyProtection="1">
      <alignment horizontal="center" vertical="center"/>
      <protection locked="0"/>
    </xf>
    <xf numFmtId="1" fontId="8" fillId="4" borderId="22" xfId="0" applyNumberFormat="1" applyFont="1" applyFill="1" applyBorder="1" applyAlignment="1" applyProtection="1">
      <alignment horizontal="center" vertical="center"/>
      <protection locked="0"/>
    </xf>
    <xf numFmtId="0" fontId="8" fillId="7" borderId="23" xfId="0" applyFont="1" applyFill="1" applyBorder="1" applyAlignment="1" applyProtection="1">
      <alignment horizontal="center" vertical="center"/>
      <protection locked="0"/>
    </xf>
    <xf numFmtId="1" fontId="8" fillId="7" borderId="22" xfId="0" applyNumberFormat="1" applyFont="1" applyFill="1" applyBorder="1" applyAlignment="1" applyProtection="1">
      <alignment horizontal="center" vertical="center"/>
      <protection locked="0"/>
    </xf>
    <xf numFmtId="0" fontId="8" fillId="7" borderId="24" xfId="0" applyFont="1" applyFill="1" applyBorder="1" applyAlignment="1" applyProtection="1">
      <alignment horizontal="center" vertical="center"/>
      <protection locked="0"/>
    </xf>
    <xf numFmtId="0" fontId="9" fillId="0" borderId="0" xfId="0" applyFont="1" applyProtection="1">
      <protection locked="0"/>
    </xf>
    <xf numFmtId="0" fontId="3" fillId="0" borderId="8" xfId="0" applyFont="1" applyFill="1" applyBorder="1" applyAlignment="1" applyProtection="1">
      <alignment horizontal="left" vertical="center"/>
      <protection locked="0"/>
    </xf>
    <xf numFmtId="165" fontId="3" fillId="10" borderId="8" xfId="1" applyNumberFormat="1" applyFont="1" applyFill="1" applyBorder="1" applyAlignment="1" applyProtection="1">
      <alignment horizontal="center" vertical="center"/>
      <protection locked="0"/>
    </xf>
    <xf numFmtId="165" fontId="3" fillId="0" borderId="19" xfId="0" applyNumberFormat="1" applyFont="1" applyFill="1" applyBorder="1" applyAlignment="1" applyProtection="1">
      <alignment horizontal="center" vertical="center"/>
      <protection locked="0"/>
    </xf>
    <xf numFmtId="1" fontId="3" fillId="4" borderId="17" xfId="0" applyNumberFormat="1" applyFont="1" applyFill="1" applyBorder="1" applyAlignment="1" applyProtection="1">
      <alignment horizontal="center" vertical="center"/>
      <protection locked="0"/>
    </xf>
    <xf numFmtId="165" fontId="3" fillId="0" borderId="17" xfId="0" applyNumberFormat="1" applyFont="1" applyFill="1" applyBorder="1" applyAlignment="1" applyProtection="1">
      <alignment horizontal="center" vertical="center"/>
      <protection locked="0"/>
    </xf>
    <xf numFmtId="165" fontId="3" fillId="2" borderId="17" xfId="0" applyNumberFormat="1" applyFont="1" applyFill="1" applyBorder="1" applyAlignment="1" applyProtection="1">
      <alignment horizontal="center" vertical="center"/>
      <protection locked="0"/>
    </xf>
    <xf numFmtId="165" fontId="3" fillId="0" borderId="17" xfId="0" applyNumberFormat="1" applyFont="1" applyBorder="1" applyAlignment="1" applyProtection="1">
      <alignment horizontal="center" vertical="center"/>
      <protection locked="0"/>
    </xf>
    <xf numFmtId="165" fontId="3" fillId="0" borderId="5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10" xfId="0" applyFont="1" applyFill="1" applyBorder="1" applyAlignment="1" applyProtection="1">
      <alignment horizontal="left" vertical="center"/>
      <protection locked="0"/>
    </xf>
    <xf numFmtId="165" fontId="3" fillId="10" borderId="10" xfId="1" applyNumberFormat="1" applyFont="1" applyFill="1" applyBorder="1" applyAlignment="1" applyProtection="1">
      <alignment horizontal="center" vertical="center"/>
      <protection locked="0"/>
    </xf>
    <xf numFmtId="165" fontId="3" fillId="0" borderId="20" xfId="0" applyNumberFormat="1" applyFont="1" applyFill="1" applyBorder="1" applyAlignment="1" applyProtection="1">
      <alignment horizontal="center" vertical="center"/>
      <protection locked="0"/>
    </xf>
    <xf numFmtId="1" fontId="3" fillId="4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2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165" fontId="3" fillId="0" borderId="20" xfId="0" applyNumberFormat="1" applyFont="1" applyBorder="1" applyAlignment="1" applyProtection="1">
      <alignment horizontal="center" vertical="center"/>
      <protection locked="0"/>
    </xf>
    <xf numFmtId="165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9" xfId="0" applyFont="1" applyFill="1" applyBorder="1" applyAlignment="1" applyProtection="1">
      <alignment horizontal="left" vertical="center"/>
      <protection locked="0"/>
    </xf>
    <xf numFmtId="165" fontId="3" fillId="10" borderId="9" xfId="1" applyNumberFormat="1" applyFont="1" applyFill="1" applyBorder="1" applyAlignment="1" applyProtection="1">
      <alignment horizontal="center" vertical="center"/>
      <protection locked="0"/>
    </xf>
    <xf numFmtId="165" fontId="3" fillId="0" borderId="21" xfId="0" applyNumberFormat="1" applyFont="1" applyFill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 vertical="center"/>
      <protection locked="0"/>
    </xf>
    <xf numFmtId="165" fontId="3" fillId="0" borderId="3" xfId="0" applyNumberFormat="1" applyFont="1" applyFill="1" applyBorder="1" applyAlignment="1" applyProtection="1">
      <alignment horizontal="center" vertical="center"/>
      <protection locked="0"/>
    </xf>
    <xf numFmtId="165" fontId="3" fillId="0" borderId="3" xfId="0" applyNumberFormat="1" applyFont="1" applyBorder="1" applyAlignment="1" applyProtection="1">
      <alignment horizontal="center" vertical="center"/>
      <protection locked="0"/>
    </xf>
    <xf numFmtId="165" fontId="3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Font="1" applyProtection="1">
      <protection locked="0"/>
    </xf>
    <xf numFmtId="165" fontId="0" fillId="0" borderId="0" xfId="0" applyNumberFormat="1" applyProtection="1">
      <protection locked="0"/>
    </xf>
    <xf numFmtId="0" fontId="2" fillId="0" borderId="0" xfId="0" applyFont="1" applyProtection="1">
      <protection locked="0"/>
    </xf>
    <xf numFmtId="1" fontId="0" fillId="0" borderId="0" xfId="0" applyNumberFormat="1" applyProtection="1">
      <protection locked="0"/>
    </xf>
    <xf numFmtId="165" fontId="3" fillId="4" borderId="18" xfId="0" applyNumberFormat="1" applyFont="1" applyFill="1" applyBorder="1" applyAlignment="1" applyProtection="1">
      <alignment horizontal="center" vertical="center"/>
    </xf>
    <xf numFmtId="165" fontId="4" fillId="7" borderId="19" xfId="0" applyNumberFormat="1" applyFont="1" applyFill="1" applyBorder="1" applyAlignment="1" applyProtection="1">
      <alignment horizontal="center" vertical="center"/>
    </xf>
    <xf numFmtId="1" fontId="4" fillId="7" borderId="17" xfId="0" applyNumberFormat="1" applyFont="1" applyFill="1" applyBorder="1" applyAlignment="1" applyProtection="1">
      <alignment horizontal="center" vertical="center"/>
    </xf>
    <xf numFmtId="165" fontId="4" fillId="7" borderId="18" xfId="0" applyNumberFormat="1" applyFont="1" applyFill="1" applyBorder="1" applyAlignment="1" applyProtection="1">
      <alignment horizontal="center" vertical="center"/>
    </xf>
    <xf numFmtId="165" fontId="3" fillId="4" borderId="2" xfId="0" applyNumberFormat="1" applyFont="1" applyFill="1" applyBorder="1" applyAlignment="1" applyProtection="1">
      <alignment horizontal="center" vertical="center"/>
    </xf>
    <xf numFmtId="165" fontId="4" fillId="7" borderId="20" xfId="0" applyNumberFormat="1" applyFont="1" applyFill="1" applyBorder="1" applyAlignment="1" applyProtection="1">
      <alignment horizontal="center" vertical="center"/>
    </xf>
    <xf numFmtId="1" fontId="4" fillId="7" borderId="1" xfId="0" applyNumberFormat="1" applyFont="1" applyFill="1" applyBorder="1" applyAlignment="1" applyProtection="1">
      <alignment horizontal="center" vertical="center"/>
    </xf>
    <xf numFmtId="165" fontId="4" fillId="7" borderId="2" xfId="0" applyNumberFormat="1" applyFont="1" applyFill="1" applyBorder="1" applyAlignment="1" applyProtection="1">
      <alignment horizontal="center" vertical="center"/>
    </xf>
    <xf numFmtId="165" fontId="3" fillId="4" borderId="4" xfId="0" applyNumberFormat="1" applyFont="1" applyFill="1" applyBorder="1" applyAlignment="1" applyProtection="1">
      <alignment horizontal="center" vertical="center"/>
    </xf>
    <xf numFmtId="165" fontId="4" fillId="7" borderId="21" xfId="0" applyNumberFormat="1" applyFont="1" applyFill="1" applyBorder="1" applyAlignment="1" applyProtection="1">
      <alignment horizontal="center" vertical="center"/>
    </xf>
    <xf numFmtId="1" fontId="4" fillId="7" borderId="3" xfId="0" applyNumberFormat="1" applyFont="1" applyFill="1" applyBorder="1" applyAlignment="1" applyProtection="1">
      <alignment horizontal="center" vertical="center"/>
    </xf>
    <xf numFmtId="165" fontId="4" fillId="7" borderId="4" xfId="0" applyNumberFormat="1" applyFont="1" applyFill="1" applyBorder="1" applyAlignment="1" applyProtection="1">
      <alignment horizontal="center" vertical="center"/>
    </xf>
    <xf numFmtId="165" fontId="0" fillId="0" borderId="0" xfId="0" applyNumberFormat="1" applyProtection="1"/>
    <xf numFmtId="165" fontId="6" fillId="11" borderId="30" xfId="0" applyNumberFormat="1" applyFont="1" applyFill="1" applyBorder="1" applyAlignment="1" applyProtection="1">
      <alignment horizontal="center" vertical="center"/>
    </xf>
    <xf numFmtId="1" fontId="6" fillId="11" borderId="14" xfId="0" applyNumberFormat="1" applyFont="1" applyFill="1" applyBorder="1" applyAlignment="1" applyProtection="1">
      <alignment horizontal="center" vertical="center"/>
    </xf>
    <xf numFmtId="165" fontId="6" fillId="11" borderId="15" xfId="0" applyNumberFormat="1" applyFont="1" applyFill="1" applyBorder="1" applyAlignment="1" applyProtection="1">
      <alignment horizontal="center" vertical="center"/>
    </xf>
    <xf numFmtId="165" fontId="3" fillId="4" borderId="11" xfId="0" applyNumberFormat="1" applyFont="1" applyFill="1" applyBorder="1" applyAlignment="1" applyProtection="1">
      <alignment horizontal="center" vertical="center"/>
    </xf>
    <xf numFmtId="165" fontId="3" fillId="4" borderId="12" xfId="0" applyNumberFormat="1" applyFont="1" applyFill="1" applyBorder="1" applyAlignment="1" applyProtection="1">
      <alignment horizontal="center" vertical="center"/>
    </xf>
    <xf numFmtId="165" fontId="3" fillId="4" borderId="16" xfId="0" applyNumberFormat="1" applyFont="1" applyFill="1" applyBorder="1" applyAlignment="1" applyProtection="1">
      <alignment horizontal="center" vertical="center"/>
    </xf>
    <xf numFmtId="1" fontId="3" fillId="4" borderId="17" xfId="0" applyNumberFormat="1" applyFont="1" applyFill="1" applyBorder="1" applyAlignment="1" applyProtection="1">
      <alignment horizontal="center" vertical="center"/>
    </xf>
    <xf numFmtId="1" fontId="3" fillId="4" borderId="1" xfId="0" applyNumberFormat="1" applyFont="1" applyFill="1" applyBorder="1" applyAlignment="1" applyProtection="1">
      <alignment horizontal="center" vertical="center"/>
    </xf>
    <xf numFmtId="1" fontId="3" fillId="4" borderId="3" xfId="0" applyNumberFormat="1" applyFont="1" applyFill="1" applyBorder="1" applyAlignment="1" applyProtection="1">
      <alignment horizontal="center" vertical="center"/>
    </xf>
    <xf numFmtId="165" fontId="3" fillId="0" borderId="19" xfId="0" applyNumberFormat="1" applyFont="1" applyBorder="1" applyAlignment="1" applyProtection="1">
      <alignment horizontal="center" vertical="center"/>
    </xf>
    <xf numFmtId="165" fontId="3" fillId="0" borderId="20" xfId="0" applyNumberFormat="1" applyFont="1" applyBorder="1" applyAlignment="1" applyProtection="1">
      <alignment horizontal="center" vertical="center"/>
    </xf>
    <xf numFmtId="165" fontId="3" fillId="0" borderId="21" xfId="0" applyNumberFormat="1" applyFont="1" applyBorder="1" applyAlignment="1" applyProtection="1">
      <alignment horizontal="center" vertical="center"/>
    </xf>
    <xf numFmtId="165" fontId="4" fillId="4" borderId="18" xfId="0" applyNumberFormat="1" applyFont="1" applyFill="1" applyBorder="1" applyAlignment="1" applyProtection="1">
      <alignment horizontal="center" vertical="center"/>
    </xf>
    <xf numFmtId="165" fontId="4" fillId="4" borderId="2" xfId="0" applyNumberFormat="1" applyFont="1" applyFill="1" applyBorder="1" applyAlignment="1" applyProtection="1">
      <alignment horizontal="center" vertical="center"/>
    </xf>
    <xf numFmtId="165" fontId="4" fillId="4" borderId="4" xfId="0" applyNumberFormat="1" applyFont="1" applyFill="1" applyBorder="1" applyAlignment="1" applyProtection="1">
      <alignment horizontal="center" vertical="center"/>
    </xf>
    <xf numFmtId="165" fontId="2" fillId="0" borderId="0" xfId="0" applyNumberFormat="1" applyFont="1" applyProtection="1"/>
    <xf numFmtId="0" fontId="2" fillId="10" borderId="26" xfId="0" applyFont="1" applyFill="1" applyBorder="1" applyAlignment="1" applyProtection="1">
      <alignment horizontal="center"/>
      <protection locked="0"/>
    </xf>
    <xf numFmtId="0" fontId="2" fillId="10" borderId="36" xfId="0" applyFont="1" applyFill="1" applyBorder="1" applyAlignment="1" applyProtection="1">
      <alignment horizontal="center" vertical="center"/>
      <protection locked="0"/>
    </xf>
    <xf numFmtId="0" fontId="2" fillId="10" borderId="25" xfId="0" applyFont="1" applyFill="1" applyBorder="1" applyAlignment="1" applyProtection="1">
      <alignment horizontal="center" vertical="center"/>
      <protection locked="0"/>
    </xf>
    <xf numFmtId="0" fontId="3" fillId="13" borderId="10" xfId="0" applyFont="1" applyFill="1" applyBorder="1" applyAlignment="1" applyProtection="1">
      <alignment horizontal="left" vertical="center"/>
      <protection locked="0"/>
    </xf>
    <xf numFmtId="165" fontId="3" fillId="13" borderId="10" xfId="1" applyNumberFormat="1" applyFont="1" applyFill="1" applyBorder="1" applyAlignment="1" applyProtection="1">
      <alignment horizontal="center" vertical="center"/>
      <protection locked="0"/>
    </xf>
    <xf numFmtId="165" fontId="3" fillId="13" borderId="20" xfId="0" applyNumberFormat="1" applyFont="1" applyFill="1" applyBorder="1" applyAlignment="1" applyProtection="1">
      <alignment horizontal="center" vertical="center"/>
      <protection locked="0"/>
    </xf>
    <xf numFmtId="1" fontId="3" fillId="13" borderId="1" xfId="0" applyNumberFormat="1" applyFont="1" applyFill="1" applyBorder="1" applyAlignment="1" applyProtection="1">
      <alignment horizontal="center" vertical="center"/>
      <protection locked="0"/>
    </xf>
    <xf numFmtId="165" fontId="3" fillId="13" borderId="1" xfId="0" applyNumberFormat="1" applyFont="1" applyFill="1" applyBorder="1" applyAlignment="1" applyProtection="1">
      <alignment horizontal="center" vertical="center"/>
    </xf>
    <xf numFmtId="165" fontId="3" fillId="13" borderId="1" xfId="0" applyNumberFormat="1" applyFont="1" applyFill="1" applyBorder="1" applyAlignment="1" applyProtection="1">
      <alignment horizontal="center" vertical="center"/>
      <protection locked="0"/>
    </xf>
    <xf numFmtId="165" fontId="3" fillId="13" borderId="12" xfId="0" applyNumberFormat="1" applyFont="1" applyFill="1" applyBorder="1" applyAlignment="1" applyProtection="1">
      <alignment horizontal="center" vertical="center"/>
    </xf>
    <xf numFmtId="165" fontId="3" fillId="13" borderId="20" xfId="0" applyNumberFormat="1" applyFont="1" applyFill="1" applyBorder="1" applyAlignment="1" applyProtection="1">
      <alignment horizontal="center" vertical="center"/>
    </xf>
    <xf numFmtId="1" fontId="3" fillId="13" borderId="1" xfId="0" applyNumberFormat="1" applyFont="1" applyFill="1" applyBorder="1" applyAlignment="1" applyProtection="1">
      <alignment horizontal="center" vertical="center"/>
    </xf>
    <xf numFmtId="165" fontId="4" fillId="13" borderId="2" xfId="0" applyNumberFormat="1" applyFont="1" applyFill="1" applyBorder="1" applyAlignment="1" applyProtection="1">
      <alignment horizontal="center" vertical="center"/>
    </xf>
    <xf numFmtId="165" fontId="3" fillId="13" borderId="7" xfId="0" applyNumberFormat="1" applyFont="1" applyFill="1" applyBorder="1" applyAlignment="1" applyProtection="1">
      <alignment horizontal="center" vertical="center"/>
      <protection locked="0"/>
    </xf>
    <xf numFmtId="165" fontId="3" fillId="13" borderId="2" xfId="0" applyNumberFormat="1" applyFont="1" applyFill="1" applyBorder="1" applyAlignment="1" applyProtection="1">
      <alignment horizontal="center" vertical="center"/>
    </xf>
    <xf numFmtId="165" fontId="4" fillId="13" borderId="20" xfId="0" applyNumberFormat="1" applyFont="1" applyFill="1" applyBorder="1" applyAlignment="1" applyProtection="1">
      <alignment horizontal="center" vertical="center"/>
    </xf>
    <xf numFmtId="1" fontId="4" fillId="13" borderId="1" xfId="0" applyNumberFormat="1" applyFont="1" applyFill="1" applyBorder="1" applyAlignment="1" applyProtection="1">
      <alignment horizontal="center" vertical="center"/>
    </xf>
    <xf numFmtId="0" fontId="3" fillId="0" borderId="10" xfId="0" applyFont="1" applyBorder="1" applyAlignment="1" applyProtection="1">
      <alignment horizontal="left" vertical="center"/>
      <protection locked="0"/>
    </xf>
    <xf numFmtId="165" fontId="3" fillId="13" borderId="17" xfId="0" applyNumberFormat="1" applyFont="1" applyFill="1" applyBorder="1" applyAlignment="1" applyProtection="1">
      <alignment horizontal="center" vertical="center"/>
      <protection locked="0"/>
    </xf>
    <xf numFmtId="1" fontId="3" fillId="13" borderId="17" xfId="0" applyNumberFormat="1" applyFont="1" applyFill="1" applyBorder="1" applyAlignment="1" applyProtection="1">
      <alignment horizontal="center" vertical="center"/>
      <protection locked="0"/>
    </xf>
    <xf numFmtId="165" fontId="3" fillId="13" borderId="17" xfId="0" applyNumberFormat="1" applyFont="1" applyFill="1" applyBorder="1" applyAlignment="1" applyProtection="1">
      <alignment horizontal="center" vertical="center"/>
    </xf>
    <xf numFmtId="165" fontId="3" fillId="13" borderId="3" xfId="0" applyNumberFormat="1" applyFont="1" applyFill="1" applyBorder="1" applyAlignment="1" applyProtection="1">
      <alignment horizontal="center" vertical="center"/>
      <protection locked="0"/>
    </xf>
    <xf numFmtId="1" fontId="3" fillId="13" borderId="3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center" vertical="center"/>
    </xf>
    <xf numFmtId="165" fontId="3" fillId="16" borderId="3" xfId="0" applyNumberFormat="1" applyFont="1" applyFill="1" applyBorder="1" applyAlignment="1" applyProtection="1">
      <alignment horizontal="center" vertical="center"/>
      <protection locked="0"/>
    </xf>
    <xf numFmtId="165" fontId="3" fillId="17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9" xfId="0" applyNumberFormat="1" applyFont="1" applyBorder="1" applyAlignment="1" applyProtection="1">
      <alignment horizontal="center" vertical="center"/>
      <protection locked="0"/>
    </xf>
    <xf numFmtId="165" fontId="3" fillId="0" borderId="21" xfId="0" applyNumberFormat="1" applyFont="1" applyBorder="1" applyAlignment="1" applyProtection="1">
      <alignment horizontal="center" vertical="center"/>
      <protection locked="0"/>
    </xf>
    <xf numFmtId="165" fontId="3" fillId="2" borderId="20" xfId="0" applyNumberFormat="1" applyFont="1" applyFill="1" applyBorder="1" applyAlignment="1" applyProtection="1">
      <alignment horizontal="center" vertical="center"/>
      <protection locked="0"/>
    </xf>
    <xf numFmtId="165" fontId="3" fillId="16" borderId="21" xfId="0" applyNumberFormat="1" applyFont="1" applyFill="1" applyBorder="1" applyAlignment="1" applyProtection="1">
      <alignment horizontal="center" vertical="center"/>
      <protection locked="0"/>
    </xf>
    <xf numFmtId="166" fontId="4" fillId="7" borderId="1" xfId="0" applyNumberFormat="1" applyFont="1" applyFill="1" applyBorder="1" applyAlignment="1" applyProtection="1">
      <alignment horizontal="center" vertical="center"/>
    </xf>
    <xf numFmtId="165" fontId="3" fillId="5" borderId="3" xfId="0" applyNumberFormat="1" applyFont="1" applyFill="1" applyBorder="1" applyAlignment="1" applyProtection="1">
      <alignment horizontal="center" vertical="center"/>
      <protection locked="0"/>
    </xf>
    <xf numFmtId="165" fontId="3" fillId="18" borderId="21" xfId="0" applyNumberFormat="1" applyFont="1" applyFill="1" applyBorder="1" applyAlignment="1" applyProtection="1">
      <alignment horizontal="center" vertical="center"/>
      <protection locked="0"/>
    </xf>
    <xf numFmtId="165" fontId="3" fillId="18" borderId="3" xfId="0" applyNumberFormat="1" applyFont="1" applyFill="1" applyBorder="1" applyAlignment="1" applyProtection="1">
      <alignment horizontal="center" vertical="center"/>
      <protection locked="0"/>
    </xf>
    <xf numFmtId="1" fontId="3" fillId="18" borderId="1" xfId="0" applyNumberFormat="1" applyFont="1" applyFill="1" applyBorder="1" applyAlignment="1" applyProtection="1">
      <alignment horizontal="center" vertical="center"/>
    </xf>
    <xf numFmtId="165" fontId="3" fillId="18" borderId="2" xfId="0" applyNumberFormat="1" applyFont="1" applyFill="1" applyBorder="1" applyAlignment="1" applyProtection="1">
      <alignment horizontal="center" vertical="center"/>
    </xf>
    <xf numFmtId="1" fontId="3" fillId="18" borderId="3" xfId="0" applyNumberFormat="1" applyFont="1" applyFill="1" applyBorder="1" applyAlignment="1" applyProtection="1">
      <alignment horizontal="center" vertical="center"/>
      <protection locked="0"/>
    </xf>
    <xf numFmtId="165" fontId="3" fillId="13" borderId="8" xfId="1" applyNumberFormat="1" applyFont="1" applyFill="1" applyBorder="1" applyAlignment="1" applyProtection="1">
      <alignment horizontal="center" vertical="center"/>
      <protection locked="0"/>
    </xf>
    <xf numFmtId="2" fontId="4" fillId="7" borderId="1" xfId="0" applyNumberFormat="1" applyFont="1" applyFill="1" applyBorder="1" applyAlignment="1" applyProtection="1">
      <alignment horizontal="center" vertical="center"/>
    </xf>
    <xf numFmtId="0" fontId="3" fillId="13" borderId="43" xfId="0" applyFont="1" applyFill="1" applyBorder="1" applyAlignment="1" applyProtection="1">
      <alignment horizontal="left" vertical="center"/>
      <protection locked="0"/>
    </xf>
    <xf numFmtId="165" fontId="3" fillId="13" borderId="43" xfId="1" applyNumberFormat="1" applyFont="1" applyFill="1" applyBorder="1" applyAlignment="1" applyProtection="1">
      <alignment horizontal="center" vertical="center"/>
      <protection locked="0"/>
    </xf>
    <xf numFmtId="165" fontId="3" fillId="13" borderId="44" xfId="0" applyNumberFormat="1" applyFont="1" applyFill="1" applyBorder="1" applyAlignment="1" applyProtection="1">
      <alignment horizontal="center" vertical="center"/>
      <protection locked="0"/>
    </xf>
    <xf numFmtId="1" fontId="3" fillId="13" borderId="45" xfId="0" applyNumberFormat="1" applyFont="1" applyFill="1" applyBorder="1" applyAlignment="1" applyProtection="1">
      <alignment horizontal="center" vertical="center"/>
      <protection locked="0"/>
    </xf>
    <xf numFmtId="165" fontId="3" fillId="13" borderId="45" xfId="0" applyNumberFormat="1" applyFont="1" applyFill="1" applyBorder="1" applyAlignment="1" applyProtection="1">
      <alignment horizontal="center" vertical="center"/>
    </xf>
    <xf numFmtId="165" fontId="3" fillId="13" borderId="45" xfId="0" applyNumberFormat="1" applyFont="1" applyFill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43" xfId="0" applyFont="1" applyFill="1" applyBorder="1" applyAlignment="1" applyProtection="1">
      <alignment horizontal="left" vertical="center"/>
      <protection locked="0"/>
    </xf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" xfId="0" applyNumberFormat="1" applyFont="1" applyFill="1" applyBorder="1" applyAlignment="1" applyProtection="1">
      <alignment horizontal="center" vertical="center"/>
    </xf>
    <xf numFmtId="165" fontId="3" fillId="0" borderId="20" xfId="0" applyNumberFormat="1" applyFont="1" applyFill="1" applyBorder="1" applyAlignment="1" applyProtection="1">
      <alignment horizontal="center" vertical="center"/>
    </xf>
    <xf numFmtId="165" fontId="3" fillId="0" borderId="7" xfId="0" applyNumberFormat="1" applyFont="1" applyFill="1" applyBorder="1" applyAlignment="1" applyProtection="1">
      <alignment horizontal="center" vertical="center"/>
      <protection locked="0"/>
    </xf>
    <xf numFmtId="1" fontId="3" fillId="0" borderId="3" xfId="0" applyNumberFormat="1" applyFont="1" applyFill="1" applyBorder="1" applyAlignment="1" applyProtection="1">
      <alignment horizontal="center" vertical="center"/>
      <protection locked="0"/>
    </xf>
    <xf numFmtId="165" fontId="3" fillId="0" borderId="3" xfId="0" applyNumberFormat="1" applyFont="1" applyFill="1" applyBorder="1" applyAlignment="1" applyProtection="1">
      <alignment horizontal="center" vertical="center"/>
    </xf>
    <xf numFmtId="165" fontId="4" fillId="3" borderId="20" xfId="0" applyNumberFormat="1" applyFont="1" applyFill="1" applyBorder="1" applyAlignment="1" applyProtection="1">
      <alignment horizontal="center" vertical="center"/>
    </xf>
    <xf numFmtId="1" fontId="4" fillId="3" borderId="1" xfId="0" applyNumberFormat="1" applyFont="1" applyFill="1" applyBorder="1" applyAlignment="1" applyProtection="1">
      <alignment horizontal="center" vertical="center"/>
    </xf>
    <xf numFmtId="165" fontId="4" fillId="3" borderId="2" xfId="0" applyNumberFormat="1" applyFont="1" applyFill="1" applyBorder="1" applyAlignment="1" applyProtection="1">
      <alignment horizontal="center" vertical="center"/>
    </xf>
    <xf numFmtId="165" fontId="3" fillId="0" borderId="9" xfId="1" applyNumberFormat="1" applyFont="1" applyFill="1" applyBorder="1" applyAlignment="1" applyProtection="1">
      <alignment horizontal="center" vertical="center"/>
      <protection locked="0"/>
    </xf>
    <xf numFmtId="0" fontId="8" fillId="4" borderId="33" xfId="0" applyFont="1" applyFill="1" applyBorder="1" applyAlignment="1" applyProtection="1">
      <alignment horizontal="center" vertical="center"/>
      <protection locked="0"/>
    </xf>
    <xf numFmtId="1" fontId="3" fillId="4" borderId="12" xfId="0" applyNumberFormat="1" applyFont="1" applyFill="1" applyBorder="1" applyAlignment="1" applyProtection="1">
      <alignment horizontal="center" vertical="center"/>
    </xf>
    <xf numFmtId="1" fontId="8" fillId="4" borderId="46" xfId="0" applyNumberFormat="1" applyFont="1" applyFill="1" applyBorder="1" applyAlignment="1" applyProtection="1">
      <alignment horizontal="center" vertical="center"/>
      <protection locked="0"/>
    </xf>
    <xf numFmtId="1" fontId="3" fillId="4" borderId="12" xfId="0" applyNumberFormat="1" applyFont="1" applyFill="1" applyBorder="1" applyAlignment="1" applyProtection="1">
      <alignment horizontal="center" vertical="center"/>
      <protection locked="0"/>
    </xf>
    <xf numFmtId="165" fontId="3" fillId="4" borderId="45" xfId="0" applyNumberFormat="1" applyFont="1" applyFill="1" applyBorder="1" applyAlignment="1" applyProtection="1">
      <alignment horizontal="center" vertical="center"/>
    </xf>
    <xf numFmtId="165" fontId="3" fillId="4" borderId="39" xfId="0" applyNumberFormat="1" applyFont="1" applyFill="1" applyBorder="1" applyAlignment="1" applyProtection="1">
      <alignment horizontal="center" vertical="center"/>
    </xf>
    <xf numFmtId="0" fontId="2" fillId="10" borderId="13" xfId="0" applyFont="1" applyFill="1" applyBorder="1" applyAlignment="1" applyProtection="1">
      <alignment horizontal="center" vertical="center"/>
      <protection locked="0"/>
    </xf>
    <xf numFmtId="0" fontId="0" fillId="0" borderId="47" xfId="0" applyBorder="1" applyProtection="1">
      <protection locked="0"/>
    </xf>
    <xf numFmtId="165" fontId="3" fillId="13" borderId="3" xfId="0" applyNumberFormat="1" applyFont="1" applyFill="1" applyBorder="1" applyAlignment="1" applyProtection="1">
      <alignment horizontal="center" vertical="center"/>
    </xf>
    <xf numFmtId="1" fontId="3" fillId="4" borderId="16" xfId="0" applyNumberFormat="1" applyFont="1" applyFill="1" applyBorder="1" applyAlignment="1" applyProtection="1">
      <alignment horizontal="center" vertical="center"/>
    </xf>
    <xf numFmtId="1" fontId="3" fillId="4" borderId="53" xfId="0" applyNumberFormat="1" applyFont="1" applyFill="1" applyBorder="1" applyAlignment="1" applyProtection="1">
      <alignment horizontal="center" vertical="center"/>
    </xf>
    <xf numFmtId="165" fontId="10" fillId="17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2" xfId="0" applyFont="1" applyBorder="1" applyAlignment="1" applyProtection="1">
      <alignment horizontal="center" vertical="center"/>
      <protection locked="0"/>
    </xf>
    <xf numFmtId="1" fontId="8" fillId="4" borderId="32" xfId="0" applyNumberFormat="1" applyFont="1" applyFill="1" applyBorder="1" applyAlignment="1" applyProtection="1">
      <alignment horizontal="center" vertical="center"/>
      <protection locked="0"/>
    </xf>
    <xf numFmtId="165" fontId="3" fillId="0" borderId="0" xfId="0" applyNumberFormat="1" applyFont="1" applyFill="1" applyBorder="1" applyAlignment="1" applyProtection="1">
      <alignment horizontal="center" vertical="center"/>
      <protection locked="0"/>
    </xf>
    <xf numFmtId="1" fontId="3" fillId="4" borderId="0" xfId="0" applyNumberFormat="1" applyFont="1" applyFill="1" applyBorder="1" applyAlignment="1" applyProtection="1">
      <alignment horizontal="center" vertical="center"/>
      <protection locked="0"/>
    </xf>
    <xf numFmtId="165" fontId="3" fillId="4" borderId="0" xfId="0" applyNumberFormat="1" applyFont="1" applyFill="1" applyBorder="1" applyAlignment="1" applyProtection="1">
      <alignment horizontal="center" vertical="center"/>
    </xf>
    <xf numFmtId="165" fontId="3" fillId="0" borderId="0" xfId="0" applyNumberFormat="1" applyFont="1" applyBorder="1" applyAlignment="1" applyProtection="1">
      <alignment horizontal="center" vertical="center"/>
      <protection locked="0"/>
    </xf>
    <xf numFmtId="165" fontId="3" fillId="10" borderId="54" xfId="1" applyNumberFormat="1" applyFont="1" applyFill="1" applyBorder="1" applyAlignment="1" applyProtection="1">
      <alignment horizontal="center" vertical="center"/>
      <protection locked="0"/>
    </xf>
    <xf numFmtId="165" fontId="3" fillId="10" borderId="26" xfId="1" applyNumberFormat="1" applyFont="1" applyFill="1" applyBorder="1" applyAlignment="1" applyProtection="1">
      <alignment horizontal="center" vertical="center"/>
      <protection locked="0"/>
    </xf>
    <xf numFmtId="165" fontId="3" fillId="0" borderId="45" xfId="0" applyNumberFormat="1" applyFont="1" applyFill="1" applyBorder="1" applyAlignment="1" applyProtection="1">
      <alignment horizontal="center" vertical="center"/>
      <protection locked="0"/>
    </xf>
    <xf numFmtId="1" fontId="3" fillId="4" borderId="55" xfId="0" applyNumberFormat="1" applyFont="1" applyFill="1" applyBorder="1" applyAlignment="1" applyProtection="1">
      <alignment horizontal="center" vertical="center"/>
      <protection locked="0"/>
    </xf>
    <xf numFmtId="165" fontId="3" fillId="4" borderId="55" xfId="0" applyNumberFormat="1" applyFont="1" applyFill="1" applyBorder="1" applyAlignment="1" applyProtection="1">
      <alignment horizontal="center" vertical="center"/>
    </xf>
    <xf numFmtId="165" fontId="3" fillId="0" borderId="55" xfId="0" applyNumberFormat="1" applyFont="1" applyFill="1" applyBorder="1" applyAlignment="1" applyProtection="1">
      <alignment horizontal="center" vertical="center"/>
      <protection locked="0"/>
    </xf>
    <xf numFmtId="165" fontId="3" fillId="0" borderId="55" xfId="0" applyNumberFormat="1" applyFont="1" applyBorder="1" applyAlignment="1" applyProtection="1">
      <alignment horizontal="center" vertical="center"/>
      <protection locked="0"/>
    </xf>
    <xf numFmtId="0" fontId="3" fillId="0" borderId="43" xfId="0" applyFont="1" applyBorder="1" applyAlignment="1" applyProtection="1">
      <alignment horizontal="left" vertical="center"/>
      <protection locked="0"/>
    </xf>
    <xf numFmtId="0" fontId="3" fillId="0" borderId="2" xfId="0" applyFont="1" applyFill="1" applyBorder="1" applyAlignment="1" applyProtection="1">
      <alignment horizontal="left" vertical="center"/>
      <protection locked="0"/>
    </xf>
    <xf numFmtId="0" fontId="3" fillId="0" borderId="36" xfId="0" applyFont="1" applyFill="1" applyBorder="1" applyAlignment="1" applyProtection="1">
      <alignment horizontal="left" vertical="center"/>
      <protection locked="0"/>
    </xf>
    <xf numFmtId="165" fontId="3" fillId="10" borderId="36" xfId="1" applyNumberFormat="1" applyFont="1" applyFill="1" applyBorder="1" applyAlignment="1" applyProtection="1">
      <alignment horizontal="center" vertical="center"/>
      <protection locked="0"/>
    </xf>
    <xf numFmtId="165" fontId="6" fillId="11" borderId="47" xfId="0" applyNumberFormat="1" applyFont="1" applyFill="1" applyBorder="1" applyAlignment="1" applyProtection="1">
      <alignment horizontal="center" vertical="center"/>
    </xf>
    <xf numFmtId="1" fontId="6" fillId="11" borderId="34" xfId="0" applyNumberFormat="1" applyFont="1" applyFill="1" applyBorder="1" applyAlignment="1" applyProtection="1">
      <alignment horizontal="center" vertical="center"/>
    </xf>
    <xf numFmtId="165" fontId="6" fillId="11" borderId="51" xfId="0" applyNumberFormat="1" applyFont="1" applyFill="1" applyBorder="1" applyAlignment="1" applyProtection="1">
      <alignment horizontal="center" vertical="center"/>
    </xf>
    <xf numFmtId="0" fontId="0" fillId="0" borderId="12" xfId="0" applyBorder="1" applyProtection="1">
      <protection locked="0"/>
    </xf>
    <xf numFmtId="1" fontId="3" fillId="4" borderId="5" xfId="0" applyNumberFormat="1" applyFont="1" applyFill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165" fontId="3" fillId="0" borderId="39" xfId="0" applyNumberFormat="1" applyFont="1" applyFill="1" applyBorder="1" applyAlignment="1" applyProtection="1">
      <alignment horizontal="center" vertical="center"/>
      <protection locked="0"/>
    </xf>
    <xf numFmtId="165" fontId="3" fillId="0" borderId="56" xfId="0" applyNumberFormat="1" applyFont="1" applyFill="1" applyBorder="1" applyAlignment="1" applyProtection="1">
      <alignment horizontal="center" vertical="center"/>
      <protection locked="0"/>
    </xf>
    <xf numFmtId="165" fontId="3" fillId="0" borderId="56" xfId="0" applyNumberFormat="1" applyFont="1" applyBorder="1" applyAlignment="1" applyProtection="1">
      <alignment horizontal="center" vertical="center"/>
      <protection locked="0"/>
    </xf>
    <xf numFmtId="0" fontId="0" fillId="0" borderId="0" xfId="0" applyBorder="1" applyProtection="1">
      <protection locked="0"/>
    </xf>
    <xf numFmtId="1" fontId="3" fillId="0" borderId="1" xfId="0" applyNumberFormat="1" applyFont="1" applyFill="1" applyBorder="1" applyAlignment="1" applyProtection="1">
      <alignment horizontal="center" vertical="center"/>
    </xf>
    <xf numFmtId="165" fontId="4" fillId="0" borderId="2" xfId="0" applyNumberFormat="1" applyFont="1" applyFill="1" applyBorder="1" applyAlignment="1" applyProtection="1">
      <alignment horizontal="center" vertical="center"/>
    </xf>
    <xf numFmtId="165" fontId="3" fillId="0" borderId="2" xfId="0" applyNumberFormat="1" applyFont="1" applyFill="1" applyBorder="1" applyAlignment="1" applyProtection="1">
      <alignment horizontal="center" vertical="center"/>
    </xf>
    <xf numFmtId="165" fontId="4" fillId="0" borderId="20" xfId="0" applyNumberFormat="1" applyFont="1" applyFill="1" applyBorder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</xf>
    <xf numFmtId="165" fontId="3" fillId="0" borderId="10" xfId="1" applyNumberFormat="1" applyFont="1" applyFill="1" applyBorder="1" applyAlignment="1" applyProtection="1">
      <alignment horizontal="center" vertical="center"/>
      <protection locked="0"/>
    </xf>
    <xf numFmtId="165" fontId="3" fillId="16" borderId="7" xfId="0" applyNumberFormat="1" applyFont="1" applyFill="1" applyBorder="1" applyAlignment="1" applyProtection="1">
      <alignment horizontal="center" vertical="center"/>
      <protection locked="0"/>
    </xf>
    <xf numFmtId="165" fontId="3" fillId="0" borderId="11" xfId="0" applyNumberFormat="1" applyFont="1" applyBorder="1" applyAlignment="1" applyProtection="1">
      <alignment horizontal="center" vertical="center"/>
      <protection locked="0"/>
    </xf>
    <xf numFmtId="165" fontId="3" fillId="4" borderId="7" xfId="0" applyNumberFormat="1" applyFont="1" applyFill="1" applyBorder="1" applyAlignment="1" applyProtection="1">
      <alignment horizontal="center" vertical="center"/>
    </xf>
    <xf numFmtId="1" fontId="3" fillId="4" borderId="57" xfId="0" applyNumberFormat="1" applyFont="1" applyFill="1" applyBorder="1" applyAlignment="1" applyProtection="1">
      <alignment horizontal="center" vertical="center"/>
      <protection locked="0"/>
    </xf>
    <xf numFmtId="0" fontId="8" fillId="0" borderId="58" xfId="0" applyFont="1" applyBorder="1" applyAlignment="1" applyProtection="1">
      <alignment horizontal="center" vertical="center"/>
      <protection locked="0"/>
    </xf>
    <xf numFmtId="0" fontId="8" fillId="4" borderId="22" xfId="0" applyFont="1" applyFill="1" applyBorder="1" applyAlignment="1" applyProtection="1">
      <alignment horizontal="center" vertical="center"/>
      <protection locked="0"/>
    </xf>
    <xf numFmtId="1" fontId="8" fillId="4" borderId="13" xfId="0" applyNumberFormat="1" applyFont="1" applyFill="1" applyBorder="1" applyAlignment="1" applyProtection="1">
      <alignment horizontal="center" vertical="center"/>
      <protection locked="0"/>
    </xf>
    <xf numFmtId="165" fontId="3" fillId="16" borderId="1" xfId="0" applyNumberFormat="1" applyFont="1" applyFill="1" applyBorder="1" applyAlignment="1" applyProtection="1">
      <alignment horizontal="center" vertical="center"/>
      <protection locked="0"/>
    </xf>
    <xf numFmtId="167" fontId="0" fillId="19" borderId="0" xfId="0" applyNumberFormat="1" applyFill="1" applyProtection="1">
      <protection locked="0"/>
    </xf>
    <xf numFmtId="168" fontId="0" fillId="16" borderId="0" xfId="0" applyNumberFormat="1" applyFill="1" applyProtection="1">
      <protection locked="0"/>
    </xf>
    <xf numFmtId="166" fontId="3" fillId="4" borderId="3" xfId="0" applyNumberFormat="1" applyFont="1" applyFill="1" applyBorder="1" applyAlignment="1" applyProtection="1">
      <alignment horizontal="center" vertical="center"/>
      <protection locked="0"/>
    </xf>
    <xf numFmtId="166" fontId="3" fillId="4" borderId="3" xfId="0" applyNumberFormat="1" applyFont="1" applyFill="1" applyBorder="1" applyAlignment="1" applyProtection="1">
      <alignment horizontal="center" vertical="center"/>
    </xf>
    <xf numFmtId="0" fontId="5" fillId="11" borderId="37" xfId="0" applyFont="1" applyFill="1" applyBorder="1" applyAlignment="1" applyProtection="1">
      <alignment horizontal="center" vertical="center"/>
      <protection locked="0"/>
    </xf>
    <xf numFmtId="0" fontId="5" fillId="11" borderId="0" xfId="0" applyFont="1" applyFill="1" applyBorder="1" applyAlignment="1" applyProtection="1">
      <alignment horizontal="center" vertical="center"/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0" fontId="5" fillId="8" borderId="39" xfId="0" applyFont="1" applyFill="1" applyBorder="1" applyAlignment="1" applyProtection="1">
      <alignment horizontal="center" vertical="center"/>
      <protection locked="0"/>
    </xf>
    <xf numFmtId="0" fontId="5" fillId="8" borderId="40" xfId="0" applyFont="1" applyFill="1" applyBorder="1" applyAlignment="1" applyProtection="1">
      <alignment horizontal="center" vertical="center"/>
      <protection locked="0"/>
    </xf>
    <xf numFmtId="0" fontId="5" fillId="7" borderId="37" xfId="0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Border="1" applyAlignment="1" applyProtection="1">
      <alignment horizontal="center" vertical="center"/>
      <protection locked="0"/>
    </xf>
    <xf numFmtId="0" fontId="5" fillId="7" borderId="41" xfId="0" applyFont="1" applyFill="1" applyBorder="1" applyAlignment="1" applyProtection="1">
      <alignment horizontal="center" vertical="center"/>
      <protection locked="0"/>
    </xf>
    <xf numFmtId="0" fontId="5" fillId="14" borderId="38" xfId="0" applyFont="1" applyFill="1" applyBorder="1" applyAlignment="1" applyProtection="1">
      <alignment horizontal="center" vertical="center"/>
      <protection locked="0"/>
    </xf>
    <xf numFmtId="0" fontId="5" fillId="14" borderId="39" xfId="0" applyFont="1" applyFill="1" applyBorder="1" applyAlignment="1" applyProtection="1">
      <alignment horizontal="center" vertical="center"/>
      <protection locked="0"/>
    </xf>
    <xf numFmtId="0" fontId="5" fillId="14" borderId="40" xfId="0" applyFont="1" applyFill="1" applyBorder="1" applyAlignment="1" applyProtection="1">
      <alignment horizontal="center" vertical="center"/>
      <protection locked="0"/>
    </xf>
    <xf numFmtId="0" fontId="5" fillId="9" borderId="39" xfId="0" applyFont="1" applyFill="1" applyBorder="1" applyAlignment="1" applyProtection="1">
      <alignment horizontal="center" vertical="center"/>
      <protection locked="0"/>
    </xf>
    <xf numFmtId="0" fontId="5" fillId="9" borderId="40" xfId="0" applyFont="1" applyFill="1" applyBorder="1" applyAlignment="1" applyProtection="1">
      <alignment horizontal="center" vertical="center"/>
      <protection locked="0"/>
    </xf>
    <xf numFmtId="0" fontId="5" fillId="8" borderId="38" xfId="0" applyFont="1" applyFill="1" applyBorder="1" applyAlignment="1" applyProtection="1">
      <alignment horizontal="center" vertical="center"/>
      <protection locked="0"/>
    </xf>
    <xf numFmtId="0" fontId="5" fillId="9" borderId="38" xfId="0" applyFont="1" applyFill="1" applyBorder="1" applyAlignment="1" applyProtection="1">
      <alignment horizontal="center" vertical="center"/>
      <protection locked="0"/>
    </xf>
    <xf numFmtId="0" fontId="5" fillId="5" borderId="39" xfId="0" applyFont="1" applyFill="1" applyBorder="1" applyAlignment="1" applyProtection="1">
      <alignment horizontal="center" vertical="center"/>
      <protection locked="0"/>
    </xf>
    <xf numFmtId="0" fontId="5" fillId="7" borderId="47" xfId="0" applyFont="1" applyFill="1" applyBorder="1" applyAlignment="1" applyProtection="1">
      <alignment horizontal="center" vertical="center"/>
      <protection locked="0"/>
    </xf>
    <xf numFmtId="0" fontId="5" fillId="7" borderId="50" xfId="0" applyFont="1" applyFill="1" applyBorder="1" applyAlignment="1" applyProtection="1">
      <alignment horizontal="center" vertical="center"/>
      <protection locked="0"/>
    </xf>
    <xf numFmtId="0" fontId="5" fillId="7" borderId="51" xfId="0" applyFont="1" applyFill="1" applyBorder="1" applyAlignment="1" applyProtection="1">
      <alignment horizontal="center" vertical="center"/>
      <protection locked="0"/>
    </xf>
    <xf numFmtId="0" fontId="5" fillId="6" borderId="38" xfId="0" applyFont="1" applyFill="1" applyBorder="1" applyAlignment="1" applyProtection="1">
      <alignment horizontal="center" vertical="center"/>
      <protection locked="0"/>
    </xf>
    <xf numFmtId="0" fontId="5" fillId="6" borderId="39" xfId="0" applyFont="1" applyFill="1" applyBorder="1" applyAlignment="1" applyProtection="1">
      <alignment horizontal="center" vertical="center"/>
      <protection locked="0"/>
    </xf>
    <xf numFmtId="0" fontId="5" fillId="6" borderId="40" xfId="0" applyFont="1" applyFill="1" applyBorder="1" applyAlignment="1" applyProtection="1">
      <alignment horizontal="center" vertical="center"/>
      <protection locked="0"/>
    </xf>
    <xf numFmtId="0" fontId="5" fillId="14" borderId="32" xfId="0" applyFont="1" applyFill="1" applyBorder="1" applyAlignment="1" applyProtection="1">
      <alignment horizontal="center"/>
      <protection locked="0"/>
    </xf>
    <xf numFmtId="0" fontId="5" fillId="14" borderId="33" xfId="0" applyFont="1" applyFill="1" applyBorder="1" applyAlignment="1" applyProtection="1">
      <alignment horizontal="center"/>
      <protection locked="0"/>
    </xf>
    <xf numFmtId="0" fontId="5" fillId="7" borderId="28" xfId="0" applyFont="1" applyFill="1" applyBorder="1" applyAlignment="1" applyProtection="1">
      <alignment horizontal="center"/>
      <protection locked="0"/>
    </xf>
    <xf numFmtId="0" fontId="5" fillId="7" borderId="27" xfId="0" applyFont="1" applyFill="1" applyBorder="1" applyAlignment="1" applyProtection="1">
      <alignment horizontal="center"/>
      <protection locked="0"/>
    </xf>
    <xf numFmtId="0" fontId="5" fillId="7" borderId="29" xfId="0" applyFont="1" applyFill="1" applyBorder="1" applyAlignment="1" applyProtection="1">
      <alignment horizontal="center"/>
      <protection locked="0"/>
    </xf>
    <xf numFmtId="0" fontId="5" fillId="11" borderId="28" xfId="0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center"/>
      <protection locked="0"/>
    </xf>
    <xf numFmtId="0" fontId="5" fillId="11" borderId="29" xfId="0" applyFont="1" applyFill="1" applyBorder="1" applyAlignment="1" applyProtection="1">
      <alignment horizontal="center"/>
      <protection locked="0"/>
    </xf>
    <xf numFmtId="0" fontId="5" fillId="5" borderId="38" xfId="0" applyFont="1" applyFill="1" applyBorder="1" applyAlignment="1" applyProtection="1">
      <alignment horizontal="center" vertical="center"/>
      <protection locked="0"/>
    </xf>
    <xf numFmtId="0" fontId="5" fillId="8" borderId="31" xfId="0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Alignment="1" applyProtection="1">
      <alignment horizontal="center"/>
      <protection locked="0"/>
    </xf>
    <xf numFmtId="0" fontId="5" fillId="8" borderId="33" xfId="0" applyFont="1" applyFill="1" applyBorder="1" applyAlignment="1" applyProtection="1">
      <alignment horizontal="center"/>
      <protection locked="0"/>
    </xf>
    <xf numFmtId="0" fontId="5" fillId="14" borderId="31" xfId="0" applyFont="1" applyFill="1" applyBorder="1" applyAlignment="1" applyProtection="1">
      <alignment horizontal="center"/>
      <protection locked="0"/>
    </xf>
    <xf numFmtId="0" fontId="5" fillId="6" borderId="32" xfId="0" applyFont="1" applyFill="1" applyBorder="1" applyAlignment="1" applyProtection="1">
      <alignment horizontal="center"/>
      <protection locked="0"/>
    </xf>
    <xf numFmtId="0" fontId="5" fillId="6" borderId="33" xfId="0" applyFont="1" applyFill="1" applyBorder="1" applyAlignment="1" applyProtection="1">
      <alignment horizontal="center"/>
      <protection locked="0"/>
    </xf>
    <xf numFmtId="0" fontId="5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Alignment="1" applyProtection="1">
      <alignment horizontal="center"/>
      <protection locked="0"/>
    </xf>
    <xf numFmtId="0" fontId="5" fillId="9" borderId="33" xfId="0" applyFont="1" applyFill="1" applyBorder="1" applyAlignment="1" applyProtection="1">
      <alignment horizontal="center"/>
      <protection locked="0"/>
    </xf>
    <xf numFmtId="0" fontId="5" fillId="5" borderId="31" xfId="0" applyFont="1" applyFill="1" applyBorder="1" applyAlignment="1" applyProtection="1">
      <alignment horizontal="center"/>
      <protection locked="0"/>
    </xf>
    <xf numFmtId="0" fontId="5" fillId="5" borderId="32" xfId="0" applyFont="1" applyFill="1" applyBorder="1" applyAlignment="1" applyProtection="1">
      <alignment horizontal="center"/>
      <protection locked="0"/>
    </xf>
    <xf numFmtId="0" fontId="5" fillId="6" borderId="31" xfId="0" applyFont="1" applyFill="1" applyBorder="1" applyAlignment="1" applyProtection="1">
      <alignment horizontal="center"/>
      <protection locked="0"/>
    </xf>
    <xf numFmtId="0" fontId="5" fillId="11" borderId="47" xfId="0" applyFont="1" applyFill="1" applyBorder="1" applyAlignment="1" applyProtection="1">
      <alignment horizontal="center" vertical="center"/>
      <protection locked="0"/>
    </xf>
    <xf numFmtId="0" fontId="5" fillId="11" borderId="50" xfId="0" applyFont="1" applyFill="1" applyBorder="1" applyAlignment="1" applyProtection="1">
      <alignment horizontal="center" vertical="center"/>
      <protection locked="0"/>
    </xf>
    <xf numFmtId="0" fontId="5" fillId="11" borderId="51" xfId="0" applyFont="1" applyFill="1" applyBorder="1" applyAlignment="1" applyProtection="1">
      <alignment horizontal="center" vertical="center"/>
      <protection locked="0"/>
    </xf>
    <xf numFmtId="0" fontId="5" fillId="8" borderId="49" xfId="0" applyFont="1" applyFill="1" applyBorder="1" applyAlignment="1" applyProtection="1">
      <alignment horizontal="center" vertical="center"/>
      <protection locked="0"/>
    </xf>
    <xf numFmtId="0" fontId="5" fillId="8" borderId="50" xfId="0" applyFont="1" applyFill="1" applyBorder="1" applyAlignment="1" applyProtection="1">
      <alignment horizontal="center" vertical="center"/>
      <protection locked="0"/>
    </xf>
    <xf numFmtId="0" fontId="5" fillId="8" borderId="51" xfId="0" applyFont="1" applyFill="1" applyBorder="1" applyAlignment="1" applyProtection="1">
      <alignment horizontal="center" vertical="center"/>
      <protection locked="0"/>
    </xf>
    <xf numFmtId="0" fontId="5" fillId="14" borderId="47" xfId="0" applyFont="1" applyFill="1" applyBorder="1" applyAlignment="1" applyProtection="1">
      <alignment horizontal="center" vertical="center"/>
      <protection locked="0"/>
    </xf>
    <xf numFmtId="0" fontId="5" fillId="14" borderId="50" xfId="0" applyFont="1" applyFill="1" applyBorder="1" applyAlignment="1" applyProtection="1">
      <alignment horizontal="center" vertical="center"/>
      <protection locked="0"/>
    </xf>
    <xf numFmtId="0" fontId="5" fillId="14" borderId="51" xfId="0" applyFont="1" applyFill="1" applyBorder="1" applyAlignment="1" applyProtection="1">
      <alignment horizontal="center" vertical="center"/>
      <protection locked="0"/>
    </xf>
    <xf numFmtId="0" fontId="5" fillId="14" borderId="52" xfId="0" applyFont="1" applyFill="1" applyBorder="1" applyAlignment="1" applyProtection="1">
      <alignment horizontal="center" vertical="center"/>
      <protection locked="0"/>
    </xf>
    <xf numFmtId="0" fontId="5" fillId="14" borderId="49" xfId="0" applyFont="1" applyFill="1" applyBorder="1" applyAlignment="1" applyProtection="1">
      <alignment horizontal="center" vertical="center"/>
      <protection locked="0"/>
    </xf>
    <xf numFmtId="0" fontId="5" fillId="12" borderId="49" xfId="0" applyFont="1" applyFill="1" applyBorder="1" applyAlignment="1" applyProtection="1">
      <alignment horizontal="center" vertical="center"/>
      <protection locked="0"/>
    </xf>
    <xf numFmtId="0" fontId="5" fillId="12" borderId="50" xfId="0" applyFont="1" applyFill="1" applyBorder="1" applyAlignment="1" applyProtection="1">
      <alignment horizontal="center" vertical="center"/>
      <protection locked="0"/>
    </xf>
    <xf numFmtId="0" fontId="5" fillId="12" borderId="51" xfId="0" applyFont="1" applyFill="1" applyBorder="1" applyAlignment="1" applyProtection="1">
      <alignment horizontal="center" vertical="center"/>
      <protection locked="0"/>
    </xf>
    <xf numFmtId="0" fontId="5" fillId="8" borderId="52" xfId="0" applyFont="1" applyFill="1" applyBorder="1" applyAlignment="1" applyProtection="1">
      <alignment horizontal="center" vertical="center"/>
      <protection locked="0"/>
    </xf>
    <xf numFmtId="0" fontId="5" fillId="9" borderId="49" xfId="0" applyFont="1" applyFill="1" applyBorder="1" applyAlignment="1" applyProtection="1">
      <alignment horizontal="center" vertical="center"/>
      <protection locked="0"/>
    </xf>
    <xf numFmtId="0" fontId="5" fillId="9" borderId="50" xfId="0" applyFont="1" applyFill="1" applyBorder="1" applyAlignment="1" applyProtection="1">
      <alignment horizontal="center" vertical="center"/>
      <protection locked="0"/>
    </xf>
    <xf numFmtId="0" fontId="5" fillId="9" borderId="52" xfId="0" applyFont="1" applyFill="1" applyBorder="1" applyAlignment="1" applyProtection="1">
      <alignment horizontal="center" vertical="center"/>
      <protection locked="0"/>
    </xf>
    <xf numFmtId="0" fontId="5" fillId="9" borderId="51" xfId="0" applyFont="1" applyFill="1" applyBorder="1" applyAlignment="1" applyProtection="1">
      <alignment horizontal="center" vertical="center"/>
      <protection locked="0"/>
    </xf>
    <xf numFmtId="0" fontId="5" fillId="8" borderId="47" xfId="0" applyFont="1" applyFill="1" applyBorder="1" applyAlignment="1" applyProtection="1">
      <alignment horizontal="center" vertical="center"/>
      <protection locked="0"/>
    </xf>
    <xf numFmtId="0" fontId="5" fillId="9" borderId="47" xfId="0" applyFont="1" applyFill="1" applyBorder="1" applyAlignment="1" applyProtection="1">
      <alignment horizontal="center" vertical="center"/>
      <protection locked="0"/>
    </xf>
    <xf numFmtId="0" fontId="5" fillId="5" borderId="49" xfId="0" applyFont="1" applyFill="1" applyBorder="1" applyAlignment="1" applyProtection="1">
      <alignment horizontal="center" vertical="center"/>
      <protection locked="0"/>
    </xf>
    <xf numFmtId="0" fontId="5" fillId="5" borderId="50" xfId="0" applyFont="1" applyFill="1" applyBorder="1" applyAlignment="1" applyProtection="1">
      <alignment horizontal="center" vertical="center"/>
      <protection locked="0"/>
    </xf>
    <xf numFmtId="0" fontId="5" fillId="5" borderId="52" xfId="0" applyFont="1" applyFill="1" applyBorder="1" applyAlignment="1" applyProtection="1">
      <alignment horizontal="center" vertical="center"/>
      <protection locked="0"/>
    </xf>
    <xf numFmtId="0" fontId="5" fillId="6" borderId="49" xfId="0" applyFont="1" applyFill="1" applyBorder="1" applyAlignment="1" applyProtection="1">
      <alignment horizontal="center" vertical="center"/>
      <protection locked="0"/>
    </xf>
    <xf numFmtId="0" fontId="5" fillId="6" borderId="50" xfId="0" applyFont="1" applyFill="1" applyBorder="1" applyAlignment="1" applyProtection="1">
      <alignment horizontal="center" vertical="center"/>
      <protection locked="0"/>
    </xf>
    <xf numFmtId="0" fontId="5" fillId="6" borderId="51" xfId="0" applyFont="1" applyFill="1" applyBorder="1" applyAlignment="1" applyProtection="1">
      <alignment horizontal="center" vertical="center"/>
      <protection locked="0"/>
    </xf>
    <xf numFmtId="0" fontId="5" fillId="6" borderId="47" xfId="0" applyFont="1" applyFill="1" applyBorder="1" applyAlignment="1" applyProtection="1">
      <alignment horizontal="center" vertical="center"/>
      <protection locked="0"/>
    </xf>
    <xf numFmtId="0" fontId="5" fillId="6" borderId="52" xfId="0" applyFont="1" applyFill="1" applyBorder="1" applyAlignment="1" applyProtection="1">
      <alignment horizontal="center" vertical="center"/>
      <protection locked="0"/>
    </xf>
    <xf numFmtId="0" fontId="5" fillId="14" borderId="48" xfId="0" applyFont="1" applyFill="1" applyBorder="1" applyAlignment="1" applyProtection="1">
      <alignment horizontal="center"/>
      <protection locked="0"/>
    </xf>
    <xf numFmtId="0" fontId="5" fillId="14" borderId="27" xfId="0" applyFont="1" applyFill="1" applyBorder="1" applyAlignment="1" applyProtection="1">
      <alignment horizontal="center"/>
      <protection locked="0"/>
    </xf>
    <xf numFmtId="0" fontId="5" fillId="14" borderId="46" xfId="0" applyFont="1" applyFill="1" applyBorder="1" applyAlignment="1" applyProtection="1">
      <alignment horizontal="center"/>
      <protection locked="0"/>
    </xf>
    <xf numFmtId="0" fontId="5" fillId="14" borderId="29" xfId="0" applyFont="1" applyFill="1" applyBorder="1" applyAlignment="1" applyProtection="1">
      <alignment horizontal="center"/>
      <protection locked="0"/>
    </xf>
    <xf numFmtId="0" fontId="5" fillId="12" borderId="48" xfId="0" applyFont="1" applyFill="1" applyBorder="1" applyAlignment="1" applyProtection="1">
      <alignment horizontal="center"/>
      <protection locked="0"/>
    </xf>
    <xf numFmtId="0" fontId="5" fillId="12" borderId="27" xfId="0" applyFont="1" applyFill="1" applyBorder="1" applyAlignment="1" applyProtection="1">
      <alignment horizontal="center"/>
      <protection locked="0"/>
    </xf>
    <xf numFmtId="0" fontId="5" fillId="12" borderId="29" xfId="0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Alignment="1" applyProtection="1">
      <alignment horizontal="center" vertical="center"/>
      <protection locked="0"/>
    </xf>
    <xf numFmtId="0" fontId="5" fillId="5" borderId="51" xfId="0" applyFont="1" applyFill="1" applyBorder="1" applyAlignment="1" applyProtection="1">
      <alignment horizontal="center" vertical="center"/>
      <protection locked="0"/>
    </xf>
    <xf numFmtId="0" fontId="5" fillId="8" borderId="28" xfId="0" applyFont="1" applyFill="1" applyBorder="1" applyAlignment="1" applyProtection="1">
      <alignment horizontal="center"/>
      <protection locked="0"/>
    </xf>
    <xf numFmtId="0" fontId="5" fillId="8" borderId="27" xfId="0" applyFont="1" applyFill="1" applyBorder="1" applyAlignment="1" applyProtection="1">
      <alignment horizontal="center"/>
      <protection locked="0"/>
    </xf>
    <xf numFmtId="0" fontId="5" fillId="8" borderId="46" xfId="0" applyFont="1" applyFill="1" applyBorder="1" applyAlignment="1" applyProtection="1">
      <alignment horizontal="center"/>
      <protection locked="0"/>
    </xf>
    <xf numFmtId="0" fontId="5" fillId="8" borderId="48" xfId="0" applyFont="1" applyFill="1" applyBorder="1" applyAlignment="1" applyProtection="1">
      <alignment horizontal="center"/>
      <protection locked="0"/>
    </xf>
    <xf numFmtId="0" fontId="5" fillId="8" borderId="29" xfId="0" applyFont="1" applyFill="1" applyBorder="1" applyAlignment="1" applyProtection="1">
      <alignment horizontal="center"/>
      <protection locked="0"/>
    </xf>
    <xf numFmtId="0" fontId="5" fillId="14" borderId="28" xfId="0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/>
      <protection locked="0"/>
    </xf>
    <xf numFmtId="0" fontId="5" fillId="9" borderId="27" xfId="0" applyFont="1" applyFill="1" applyBorder="1" applyAlignment="1" applyProtection="1">
      <alignment horizontal="center"/>
      <protection locked="0"/>
    </xf>
    <xf numFmtId="0" fontId="5" fillId="9" borderId="46" xfId="0" applyFont="1" applyFill="1" applyBorder="1" applyAlignment="1" applyProtection="1">
      <alignment horizontal="center"/>
      <protection locked="0"/>
    </xf>
    <xf numFmtId="0" fontId="5" fillId="9" borderId="48" xfId="0" applyFont="1" applyFill="1" applyBorder="1" applyAlignment="1" applyProtection="1">
      <alignment horizontal="center"/>
      <protection locked="0"/>
    </xf>
    <xf numFmtId="0" fontId="5" fillId="9" borderId="29" xfId="0" applyFont="1" applyFill="1" applyBorder="1" applyAlignment="1" applyProtection="1">
      <alignment horizontal="center"/>
      <protection locked="0"/>
    </xf>
    <xf numFmtId="0" fontId="5" fillId="6" borderId="48" xfId="0" applyFont="1" applyFill="1" applyBorder="1" applyAlignment="1" applyProtection="1">
      <alignment horizontal="center"/>
      <protection locked="0"/>
    </xf>
    <xf numFmtId="0" fontId="5" fillId="6" borderId="27" xfId="0" applyFont="1" applyFill="1" applyBorder="1" applyAlignment="1" applyProtection="1">
      <alignment horizontal="center"/>
      <protection locked="0"/>
    </xf>
    <xf numFmtId="0" fontId="5" fillId="6" borderId="46" xfId="0" applyFont="1" applyFill="1" applyBorder="1" applyAlignment="1" applyProtection="1">
      <alignment horizontal="center"/>
      <protection locked="0"/>
    </xf>
    <xf numFmtId="0" fontId="5" fillId="5" borderId="28" xfId="0" applyFont="1" applyFill="1" applyBorder="1" applyAlignment="1" applyProtection="1">
      <alignment horizontal="center"/>
      <protection locked="0"/>
    </xf>
    <xf numFmtId="0" fontId="5" fillId="5" borderId="27" xfId="0" applyFont="1" applyFill="1" applyBorder="1" applyAlignment="1" applyProtection="1">
      <alignment horizontal="center"/>
      <protection locked="0"/>
    </xf>
    <xf numFmtId="0" fontId="5" fillId="5" borderId="29" xfId="0" applyFont="1" applyFill="1" applyBorder="1" applyAlignment="1" applyProtection="1">
      <alignment horizontal="center"/>
      <protection locked="0"/>
    </xf>
    <xf numFmtId="0" fontId="5" fillId="5" borderId="46" xfId="0" applyFont="1" applyFill="1" applyBorder="1" applyAlignment="1" applyProtection="1">
      <alignment horizontal="center"/>
      <protection locked="0"/>
    </xf>
    <xf numFmtId="0" fontId="5" fillId="5" borderId="48" xfId="0" applyFont="1" applyFill="1" applyBorder="1" applyAlignment="1" applyProtection="1">
      <alignment horizontal="center"/>
      <protection locked="0"/>
    </xf>
    <xf numFmtId="0" fontId="5" fillId="6" borderId="29" xfId="0" applyFont="1" applyFill="1" applyBorder="1" applyAlignment="1" applyProtection="1">
      <alignment horizontal="center"/>
      <protection locked="0"/>
    </xf>
    <xf numFmtId="0" fontId="5" fillId="6" borderId="28" xfId="0" applyFont="1" applyFill="1" applyBorder="1" applyAlignment="1" applyProtection="1">
      <alignment horizontal="center"/>
      <protection locked="0"/>
    </xf>
    <xf numFmtId="0" fontId="5" fillId="8" borderId="42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5" xfId="0" applyFont="1" applyFill="1" applyBorder="1" applyAlignment="1" applyProtection="1">
      <alignment horizontal="center" vertical="center"/>
      <protection locked="0"/>
    </xf>
    <xf numFmtId="0" fontId="5" fillId="6" borderId="34" xfId="0" applyFont="1" applyFill="1" applyBorder="1" applyAlignment="1" applyProtection="1">
      <alignment horizontal="center" vertical="center"/>
      <protection locked="0"/>
    </xf>
    <xf numFmtId="0" fontId="5" fillId="6" borderId="35" xfId="0" applyFont="1" applyFill="1" applyBorder="1" applyAlignment="1" applyProtection="1">
      <alignment horizontal="center" vertical="center"/>
      <protection locked="0"/>
    </xf>
    <xf numFmtId="0" fontId="5" fillId="5" borderId="40" xfId="0" applyFont="1" applyFill="1" applyBorder="1" applyAlignment="1" applyProtection="1">
      <alignment horizontal="center" vertical="center"/>
      <protection locked="0"/>
    </xf>
    <xf numFmtId="0" fontId="5" fillId="5" borderId="33" xfId="0" applyFont="1" applyFill="1" applyBorder="1" applyAlignment="1" applyProtection="1">
      <alignment horizontal="center"/>
      <protection locked="0"/>
    </xf>
    <xf numFmtId="0" fontId="5" fillId="12" borderId="34" xfId="0" applyFont="1" applyFill="1" applyBorder="1" applyAlignment="1" applyProtection="1">
      <alignment horizontal="center" vertical="center"/>
      <protection locked="0"/>
    </xf>
    <xf numFmtId="0" fontId="5" fillId="12" borderId="35" xfId="0" applyFont="1" applyFill="1" applyBorder="1" applyAlignment="1" applyProtection="1">
      <alignment horizontal="center" vertical="center"/>
      <protection locked="0"/>
    </xf>
    <xf numFmtId="0" fontId="5" fillId="12" borderId="32" xfId="0" applyFont="1" applyFill="1" applyBorder="1" applyAlignment="1" applyProtection="1">
      <alignment horizontal="center"/>
      <protection locked="0"/>
    </xf>
    <xf numFmtId="0" fontId="5" fillId="12" borderId="33" xfId="0" applyFont="1" applyFill="1" applyBorder="1" applyAlignment="1" applyProtection="1">
      <alignment horizontal="center"/>
      <protection locked="0"/>
    </xf>
    <xf numFmtId="0" fontId="5" fillId="12" borderId="39" xfId="0" applyFont="1" applyFill="1" applyBorder="1" applyAlignment="1" applyProtection="1">
      <alignment horizontal="center" vertical="center"/>
      <protection locked="0"/>
    </xf>
    <xf numFmtId="0" fontId="5" fillId="15" borderId="34" xfId="0" applyFont="1" applyFill="1" applyBorder="1" applyAlignment="1" applyProtection="1">
      <alignment horizontal="center" vertical="center"/>
      <protection locked="0"/>
    </xf>
    <xf numFmtId="0" fontId="5" fillId="15" borderId="35" xfId="0" applyFont="1" applyFill="1" applyBorder="1" applyAlignment="1" applyProtection="1">
      <alignment horizontal="center" vertical="center"/>
      <protection locked="0"/>
    </xf>
    <xf numFmtId="0" fontId="5" fillId="15" borderId="32" xfId="0" applyFont="1" applyFill="1" applyBorder="1" applyAlignment="1" applyProtection="1">
      <alignment horizontal="center"/>
      <protection locked="0"/>
    </xf>
    <xf numFmtId="0" fontId="5" fillId="15" borderId="33" xfId="0" applyFont="1" applyFill="1" applyBorder="1" applyAlignment="1" applyProtection="1">
      <alignment horizontal="center"/>
      <protection locked="0"/>
    </xf>
  </cellXfs>
  <cellStyles count="2">
    <cellStyle name="Moneda 2" xfId="1" xr:uid="{556B8790-1B74-4FBF-85E6-EEE6EBBCB3C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440F-3AB5-4B16-B27A-2301DC525DDA}">
  <sheetPr>
    <pageSetUpPr fitToPage="1"/>
  </sheetPr>
  <dimension ref="A1:DU35"/>
  <sheetViews>
    <sheetView topLeftCell="A16" zoomScaleNormal="100" workbookViewId="0">
      <pane xSplit="1" topLeftCell="CU1" activePane="topRight" state="frozen"/>
      <selection pane="topRight" activeCell="DG28" sqref="DG28"/>
    </sheetView>
  </sheetViews>
  <sheetFormatPr baseColWidth="10" defaultRowHeight="15" x14ac:dyDescent="0.25"/>
  <cols>
    <col min="1" max="1" width="30.7109375" style="5" bestFit="1" customWidth="1"/>
    <col min="2" max="2" width="8" style="43" customWidth="1"/>
    <col min="3" max="3" width="0.140625" style="5" customWidth="1"/>
    <col min="4" max="4" width="2.7109375" style="5" hidden="1" customWidth="1"/>
    <col min="5" max="6" width="8.7109375" style="5" hidden="1" customWidth="1"/>
    <col min="7" max="7" width="2.7109375" style="5" hidden="1" customWidth="1"/>
    <col min="8" max="9" width="8.7109375" style="5" hidden="1" customWidth="1"/>
    <col min="10" max="10" width="2.7109375" style="5" hidden="1" customWidth="1"/>
    <col min="11" max="11" width="8.7109375" style="5" hidden="1" customWidth="1"/>
    <col min="12" max="12" width="8.7109375" style="5" customWidth="1"/>
    <col min="13" max="13" width="2.7109375" style="5" customWidth="1"/>
    <col min="14" max="15" width="8.7109375" style="5" customWidth="1"/>
    <col min="16" max="16" width="4.42578125" style="5" customWidth="1"/>
    <col min="17" max="18" width="8.7109375" style="5" customWidth="1"/>
    <col min="19" max="19" width="3.28515625" style="5" customWidth="1"/>
    <col min="20" max="20" width="8.7109375" style="5" customWidth="1"/>
    <col min="21" max="21" width="10.85546875" style="5" customWidth="1"/>
    <col min="22" max="22" width="3.7109375" style="5" customWidth="1"/>
    <col min="23" max="23" width="12.85546875" style="5" customWidth="1"/>
    <col min="24" max="24" width="9.42578125" style="5" bestFit="1" customWidth="1"/>
    <col min="25" max="25" width="4.140625" style="5" customWidth="1"/>
    <col min="26" max="26" width="10.42578125" style="45" bestFit="1" customWidth="1"/>
    <col min="27" max="27" width="8.7109375" style="5" customWidth="1"/>
    <col min="28" max="28" width="4.5703125" style="5" customWidth="1"/>
    <col min="29" max="30" width="8.7109375" style="5" customWidth="1"/>
    <col min="31" max="31" width="4.140625" style="5" customWidth="1"/>
    <col min="32" max="33" width="8.7109375" style="5" customWidth="1"/>
    <col min="34" max="34" width="2.7109375" style="5" customWidth="1"/>
    <col min="35" max="36" width="8.7109375" style="5" customWidth="1"/>
    <col min="37" max="37" width="4" style="5" customWidth="1"/>
    <col min="38" max="39" width="8.7109375" style="5" customWidth="1"/>
    <col min="40" max="40" width="2.7109375" style="5" customWidth="1"/>
    <col min="41" max="42" width="8.7109375" style="5" customWidth="1"/>
    <col min="43" max="43" width="2.7109375" style="5" customWidth="1"/>
    <col min="44" max="44" width="8.7109375" style="5" customWidth="1"/>
    <col min="45" max="45" width="11.7109375" style="5" customWidth="1"/>
    <col min="46" max="46" width="4.28515625" style="5" customWidth="1"/>
    <col min="47" max="47" width="12.42578125" style="5" customWidth="1"/>
    <col min="48" max="48" width="9.42578125" style="5" bestFit="1" customWidth="1"/>
    <col min="49" max="49" width="2.7109375" style="5" customWidth="1"/>
    <col min="50" max="50" width="10.42578125" style="5" bestFit="1" customWidth="1"/>
    <col min="51" max="51" width="8.7109375" style="5" customWidth="1"/>
    <col min="52" max="52" width="4" style="5" customWidth="1"/>
    <col min="53" max="54" width="8.7109375" style="5" customWidth="1"/>
    <col min="55" max="55" width="3.5703125" style="5" customWidth="1"/>
    <col min="56" max="57" width="8.7109375" style="5" customWidth="1"/>
    <col min="58" max="58" width="4.140625" style="5" customWidth="1"/>
    <col min="59" max="60" width="8.7109375" style="5" customWidth="1"/>
    <col min="61" max="61" width="3.85546875" style="5" customWidth="1"/>
    <col min="62" max="63" width="8.7109375" style="5" customWidth="1"/>
    <col min="64" max="64" width="4" style="5" customWidth="1"/>
    <col min="65" max="66" width="8.7109375" style="5" customWidth="1"/>
    <col min="67" max="67" width="3.42578125" style="5" customWidth="1"/>
    <col min="68" max="68" width="8.7109375" style="5" customWidth="1"/>
    <col min="69" max="69" width="11.140625" style="5" customWidth="1"/>
    <col min="70" max="70" width="4.42578125" style="5" customWidth="1"/>
    <col min="71" max="71" width="11.28515625" style="5" customWidth="1"/>
    <col min="72" max="72" width="10.42578125" style="5" bestFit="1" customWidth="1"/>
    <col min="73" max="73" width="5.28515625" style="5" customWidth="1"/>
    <col min="74" max="74" width="10.42578125" style="5" bestFit="1" customWidth="1"/>
    <col min="75" max="75" width="8.7109375" style="5" customWidth="1"/>
    <col min="76" max="76" width="3.85546875" style="5" customWidth="1"/>
    <col min="77" max="78" width="8.7109375" style="5" customWidth="1"/>
    <col min="79" max="79" width="4.42578125" style="5" customWidth="1"/>
    <col min="80" max="81" width="8.7109375" style="5" customWidth="1"/>
    <col min="82" max="82" width="3.42578125" style="5" customWidth="1"/>
    <col min="83" max="84" width="8.7109375" style="5" customWidth="1"/>
    <col min="85" max="85" width="3.28515625" style="5" customWidth="1"/>
    <col min="86" max="87" width="8.7109375" style="5" customWidth="1"/>
    <col min="88" max="88" width="4.140625" style="5" customWidth="1"/>
    <col min="89" max="90" width="8.7109375" style="5" customWidth="1"/>
    <col min="91" max="91" width="2.7109375" style="5" customWidth="1"/>
    <col min="92" max="92" width="8.7109375" style="5" customWidth="1"/>
    <col min="93" max="93" width="10.85546875" style="5" customWidth="1"/>
    <col min="94" max="94" width="4.7109375" style="5" customWidth="1"/>
    <col min="95" max="95" width="11.140625" style="5" customWidth="1"/>
    <col min="96" max="96" width="10.42578125" style="5" bestFit="1" customWidth="1"/>
    <col min="97" max="97" width="2.7109375" style="5" customWidth="1"/>
    <col min="98" max="98" width="10.42578125" style="5" bestFit="1" customWidth="1"/>
    <col min="99" max="99" width="8.7109375" style="5" customWidth="1"/>
    <col min="100" max="100" width="3.28515625" style="5" customWidth="1"/>
    <col min="101" max="102" width="8.7109375" style="5" customWidth="1"/>
    <col min="103" max="103" width="3.42578125" style="5" customWidth="1"/>
    <col min="104" max="105" width="8.7109375" style="5" customWidth="1"/>
    <col min="106" max="106" width="3.7109375" style="5" customWidth="1"/>
    <col min="107" max="108" width="8.7109375" style="5" customWidth="1"/>
    <col min="109" max="109" width="3.42578125" style="5" customWidth="1"/>
    <col min="110" max="111" width="8.7109375" style="5" customWidth="1"/>
    <col min="112" max="112" width="3.7109375" style="5" customWidth="1"/>
    <col min="113" max="114" width="8.7109375" style="5" customWidth="1"/>
    <col min="115" max="115" width="4" style="5" customWidth="1"/>
    <col min="116" max="116" width="8.7109375" style="5" customWidth="1"/>
    <col min="117" max="117" width="8.7109375" style="5" hidden="1" customWidth="1"/>
    <col min="118" max="118" width="2.7109375" style="5" hidden="1" customWidth="1"/>
    <col min="119" max="119" width="8.7109375" style="5" hidden="1" customWidth="1"/>
    <col min="120" max="120" width="10.42578125" style="5" bestFit="1" customWidth="1"/>
    <col min="121" max="121" width="4.7109375" style="5" customWidth="1"/>
    <col min="122" max="122" width="13.42578125" style="5" customWidth="1"/>
    <col min="123" max="123" width="11.5703125" style="5" bestFit="1" customWidth="1"/>
    <col min="124" max="124" width="4.42578125" style="5" bestFit="1" customWidth="1"/>
    <col min="125" max="125" width="13.28515625" style="5" bestFit="1" customWidth="1"/>
    <col min="126" max="16384" width="11.42578125" style="5"/>
  </cols>
  <sheetData>
    <row r="1" spans="1:122" ht="26.25" x14ac:dyDescent="0.4">
      <c r="A1" s="4" t="s">
        <v>62</v>
      </c>
      <c r="B1" s="76" t="s">
        <v>0</v>
      </c>
      <c r="C1" s="232">
        <v>1</v>
      </c>
      <c r="D1" s="233"/>
      <c r="E1" s="233"/>
      <c r="F1" s="232">
        <v>2</v>
      </c>
      <c r="G1" s="233"/>
      <c r="H1" s="233"/>
      <c r="I1" s="232">
        <v>3</v>
      </c>
      <c r="J1" s="233"/>
      <c r="K1" s="233"/>
      <c r="L1" s="233">
        <v>1</v>
      </c>
      <c r="M1" s="233"/>
      <c r="N1" s="233"/>
      <c r="O1" s="233">
        <v>2</v>
      </c>
      <c r="P1" s="233"/>
      <c r="Q1" s="233"/>
      <c r="R1" s="233">
        <v>3</v>
      </c>
      <c r="S1" s="233"/>
      <c r="T1" s="233"/>
      <c r="U1" s="216" t="s">
        <v>1</v>
      </c>
      <c r="V1" s="217"/>
      <c r="W1" s="218"/>
      <c r="X1" s="234">
        <v>4</v>
      </c>
      <c r="Y1" s="227"/>
      <c r="Z1" s="227"/>
      <c r="AA1" s="227">
        <v>5</v>
      </c>
      <c r="AB1" s="227"/>
      <c r="AC1" s="227"/>
      <c r="AD1" s="227">
        <v>6</v>
      </c>
      <c r="AE1" s="227"/>
      <c r="AF1" s="227"/>
      <c r="AG1" s="227">
        <v>7</v>
      </c>
      <c r="AH1" s="227"/>
      <c r="AI1" s="227"/>
      <c r="AJ1" s="227">
        <v>8</v>
      </c>
      <c r="AK1" s="227"/>
      <c r="AL1" s="227"/>
      <c r="AM1" s="227">
        <v>9</v>
      </c>
      <c r="AN1" s="227"/>
      <c r="AO1" s="227"/>
      <c r="AP1" s="227">
        <v>10</v>
      </c>
      <c r="AQ1" s="227"/>
      <c r="AR1" s="228"/>
      <c r="AS1" s="216" t="s">
        <v>1</v>
      </c>
      <c r="AT1" s="217"/>
      <c r="AU1" s="218"/>
      <c r="AV1" s="229">
        <v>11</v>
      </c>
      <c r="AW1" s="230"/>
      <c r="AX1" s="230"/>
      <c r="AY1" s="230">
        <v>12</v>
      </c>
      <c r="AZ1" s="230"/>
      <c r="BA1" s="230"/>
      <c r="BB1" s="230">
        <v>13</v>
      </c>
      <c r="BC1" s="230"/>
      <c r="BD1" s="230"/>
      <c r="BE1" s="230">
        <v>14</v>
      </c>
      <c r="BF1" s="230"/>
      <c r="BG1" s="230"/>
      <c r="BH1" s="230">
        <v>15</v>
      </c>
      <c r="BI1" s="230"/>
      <c r="BJ1" s="230"/>
      <c r="BK1" s="230">
        <v>16</v>
      </c>
      <c r="BL1" s="230"/>
      <c r="BM1" s="230"/>
      <c r="BN1" s="230">
        <v>17</v>
      </c>
      <c r="BO1" s="230"/>
      <c r="BP1" s="231"/>
      <c r="BQ1" s="216" t="s">
        <v>1</v>
      </c>
      <c r="BR1" s="217"/>
      <c r="BS1" s="218"/>
      <c r="BT1" s="223">
        <v>18</v>
      </c>
      <c r="BU1" s="224"/>
      <c r="BV1" s="224"/>
      <c r="BW1" s="224">
        <v>19</v>
      </c>
      <c r="BX1" s="224"/>
      <c r="BY1" s="224"/>
      <c r="BZ1" s="224">
        <v>20</v>
      </c>
      <c r="CA1" s="224"/>
      <c r="CB1" s="224"/>
      <c r="CC1" s="224">
        <v>21</v>
      </c>
      <c r="CD1" s="224"/>
      <c r="CE1" s="224"/>
      <c r="CF1" s="224">
        <v>22</v>
      </c>
      <c r="CG1" s="224"/>
      <c r="CH1" s="224"/>
      <c r="CI1" s="224">
        <v>23</v>
      </c>
      <c r="CJ1" s="224"/>
      <c r="CK1" s="224"/>
      <c r="CL1" s="224">
        <v>24</v>
      </c>
      <c r="CM1" s="224"/>
      <c r="CN1" s="225"/>
      <c r="CO1" s="216" t="s">
        <v>1</v>
      </c>
      <c r="CP1" s="217"/>
      <c r="CQ1" s="218"/>
      <c r="CR1" s="226">
        <v>25</v>
      </c>
      <c r="CS1" s="214"/>
      <c r="CT1" s="214"/>
      <c r="CU1" s="214">
        <v>26</v>
      </c>
      <c r="CV1" s="214"/>
      <c r="CW1" s="214"/>
      <c r="CX1" s="214">
        <v>27</v>
      </c>
      <c r="CY1" s="214"/>
      <c r="CZ1" s="214"/>
      <c r="DA1" s="214">
        <v>28</v>
      </c>
      <c r="DB1" s="214"/>
      <c r="DC1" s="214"/>
      <c r="DD1" s="214">
        <v>29</v>
      </c>
      <c r="DE1" s="214"/>
      <c r="DF1" s="214"/>
      <c r="DG1" s="214">
        <v>30</v>
      </c>
      <c r="DH1" s="214"/>
      <c r="DI1" s="214"/>
      <c r="DJ1" s="214">
        <v>31</v>
      </c>
      <c r="DK1" s="214"/>
      <c r="DL1" s="215"/>
      <c r="DM1" s="216" t="s">
        <v>1</v>
      </c>
      <c r="DN1" s="217"/>
      <c r="DO1" s="218"/>
      <c r="DP1" s="219" t="s">
        <v>1</v>
      </c>
      <c r="DQ1" s="220"/>
      <c r="DR1" s="221"/>
    </row>
    <row r="2" spans="1:122" ht="19.5" thickBot="1" x14ac:dyDescent="0.3">
      <c r="A2" s="6" t="s">
        <v>2</v>
      </c>
      <c r="B2" s="77" t="s">
        <v>3</v>
      </c>
      <c r="C2" s="222" t="s">
        <v>10</v>
      </c>
      <c r="D2" s="207"/>
      <c r="E2" s="207"/>
      <c r="F2" s="222" t="s">
        <v>11</v>
      </c>
      <c r="G2" s="207"/>
      <c r="H2" s="207"/>
      <c r="I2" s="222" t="s">
        <v>4</v>
      </c>
      <c r="J2" s="207"/>
      <c r="K2" s="207"/>
      <c r="L2" s="207" t="s">
        <v>6</v>
      </c>
      <c r="M2" s="207"/>
      <c r="N2" s="207"/>
      <c r="O2" s="207" t="s">
        <v>7</v>
      </c>
      <c r="P2" s="207"/>
      <c r="Q2" s="207"/>
      <c r="R2" s="207" t="s">
        <v>8</v>
      </c>
      <c r="S2" s="207"/>
      <c r="T2" s="207"/>
      <c r="U2" s="208" t="s">
        <v>9</v>
      </c>
      <c r="V2" s="209"/>
      <c r="W2" s="210"/>
      <c r="X2" s="211" t="s">
        <v>10</v>
      </c>
      <c r="Y2" s="212"/>
      <c r="Z2" s="212"/>
      <c r="AA2" s="212" t="s">
        <v>11</v>
      </c>
      <c r="AB2" s="212"/>
      <c r="AC2" s="212"/>
      <c r="AD2" s="212" t="s">
        <v>4</v>
      </c>
      <c r="AE2" s="212"/>
      <c r="AF2" s="212"/>
      <c r="AG2" s="212" t="s">
        <v>5</v>
      </c>
      <c r="AH2" s="212"/>
      <c r="AI2" s="212"/>
      <c r="AJ2" s="212" t="s">
        <v>6</v>
      </c>
      <c r="AK2" s="212"/>
      <c r="AL2" s="212"/>
      <c r="AM2" s="212" t="s">
        <v>7</v>
      </c>
      <c r="AN2" s="212"/>
      <c r="AO2" s="212"/>
      <c r="AP2" s="212" t="s">
        <v>8</v>
      </c>
      <c r="AQ2" s="212"/>
      <c r="AR2" s="213"/>
      <c r="AS2" s="197" t="s">
        <v>12</v>
      </c>
      <c r="AT2" s="198"/>
      <c r="AU2" s="199"/>
      <c r="AV2" s="206" t="s">
        <v>10</v>
      </c>
      <c r="AW2" s="203"/>
      <c r="AX2" s="203"/>
      <c r="AY2" s="203" t="s">
        <v>11</v>
      </c>
      <c r="AZ2" s="203"/>
      <c r="BA2" s="203"/>
      <c r="BB2" s="203" t="s">
        <v>4</v>
      </c>
      <c r="BC2" s="203"/>
      <c r="BD2" s="203"/>
      <c r="BE2" s="203" t="s">
        <v>5</v>
      </c>
      <c r="BF2" s="203"/>
      <c r="BG2" s="203"/>
      <c r="BH2" s="203" t="s">
        <v>6</v>
      </c>
      <c r="BI2" s="203"/>
      <c r="BJ2" s="203"/>
      <c r="BK2" s="203" t="s">
        <v>7</v>
      </c>
      <c r="BL2" s="203"/>
      <c r="BM2" s="203"/>
      <c r="BN2" s="203" t="s">
        <v>8</v>
      </c>
      <c r="BO2" s="203"/>
      <c r="BP2" s="204"/>
      <c r="BQ2" s="197" t="s">
        <v>13</v>
      </c>
      <c r="BR2" s="198"/>
      <c r="BS2" s="199"/>
      <c r="BT2" s="205" t="s">
        <v>10</v>
      </c>
      <c r="BU2" s="195"/>
      <c r="BV2" s="195"/>
      <c r="BW2" s="195" t="s">
        <v>11</v>
      </c>
      <c r="BX2" s="195"/>
      <c r="BY2" s="195"/>
      <c r="BZ2" s="195" t="s">
        <v>4</v>
      </c>
      <c r="CA2" s="195"/>
      <c r="CB2" s="195"/>
      <c r="CC2" s="195" t="s">
        <v>5</v>
      </c>
      <c r="CD2" s="195"/>
      <c r="CE2" s="195"/>
      <c r="CF2" s="195" t="s">
        <v>6</v>
      </c>
      <c r="CG2" s="195"/>
      <c r="CH2" s="195"/>
      <c r="CI2" s="195" t="s">
        <v>7</v>
      </c>
      <c r="CJ2" s="195"/>
      <c r="CK2" s="195"/>
      <c r="CL2" s="195" t="s">
        <v>8</v>
      </c>
      <c r="CM2" s="195"/>
      <c r="CN2" s="196"/>
      <c r="CO2" s="197" t="s">
        <v>14</v>
      </c>
      <c r="CP2" s="198"/>
      <c r="CQ2" s="199"/>
      <c r="CR2" s="200" t="s">
        <v>10</v>
      </c>
      <c r="CS2" s="201"/>
      <c r="CT2" s="201"/>
      <c r="CU2" s="201" t="s">
        <v>11</v>
      </c>
      <c r="CV2" s="201"/>
      <c r="CW2" s="201"/>
      <c r="CX2" s="201" t="s">
        <v>4</v>
      </c>
      <c r="CY2" s="201"/>
      <c r="CZ2" s="201"/>
      <c r="DA2" s="201" t="s">
        <v>5</v>
      </c>
      <c r="DB2" s="201"/>
      <c r="DC2" s="201"/>
      <c r="DD2" s="201" t="s">
        <v>6</v>
      </c>
      <c r="DE2" s="201"/>
      <c r="DF2" s="201"/>
      <c r="DG2" s="201" t="s">
        <v>7</v>
      </c>
      <c r="DH2" s="201"/>
      <c r="DI2" s="201"/>
      <c r="DJ2" s="201" t="s">
        <v>37</v>
      </c>
      <c r="DK2" s="201"/>
      <c r="DL2" s="202"/>
      <c r="DM2" s="197" t="s">
        <v>15</v>
      </c>
      <c r="DN2" s="198"/>
      <c r="DO2" s="199"/>
      <c r="DP2" s="192" t="s">
        <v>16</v>
      </c>
      <c r="DQ2" s="193"/>
      <c r="DR2" s="194"/>
    </row>
    <row r="3" spans="1:122" s="17" customFormat="1" ht="17.100000000000001" customHeight="1" thickBot="1" x14ac:dyDescent="0.2">
      <c r="A3" s="7" t="s">
        <v>17</v>
      </c>
      <c r="B3" s="141" t="s">
        <v>18</v>
      </c>
      <c r="C3" s="8" t="s">
        <v>19</v>
      </c>
      <c r="D3" s="9" t="s">
        <v>20</v>
      </c>
      <c r="E3" s="10" t="s">
        <v>21</v>
      </c>
      <c r="F3" s="8" t="s">
        <v>19</v>
      </c>
      <c r="G3" s="9" t="s">
        <v>20</v>
      </c>
      <c r="H3" s="10" t="s">
        <v>21</v>
      </c>
      <c r="I3" s="8" t="s">
        <v>19</v>
      </c>
      <c r="J3" s="9" t="s">
        <v>20</v>
      </c>
      <c r="K3" s="10" t="s">
        <v>21</v>
      </c>
      <c r="L3" s="11" t="s">
        <v>19</v>
      </c>
      <c r="M3" s="9" t="s">
        <v>20</v>
      </c>
      <c r="N3" s="10" t="s">
        <v>21</v>
      </c>
      <c r="O3" s="11" t="s">
        <v>19</v>
      </c>
      <c r="P3" s="9" t="s">
        <v>20</v>
      </c>
      <c r="Q3" s="10" t="s">
        <v>21</v>
      </c>
      <c r="R3" s="11" t="s">
        <v>19</v>
      </c>
      <c r="S3" s="9" t="s">
        <v>20</v>
      </c>
      <c r="T3" s="10" t="s">
        <v>21</v>
      </c>
      <c r="U3" s="8" t="s">
        <v>19</v>
      </c>
      <c r="V3" s="137" t="s">
        <v>20</v>
      </c>
      <c r="W3" s="135" t="s">
        <v>21</v>
      </c>
      <c r="X3" s="8" t="s">
        <v>19</v>
      </c>
      <c r="Y3" s="9" t="s">
        <v>20</v>
      </c>
      <c r="Z3" s="10" t="s">
        <v>21</v>
      </c>
      <c r="AA3" s="8" t="s">
        <v>19</v>
      </c>
      <c r="AB3" s="9" t="s">
        <v>20</v>
      </c>
      <c r="AC3" s="10" t="s">
        <v>21</v>
      </c>
      <c r="AD3" s="8" t="s">
        <v>19</v>
      </c>
      <c r="AE3" s="9" t="s">
        <v>20</v>
      </c>
      <c r="AF3" s="10" t="s">
        <v>21</v>
      </c>
      <c r="AG3" s="11" t="s">
        <v>19</v>
      </c>
      <c r="AH3" s="9" t="s">
        <v>20</v>
      </c>
      <c r="AI3" s="10" t="s">
        <v>21</v>
      </c>
      <c r="AJ3" s="11" t="s">
        <v>19</v>
      </c>
      <c r="AK3" s="9" t="s">
        <v>20</v>
      </c>
      <c r="AL3" s="10" t="s">
        <v>21</v>
      </c>
      <c r="AM3" s="11" t="s">
        <v>19</v>
      </c>
      <c r="AN3" s="9" t="s">
        <v>20</v>
      </c>
      <c r="AO3" s="10" t="s">
        <v>21</v>
      </c>
      <c r="AP3" s="11" t="s">
        <v>19</v>
      </c>
      <c r="AQ3" s="9" t="s">
        <v>20</v>
      </c>
      <c r="AR3" s="12" t="s">
        <v>21</v>
      </c>
      <c r="AS3" s="8" t="s">
        <v>19</v>
      </c>
      <c r="AT3" s="13" t="s">
        <v>20</v>
      </c>
      <c r="AU3" s="12" t="s">
        <v>21</v>
      </c>
      <c r="AV3" s="8" t="s">
        <v>19</v>
      </c>
      <c r="AW3" s="9" t="s">
        <v>20</v>
      </c>
      <c r="AX3" s="10" t="s">
        <v>21</v>
      </c>
      <c r="AY3" s="11" t="s">
        <v>19</v>
      </c>
      <c r="AZ3" s="9" t="s">
        <v>20</v>
      </c>
      <c r="BA3" s="10" t="s">
        <v>21</v>
      </c>
      <c r="BB3" s="11" t="s">
        <v>19</v>
      </c>
      <c r="BC3" s="9" t="s">
        <v>20</v>
      </c>
      <c r="BD3" s="10" t="s">
        <v>21</v>
      </c>
      <c r="BE3" s="11" t="s">
        <v>19</v>
      </c>
      <c r="BF3" s="9" t="s">
        <v>20</v>
      </c>
      <c r="BG3" s="10" t="s">
        <v>21</v>
      </c>
      <c r="BH3" s="11" t="s">
        <v>19</v>
      </c>
      <c r="BI3" s="9" t="s">
        <v>20</v>
      </c>
      <c r="BJ3" s="10" t="s">
        <v>21</v>
      </c>
      <c r="BK3" s="11" t="s">
        <v>19</v>
      </c>
      <c r="BL3" s="9" t="s">
        <v>20</v>
      </c>
      <c r="BM3" s="10" t="s">
        <v>21</v>
      </c>
      <c r="BN3" s="11" t="s">
        <v>19</v>
      </c>
      <c r="BO3" s="9" t="s">
        <v>20</v>
      </c>
      <c r="BP3" s="12" t="s">
        <v>21</v>
      </c>
      <c r="BQ3" s="8" t="s">
        <v>19</v>
      </c>
      <c r="BR3" s="13" t="s">
        <v>20</v>
      </c>
      <c r="BS3" s="12" t="s">
        <v>21</v>
      </c>
      <c r="BT3" s="8" t="s">
        <v>19</v>
      </c>
      <c r="BU3" s="9" t="s">
        <v>20</v>
      </c>
      <c r="BV3" s="10" t="s">
        <v>21</v>
      </c>
      <c r="BW3" s="11" t="s">
        <v>19</v>
      </c>
      <c r="BX3" s="9" t="s">
        <v>20</v>
      </c>
      <c r="BY3" s="10" t="s">
        <v>21</v>
      </c>
      <c r="BZ3" s="11" t="s">
        <v>19</v>
      </c>
      <c r="CA3" s="9" t="s">
        <v>20</v>
      </c>
      <c r="CB3" s="10" t="s">
        <v>21</v>
      </c>
      <c r="CC3" s="11" t="s">
        <v>19</v>
      </c>
      <c r="CD3" s="9" t="s">
        <v>20</v>
      </c>
      <c r="CE3" s="10" t="s">
        <v>21</v>
      </c>
      <c r="CF3" s="11" t="s">
        <v>19</v>
      </c>
      <c r="CG3" s="9" t="s">
        <v>20</v>
      </c>
      <c r="CH3" s="10" t="s">
        <v>21</v>
      </c>
      <c r="CI3" s="11" t="s">
        <v>19</v>
      </c>
      <c r="CJ3" s="9" t="s">
        <v>20</v>
      </c>
      <c r="CK3" s="10" t="s">
        <v>21</v>
      </c>
      <c r="CL3" s="11" t="s">
        <v>19</v>
      </c>
      <c r="CM3" s="9" t="s">
        <v>20</v>
      </c>
      <c r="CN3" s="12" t="s">
        <v>21</v>
      </c>
      <c r="CO3" s="8" t="s">
        <v>19</v>
      </c>
      <c r="CP3" s="13" t="s">
        <v>20</v>
      </c>
      <c r="CQ3" s="12" t="s">
        <v>21</v>
      </c>
      <c r="CR3" s="8" t="s">
        <v>19</v>
      </c>
      <c r="CS3" s="9" t="s">
        <v>20</v>
      </c>
      <c r="CT3" s="10" t="s">
        <v>21</v>
      </c>
      <c r="CU3" s="11" t="s">
        <v>19</v>
      </c>
      <c r="CV3" s="9" t="s">
        <v>20</v>
      </c>
      <c r="CW3" s="10" t="s">
        <v>21</v>
      </c>
      <c r="CX3" s="11" t="s">
        <v>19</v>
      </c>
      <c r="CY3" s="9" t="s">
        <v>20</v>
      </c>
      <c r="CZ3" s="10" t="s">
        <v>21</v>
      </c>
      <c r="DA3" s="11" t="s">
        <v>19</v>
      </c>
      <c r="DB3" s="9" t="s">
        <v>20</v>
      </c>
      <c r="DC3" s="10" t="s">
        <v>21</v>
      </c>
      <c r="DD3" s="11" t="s">
        <v>19</v>
      </c>
      <c r="DE3" s="9" t="s">
        <v>20</v>
      </c>
      <c r="DF3" s="12" t="s">
        <v>21</v>
      </c>
      <c r="DG3" s="11" t="s">
        <v>19</v>
      </c>
      <c r="DH3" s="9" t="s">
        <v>20</v>
      </c>
      <c r="DI3" s="12" t="s">
        <v>21</v>
      </c>
      <c r="DJ3" s="11" t="s">
        <v>19</v>
      </c>
      <c r="DK3" s="9" t="s">
        <v>20</v>
      </c>
      <c r="DL3" s="12" t="s">
        <v>21</v>
      </c>
      <c r="DM3" s="8" t="s">
        <v>19</v>
      </c>
      <c r="DN3" s="13" t="s">
        <v>20</v>
      </c>
      <c r="DO3" s="12" t="s">
        <v>21</v>
      </c>
      <c r="DP3" s="14" t="s">
        <v>19</v>
      </c>
      <c r="DQ3" s="15" t="s">
        <v>20</v>
      </c>
      <c r="DR3" s="16" t="s">
        <v>21</v>
      </c>
    </row>
    <row r="4" spans="1:122" s="26" customFormat="1" ht="17.100000000000001" customHeight="1" thickBot="1" x14ac:dyDescent="0.25">
      <c r="A4" s="122" t="s">
        <v>22</v>
      </c>
      <c r="B4" s="19">
        <v>7000</v>
      </c>
      <c r="C4" s="20"/>
      <c r="D4" s="21"/>
      <c r="E4" s="1">
        <f>$B4*D4</f>
        <v>0</v>
      </c>
      <c r="F4" s="20"/>
      <c r="G4" s="21"/>
      <c r="H4" s="1">
        <f>$B4*G4</f>
        <v>0</v>
      </c>
      <c r="I4" s="20"/>
      <c r="J4" s="21"/>
      <c r="K4" s="1">
        <f>$B4*J4</f>
        <v>0</v>
      </c>
      <c r="L4" s="94"/>
      <c r="M4" s="95"/>
      <c r="N4" s="96">
        <f>$B4*M4</f>
        <v>0</v>
      </c>
      <c r="O4" s="22"/>
      <c r="P4" s="21"/>
      <c r="Q4" s="1">
        <f>$B4*P4</f>
        <v>0</v>
      </c>
      <c r="R4" s="23"/>
      <c r="S4" s="21"/>
      <c r="T4" s="1">
        <f>$B4*S4</f>
        <v>0</v>
      </c>
      <c r="U4" s="69"/>
      <c r="V4" s="138"/>
      <c r="W4" s="139">
        <f>$B4*V4</f>
        <v>0</v>
      </c>
      <c r="X4" s="25"/>
      <c r="Y4" s="21"/>
      <c r="Z4" s="1">
        <f>$B4*Y4</f>
        <v>0</v>
      </c>
      <c r="AA4" s="24"/>
      <c r="AB4" s="21"/>
      <c r="AC4" s="1">
        <f>$B4*AB4</f>
        <v>0</v>
      </c>
      <c r="AD4" s="24"/>
      <c r="AE4" s="21"/>
      <c r="AF4" s="1">
        <f>$B4*AE4</f>
        <v>0</v>
      </c>
      <c r="AG4" s="24"/>
      <c r="AH4" s="21"/>
      <c r="AI4" s="1">
        <f>$B4*AH4</f>
        <v>0</v>
      </c>
      <c r="AJ4" s="24"/>
      <c r="AK4" s="21"/>
      <c r="AL4" s="1">
        <f>$B4*AK4</f>
        <v>0</v>
      </c>
      <c r="AM4" s="24"/>
      <c r="AN4" s="21"/>
      <c r="AO4" s="1">
        <f>$B4*AN4</f>
        <v>0</v>
      </c>
      <c r="AP4" s="24"/>
      <c r="AQ4" s="21"/>
      <c r="AR4" s="1">
        <f>$B4*AQ4</f>
        <v>0</v>
      </c>
      <c r="AS4" s="69">
        <f>X4+AA4+AD4+AG4+AJ4+AM4+AP4</f>
        <v>0</v>
      </c>
      <c r="AT4" s="66">
        <f>Y4+AB4+AE4+AH4+AK4+AN4+AQ4</f>
        <v>0</v>
      </c>
      <c r="AU4" s="47">
        <f>Z4+AC4+AF4+AI4+AL4+AO4+AR4</f>
        <v>0</v>
      </c>
      <c r="AV4" s="24"/>
      <c r="AW4" s="21"/>
      <c r="AX4" s="1">
        <f>$B4*AW4</f>
        <v>0</v>
      </c>
      <c r="AY4" s="24"/>
      <c r="AZ4" s="21"/>
      <c r="BA4" s="1">
        <f>$B4*AZ4</f>
        <v>0</v>
      </c>
      <c r="BB4" s="24"/>
      <c r="BC4" s="21"/>
      <c r="BD4" s="1">
        <f>$B4*BC4</f>
        <v>0</v>
      </c>
      <c r="BE4" s="24"/>
      <c r="BF4" s="21"/>
      <c r="BG4" s="1">
        <f>$B4*BF4</f>
        <v>0</v>
      </c>
      <c r="BH4" s="24"/>
      <c r="BI4" s="21"/>
      <c r="BJ4" s="1">
        <f>$B4*BI4</f>
        <v>0</v>
      </c>
      <c r="BK4" s="24"/>
      <c r="BL4" s="21"/>
      <c r="BM4" s="1">
        <f>$B4*BL4</f>
        <v>0</v>
      </c>
      <c r="BN4" s="24"/>
      <c r="BO4" s="21"/>
      <c r="BP4" s="1">
        <f>$B4*BO4</f>
        <v>0</v>
      </c>
      <c r="BQ4" s="69">
        <f>AV4+AY4+BB4+BE4+BH4+BK4+BN4</f>
        <v>0</v>
      </c>
      <c r="BR4" s="66">
        <f>AW4+AZ4+BC4+BF4+BI4+BL4+BO4</f>
        <v>0</v>
      </c>
      <c r="BS4" s="47">
        <f>AX4+BA4+BD4+BG4+BJ4+BM4+BP4</f>
        <v>0</v>
      </c>
      <c r="BT4" s="24"/>
      <c r="BU4" s="21"/>
      <c r="BV4" s="1">
        <f>$B4*BU4</f>
        <v>0</v>
      </c>
      <c r="BW4" s="24"/>
      <c r="BX4" s="21"/>
      <c r="BY4" s="1">
        <f>$B4*BX4</f>
        <v>0</v>
      </c>
      <c r="BZ4" s="24"/>
      <c r="CA4" s="21"/>
      <c r="CB4" s="1">
        <f>$B4*CA4</f>
        <v>0</v>
      </c>
      <c r="CC4" s="24"/>
      <c r="CD4" s="21"/>
      <c r="CE4" s="1">
        <f>$B4*CD4</f>
        <v>0</v>
      </c>
      <c r="CF4" s="24"/>
      <c r="CG4" s="21"/>
      <c r="CH4" s="1">
        <f>$B4*CG4</f>
        <v>0</v>
      </c>
      <c r="CI4" s="24"/>
      <c r="CJ4" s="21"/>
      <c r="CK4" s="1">
        <f>$B4*CJ4</f>
        <v>0</v>
      </c>
      <c r="CL4" s="24"/>
      <c r="CM4" s="21"/>
      <c r="CN4" s="1">
        <f>$B4*CM4</f>
        <v>0</v>
      </c>
      <c r="CO4" s="69">
        <f>BT4+BW4+BZ4+CC4+CF4+CI4+CL4</f>
        <v>0</v>
      </c>
      <c r="CP4" s="66">
        <f>BU4+BX4+CA4+CD4+CG4+CJ4+CM4</f>
        <v>0</v>
      </c>
      <c r="CQ4" s="47">
        <f>BV4+BY4+CB4+CE4+CH4+CK4+CN4</f>
        <v>0</v>
      </c>
      <c r="CR4" s="24"/>
      <c r="CS4" s="21"/>
      <c r="CT4" s="1">
        <f>$B4*CS4</f>
        <v>0</v>
      </c>
      <c r="CU4" s="24"/>
      <c r="CV4" s="21"/>
      <c r="CW4" s="1">
        <f>$B4*CV4</f>
        <v>0</v>
      </c>
      <c r="CX4" s="24"/>
      <c r="CY4" s="21"/>
      <c r="CZ4" s="1">
        <f>$B4*CY4</f>
        <v>0</v>
      </c>
      <c r="DA4" s="24"/>
      <c r="DB4" s="21"/>
      <c r="DC4" s="1">
        <f>$B4*DB4</f>
        <v>0</v>
      </c>
      <c r="DD4" s="24"/>
      <c r="DE4" s="21"/>
      <c r="DF4" s="1">
        <f>$B4*DE4</f>
        <v>0</v>
      </c>
      <c r="DG4" s="24"/>
      <c r="DH4" s="21"/>
      <c r="DI4" s="1">
        <f>$B4*DH4</f>
        <v>0</v>
      </c>
      <c r="DJ4" s="24"/>
      <c r="DK4" s="21"/>
      <c r="DL4" s="1">
        <f>$B4*DK4</f>
        <v>0</v>
      </c>
      <c r="DM4" s="69">
        <f>CR4+CU4+CX4+DA4+DD4+DG4+DJ4</f>
        <v>0</v>
      </c>
      <c r="DN4" s="66">
        <f>CS4+CV4+CY4+DB4+DE4+DH4+DK4</f>
        <v>0</v>
      </c>
      <c r="DO4" s="47">
        <f>CT4+CW4+CZ4+DC4+DF4+DI4+DL4</f>
        <v>0</v>
      </c>
      <c r="DP4" s="48">
        <f t="shared" ref="DP4:DP25" si="0">U4+AS4+CO4+DM4</f>
        <v>0</v>
      </c>
      <c r="DQ4" s="49">
        <f t="shared" ref="DQ4:DQ25" si="1">V4+AT4+BR4+CP4+DN4</f>
        <v>0</v>
      </c>
      <c r="DR4" s="50">
        <f t="shared" ref="DR4:DR25" si="2">W4+AU4+BS4+CQ4+DO4</f>
        <v>0</v>
      </c>
    </row>
    <row r="5" spans="1:122" s="26" customFormat="1" ht="17.100000000000001" customHeight="1" thickBot="1" x14ac:dyDescent="0.25">
      <c r="A5" s="93" t="s">
        <v>23</v>
      </c>
      <c r="B5" s="19">
        <v>7000</v>
      </c>
      <c r="C5" s="29"/>
      <c r="D5" s="30"/>
      <c r="E5" s="2">
        <f t="shared" ref="E5:E25" si="3">$B5*D5</f>
        <v>0</v>
      </c>
      <c r="F5" s="29"/>
      <c r="G5" s="30"/>
      <c r="H5" s="2">
        <f t="shared" ref="H5:H25" si="4">$B5*G5</f>
        <v>0</v>
      </c>
      <c r="I5" s="29"/>
      <c r="J5" s="30"/>
      <c r="K5" s="2">
        <f t="shared" ref="K5:K25" si="5">$B5*J5</f>
        <v>0</v>
      </c>
      <c r="L5" s="84"/>
      <c r="M5" s="82"/>
      <c r="N5" s="83">
        <f t="shared" ref="N5:N25" si="6">$B5*M5</f>
        <v>0</v>
      </c>
      <c r="O5" s="31"/>
      <c r="P5" s="30">
        <v>2</v>
      </c>
      <c r="Q5" s="2">
        <f t="shared" ref="Q5:Q25" si="7">$B5*P5</f>
        <v>14000</v>
      </c>
      <c r="R5" s="32"/>
      <c r="S5" s="30">
        <v>2</v>
      </c>
      <c r="T5" s="2">
        <f t="shared" ref="T5:T25" si="8">$B5*S5</f>
        <v>14000</v>
      </c>
      <c r="U5" s="70"/>
      <c r="V5" s="136">
        <v>4</v>
      </c>
      <c r="W5" s="2">
        <f t="shared" ref="W5:W25" si="9">$B5*V5</f>
        <v>28000</v>
      </c>
      <c r="X5" s="35"/>
      <c r="Y5" s="30">
        <v>3</v>
      </c>
      <c r="Z5" s="2">
        <f t="shared" ref="Z5:Z25" si="10">$B5*Y5</f>
        <v>21000</v>
      </c>
      <c r="AA5" s="33"/>
      <c r="AB5" s="30">
        <v>5</v>
      </c>
      <c r="AC5" s="2">
        <f t="shared" ref="AC5:AC25" si="11">$B5*AB5</f>
        <v>35000</v>
      </c>
      <c r="AD5" s="33"/>
      <c r="AE5" s="30">
        <v>5</v>
      </c>
      <c r="AF5" s="2">
        <f t="shared" ref="AF5:AF25" si="12">$B5*AE5</f>
        <v>35000</v>
      </c>
      <c r="AG5" s="33"/>
      <c r="AH5" s="30"/>
      <c r="AI5" s="2">
        <f t="shared" ref="AI5:AI25" si="13">$B5*AH5</f>
        <v>0</v>
      </c>
      <c r="AJ5" s="33"/>
      <c r="AK5" s="30">
        <v>3</v>
      </c>
      <c r="AL5" s="2">
        <f t="shared" ref="AL5:AL25" si="14">$B5*AK5</f>
        <v>21000</v>
      </c>
      <c r="AM5" s="33"/>
      <c r="AN5" s="30">
        <v>1</v>
      </c>
      <c r="AO5" s="2">
        <f t="shared" ref="AO5:AO25" si="15">$B5*AN5</f>
        <v>7000</v>
      </c>
      <c r="AP5" s="33"/>
      <c r="AQ5" s="30"/>
      <c r="AR5" s="2">
        <f t="shared" ref="AR5:AR25" si="16">$B5*AQ5</f>
        <v>0</v>
      </c>
      <c r="AS5" s="70">
        <f t="shared" ref="AS5:AU25" si="17">X5+AA5+AD5+AG5+AJ5+AM5+AP5</f>
        <v>0</v>
      </c>
      <c r="AT5" s="67">
        <f t="shared" si="17"/>
        <v>17</v>
      </c>
      <c r="AU5" s="51">
        <f t="shared" si="17"/>
        <v>119000</v>
      </c>
      <c r="AV5" s="33"/>
      <c r="AW5" s="30"/>
      <c r="AX5" s="2">
        <f t="shared" ref="AX5:AX22" si="18">$B5*AW5</f>
        <v>0</v>
      </c>
      <c r="AY5" s="33"/>
      <c r="AZ5" s="30"/>
      <c r="BA5" s="2">
        <f t="shared" ref="BA5:BA25" si="19">$B5*AZ5</f>
        <v>0</v>
      </c>
      <c r="BB5" s="33"/>
      <c r="BC5" s="30">
        <v>3</v>
      </c>
      <c r="BD5" s="2">
        <f t="shared" ref="BD5:BD25" si="20">$B5*BC5</f>
        <v>21000</v>
      </c>
      <c r="BE5" s="33"/>
      <c r="BF5" s="30"/>
      <c r="BG5" s="2">
        <f t="shared" ref="BG5:BG25" si="21">$B5*BF5</f>
        <v>0</v>
      </c>
      <c r="BH5" s="33"/>
      <c r="BI5" s="30">
        <v>2</v>
      </c>
      <c r="BJ5" s="2">
        <f t="shared" ref="BJ5:BJ25" si="22">$B5*BI5</f>
        <v>14000</v>
      </c>
      <c r="BK5" s="33"/>
      <c r="BL5" s="30"/>
      <c r="BM5" s="2">
        <f t="shared" ref="BM5:BM25" si="23">$B5*BL5</f>
        <v>0</v>
      </c>
      <c r="BN5" s="33"/>
      <c r="BO5" s="30">
        <v>2</v>
      </c>
      <c r="BP5" s="2">
        <f t="shared" ref="BP5:BP25" si="24">$B5*BO5</f>
        <v>14000</v>
      </c>
      <c r="BQ5" s="70">
        <f t="shared" ref="BQ5:BS25" si="25">AV5+AY5+BB5+BE5+BH5+BK5+BN5</f>
        <v>0</v>
      </c>
      <c r="BR5" s="67">
        <f t="shared" si="25"/>
        <v>7</v>
      </c>
      <c r="BS5" s="51">
        <f t="shared" si="25"/>
        <v>49000</v>
      </c>
      <c r="BT5" s="33"/>
      <c r="BU5" s="30"/>
      <c r="BV5" s="2">
        <f t="shared" ref="BV5:BV25" si="26">$B5*BU5</f>
        <v>0</v>
      </c>
      <c r="BW5" s="33"/>
      <c r="BX5" s="30"/>
      <c r="BY5" s="2">
        <f t="shared" ref="BY5:BY25" si="27">$B5*BX5</f>
        <v>0</v>
      </c>
      <c r="BZ5" s="33"/>
      <c r="CA5" s="30"/>
      <c r="CB5" s="2">
        <f t="shared" ref="CB5:CB25" si="28">$B5*CA5</f>
        <v>0</v>
      </c>
      <c r="CC5" s="33"/>
      <c r="CD5" s="30">
        <v>4</v>
      </c>
      <c r="CE5" s="2">
        <f t="shared" ref="CE5:CE25" si="29">$B5*CD5</f>
        <v>28000</v>
      </c>
      <c r="CF5" s="33"/>
      <c r="CG5" s="30">
        <v>1</v>
      </c>
      <c r="CH5" s="2">
        <f t="shared" ref="CH5:CH21" si="30">$B5*CG5</f>
        <v>7000</v>
      </c>
      <c r="CI5" s="33"/>
      <c r="CJ5" s="30"/>
      <c r="CK5" s="2">
        <f t="shared" ref="CK5:CK22" si="31">$B5*CJ5</f>
        <v>0</v>
      </c>
      <c r="CL5" s="33"/>
      <c r="CM5" s="30"/>
      <c r="CN5" s="2">
        <f t="shared" ref="CN5:CN25" si="32">$B5*CM5</f>
        <v>0</v>
      </c>
      <c r="CO5" s="70">
        <f t="shared" ref="CO5:CQ25" si="33">BT5+BW5+BZ5+CC5+CF5+CI5+CL5</f>
        <v>0</v>
      </c>
      <c r="CP5" s="67">
        <f t="shared" si="33"/>
        <v>5</v>
      </c>
      <c r="CQ5" s="51">
        <f t="shared" si="33"/>
        <v>35000</v>
      </c>
      <c r="CR5" s="33"/>
      <c r="CS5" s="30">
        <v>2</v>
      </c>
      <c r="CT5" s="2">
        <f t="shared" ref="CT5:CT25" si="34">$B5*CS5</f>
        <v>14000</v>
      </c>
      <c r="CU5" s="33"/>
      <c r="CV5" s="30">
        <v>1</v>
      </c>
      <c r="CW5" s="2">
        <f t="shared" ref="CW5:CW25" si="35">$B5*CV5</f>
        <v>7000</v>
      </c>
      <c r="CX5" s="33"/>
      <c r="CY5" s="30">
        <v>2</v>
      </c>
      <c r="CZ5" s="2">
        <f t="shared" ref="CZ5:CZ25" si="36">$B5*CY5</f>
        <v>14000</v>
      </c>
      <c r="DA5" s="33"/>
      <c r="DB5" s="30">
        <v>2</v>
      </c>
      <c r="DC5" s="2">
        <f t="shared" ref="DC5:DC25" si="37">$B5*DB5</f>
        <v>14000</v>
      </c>
      <c r="DD5" s="33"/>
      <c r="DE5" s="30">
        <v>2</v>
      </c>
      <c r="DF5" s="2">
        <f t="shared" ref="DF5:DF25" si="38">$B5*DE5</f>
        <v>14000</v>
      </c>
      <c r="DG5" s="33"/>
      <c r="DH5" s="30">
        <v>3</v>
      </c>
      <c r="DI5" s="2">
        <f t="shared" ref="DI5:DI25" si="39">$B5*DH5</f>
        <v>21000</v>
      </c>
      <c r="DJ5" s="33"/>
      <c r="DK5" s="30"/>
      <c r="DL5" s="2">
        <f t="shared" ref="DL5:DL25" si="40">$B5*DK5</f>
        <v>0</v>
      </c>
      <c r="DM5" s="70">
        <f t="shared" ref="DM5:DO25" si="41">CR5+CU5+CX5+DA5+DD5+DG5+DJ5</f>
        <v>0</v>
      </c>
      <c r="DN5" s="67">
        <f t="shared" si="41"/>
        <v>12</v>
      </c>
      <c r="DO5" s="51">
        <f t="shared" si="41"/>
        <v>84000</v>
      </c>
      <c r="DP5" s="52">
        <f t="shared" si="0"/>
        <v>0</v>
      </c>
      <c r="DQ5" s="53">
        <f t="shared" si="1"/>
        <v>45</v>
      </c>
      <c r="DR5" s="54">
        <f t="shared" si="2"/>
        <v>315000</v>
      </c>
    </row>
    <row r="6" spans="1:122" s="26" customFormat="1" ht="17.100000000000001" customHeight="1" thickBot="1" x14ac:dyDescent="0.25">
      <c r="A6" s="93" t="s">
        <v>24</v>
      </c>
      <c r="B6" s="19">
        <v>7000</v>
      </c>
      <c r="C6" s="29"/>
      <c r="D6" s="30"/>
      <c r="E6" s="2">
        <f t="shared" si="3"/>
        <v>0</v>
      </c>
      <c r="F6" s="29"/>
      <c r="G6" s="30"/>
      <c r="H6" s="2">
        <f t="shared" si="4"/>
        <v>0</v>
      </c>
      <c r="I6" s="29"/>
      <c r="J6" s="30"/>
      <c r="K6" s="2">
        <f t="shared" si="5"/>
        <v>0</v>
      </c>
      <c r="L6" s="84"/>
      <c r="M6" s="82"/>
      <c r="N6" s="83">
        <f t="shared" si="6"/>
        <v>0</v>
      </c>
      <c r="O6" s="31"/>
      <c r="P6" s="30"/>
      <c r="Q6" s="2">
        <f t="shared" si="7"/>
        <v>0</v>
      </c>
      <c r="R6" s="32"/>
      <c r="S6" s="30"/>
      <c r="T6" s="2">
        <f t="shared" si="8"/>
        <v>0</v>
      </c>
      <c r="U6" s="70"/>
      <c r="V6" s="136"/>
      <c r="W6" s="140">
        <f t="shared" si="9"/>
        <v>0</v>
      </c>
      <c r="X6" s="35"/>
      <c r="Y6" s="30"/>
      <c r="Z6" s="2">
        <f t="shared" si="10"/>
        <v>0</v>
      </c>
      <c r="AA6" s="33"/>
      <c r="AB6" s="30"/>
      <c r="AC6" s="2">
        <f t="shared" si="11"/>
        <v>0</v>
      </c>
      <c r="AD6" s="33"/>
      <c r="AE6" s="30"/>
      <c r="AF6" s="2">
        <f t="shared" si="12"/>
        <v>0</v>
      </c>
      <c r="AG6" s="33"/>
      <c r="AH6" s="30"/>
      <c r="AI6" s="2">
        <f t="shared" si="13"/>
        <v>0</v>
      </c>
      <c r="AJ6" s="33"/>
      <c r="AK6" s="30"/>
      <c r="AL6" s="2">
        <f t="shared" si="14"/>
        <v>0</v>
      </c>
      <c r="AM6" s="33"/>
      <c r="AN6" s="30"/>
      <c r="AO6" s="2">
        <f t="shared" si="15"/>
        <v>0</v>
      </c>
      <c r="AP6" s="33"/>
      <c r="AQ6" s="30"/>
      <c r="AR6" s="2">
        <f t="shared" si="16"/>
        <v>0</v>
      </c>
      <c r="AS6" s="70">
        <f t="shared" si="17"/>
        <v>0</v>
      </c>
      <c r="AT6" s="67">
        <f t="shared" si="17"/>
        <v>0</v>
      </c>
      <c r="AU6" s="51">
        <f t="shared" si="17"/>
        <v>0</v>
      </c>
      <c r="AV6" s="33"/>
      <c r="AW6" s="30"/>
      <c r="AX6" s="2">
        <f t="shared" si="18"/>
        <v>0</v>
      </c>
      <c r="AY6" s="33"/>
      <c r="AZ6" s="30"/>
      <c r="BA6" s="2">
        <f t="shared" si="19"/>
        <v>0</v>
      </c>
      <c r="BB6" s="33"/>
      <c r="BC6" s="30"/>
      <c r="BD6" s="2">
        <f t="shared" si="20"/>
        <v>0</v>
      </c>
      <c r="BE6" s="33"/>
      <c r="BF6" s="30"/>
      <c r="BG6" s="2">
        <f t="shared" si="21"/>
        <v>0</v>
      </c>
      <c r="BH6" s="33"/>
      <c r="BI6" s="30"/>
      <c r="BJ6" s="2">
        <f t="shared" si="22"/>
        <v>0</v>
      </c>
      <c r="BK6" s="33"/>
      <c r="BL6" s="30"/>
      <c r="BM6" s="2">
        <f t="shared" si="23"/>
        <v>0</v>
      </c>
      <c r="BN6" s="33"/>
      <c r="BO6" s="30"/>
      <c r="BP6" s="2">
        <f t="shared" si="24"/>
        <v>0</v>
      </c>
      <c r="BQ6" s="70">
        <f t="shared" si="25"/>
        <v>0</v>
      </c>
      <c r="BR6" s="67">
        <f t="shared" si="25"/>
        <v>0</v>
      </c>
      <c r="BS6" s="51">
        <f t="shared" si="25"/>
        <v>0</v>
      </c>
      <c r="BT6" s="33"/>
      <c r="BU6" s="30"/>
      <c r="BV6" s="2">
        <f t="shared" si="26"/>
        <v>0</v>
      </c>
      <c r="BW6" s="33"/>
      <c r="BX6" s="30">
        <v>5</v>
      </c>
      <c r="BY6" s="2">
        <f t="shared" si="27"/>
        <v>35000</v>
      </c>
      <c r="BZ6" s="33"/>
      <c r="CA6" s="30">
        <v>5</v>
      </c>
      <c r="CB6" s="2">
        <f t="shared" si="28"/>
        <v>35000</v>
      </c>
      <c r="CC6" s="33">
        <v>20000</v>
      </c>
      <c r="CD6" s="30">
        <v>2</v>
      </c>
      <c r="CE6" s="2">
        <f t="shared" si="29"/>
        <v>14000</v>
      </c>
      <c r="CF6" s="33"/>
      <c r="CG6" s="30"/>
      <c r="CH6" s="2">
        <f t="shared" si="30"/>
        <v>0</v>
      </c>
      <c r="CI6" s="33"/>
      <c r="CJ6" s="30"/>
      <c r="CK6" s="2">
        <f t="shared" si="31"/>
        <v>0</v>
      </c>
      <c r="CL6" s="33"/>
      <c r="CM6" s="30"/>
      <c r="CN6" s="2">
        <f t="shared" si="32"/>
        <v>0</v>
      </c>
      <c r="CO6" s="70">
        <f t="shared" si="33"/>
        <v>20000</v>
      </c>
      <c r="CP6" s="67">
        <f t="shared" si="33"/>
        <v>12</v>
      </c>
      <c r="CQ6" s="51">
        <f t="shared" si="33"/>
        <v>84000</v>
      </c>
      <c r="CR6" s="33"/>
      <c r="CS6" s="30"/>
      <c r="CT6" s="2">
        <f t="shared" si="34"/>
        <v>0</v>
      </c>
      <c r="CU6" s="33"/>
      <c r="CV6" s="30"/>
      <c r="CW6" s="2">
        <f t="shared" si="35"/>
        <v>0</v>
      </c>
      <c r="CX6" s="33"/>
      <c r="CY6" s="30"/>
      <c r="CZ6" s="2">
        <f t="shared" si="36"/>
        <v>0</v>
      </c>
      <c r="DA6" s="33"/>
      <c r="DB6" s="30"/>
      <c r="DC6" s="2">
        <f t="shared" si="37"/>
        <v>0</v>
      </c>
      <c r="DD6" s="33">
        <v>30000</v>
      </c>
      <c r="DE6" s="30"/>
      <c r="DF6" s="2">
        <f t="shared" si="38"/>
        <v>0</v>
      </c>
      <c r="DG6" s="33"/>
      <c r="DH6" s="30"/>
      <c r="DI6" s="2">
        <f t="shared" si="39"/>
        <v>0</v>
      </c>
      <c r="DJ6" s="33"/>
      <c r="DK6" s="30"/>
      <c r="DL6" s="2">
        <f t="shared" si="40"/>
        <v>0</v>
      </c>
      <c r="DM6" s="70">
        <f t="shared" si="41"/>
        <v>30000</v>
      </c>
      <c r="DN6" s="67">
        <f t="shared" si="41"/>
        <v>0</v>
      </c>
      <c r="DO6" s="51">
        <f t="shared" si="41"/>
        <v>0</v>
      </c>
      <c r="DP6" s="52">
        <f t="shared" si="0"/>
        <v>50000</v>
      </c>
      <c r="DQ6" s="53">
        <f t="shared" si="1"/>
        <v>12</v>
      </c>
      <c r="DR6" s="54">
        <f t="shared" si="2"/>
        <v>84000</v>
      </c>
    </row>
    <row r="7" spans="1:122" s="26" customFormat="1" ht="17.100000000000001" customHeight="1" thickBot="1" x14ac:dyDescent="0.25">
      <c r="A7" s="93" t="s">
        <v>25</v>
      </c>
      <c r="B7" s="19">
        <v>7000</v>
      </c>
      <c r="C7" s="29"/>
      <c r="D7" s="30"/>
      <c r="E7" s="2">
        <f t="shared" si="3"/>
        <v>0</v>
      </c>
      <c r="F7" s="29"/>
      <c r="G7" s="30"/>
      <c r="H7" s="2">
        <f t="shared" si="4"/>
        <v>0</v>
      </c>
      <c r="I7" s="29"/>
      <c r="J7" s="30"/>
      <c r="K7" s="2">
        <f t="shared" si="5"/>
        <v>0</v>
      </c>
      <c r="L7" s="84"/>
      <c r="M7" s="82"/>
      <c r="N7" s="83">
        <f t="shared" si="6"/>
        <v>0</v>
      </c>
      <c r="O7" s="31"/>
      <c r="P7" s="30"/>
      <c r="Q7" s="2">
        <f t="shared" si="7"/>
        <v>0</v>
      </c>
      <c r="R7" s="32"/>
      <c r="S7" s="30"/>
      <c r="T7" s="2">
        <f t="shared" si="8"/>
        <v>0</v>
      </c>
      <c r="U7" s="70"/>
      <c r="V7" s="136"/>
      <c r="W7" s="2">
        <f t="shared" si="9"/>
        <v>0</v>
      </c>
      <c r="X7" s="35"/>
      <c r="Y7" s="30"/>
      <c r="Z7" s="2">
        <f t="shared" si="10"/>
        <v>0</v>
      </c>
      <c r="AA7" s="33"/>
      <c r="AB7" s="30"/>
      <c r="AC7" s="2">
        <f t="shared" si="11"/>
        <v>0</v>
      </c>
      <c r="AD7" s="33"/>
      <c r="AE7" s="30"/>
      <c r="AF7" s="2">
        <f t="shared" si="12"/>
        <v>0</v>
      </c>
      <c r="AG7" s="33"/>
      <c r="AH7" s="30"/>
      <c r="AI7" s="2">
        <f t="shared" si="13"/>
        <v>0</v>
      </c>
      <c r="AJ7" s="33"/>
      <c r="AK7" s="30"/>
      <c r="AL7" s="2">
        <f t="shared" si="14"/>
        <v>0</v>
      </c>
      <c r="AM7" s="33"/>
      <c r="AN7" s="30"/>
      <c r="AO7" s="2">
        <f t="shared" si="15"/>
        <v>0</v>
      </c>
      <c r="AP7" s="33"/>
      <c r="AQ7" s="30"/>
      <c r="AR7" s="2">
        <f t="shared" si="16"/>
        <v>0</v>
      </c>
      <c r="AS7" s="70">
        <f t="shared" si="17"/>
        <v>0</v>
      </c>
      <c r="AT7" s="67">
        <f t="shared" si="17"/>
        <v>0</v>
      </c>
      <c r="AU7" s="51">
        <f t="shared" si="17"/>
        <v>0</v>
      </c>
      <c r="AV7" s="33"/>
      <c r="AW7" s="30"/>
      <c r="AX7" s="2">
        <f t="shared" si="18"/>
        <v>0</v>
      </c>
      <c r="AY7" s="33"/>
      <c r="AZ7" s="30"/>
      <c r="BA7" s="2">
        <f t="shared" si="19"/>
        <v>0</v>
      </c>
      <c r="BB7" s="33"/>
      <c r="BC7" s="30"/>
      <c r="BD7" s="2">
        <f t="shared" si="20"/>
        <v>0</v>
      </c>
      <c r="BE7" s="33">
        <v>50000</v>
      </c>
      <c r="BF7" s="30"/>
      <c r="BG7" s="2">
        <f t="shared" si="21"/>
        <v>0</v>
      </c>
      <c r="BH7" s="33"/>
      <c r="BI7" s="30"/>
      <c r="BJ7" s="2">
        <f t="shared" si="22"/>
        <v>0</v>
      </c>
      <c r="BK7" s="33"/>
      <c r="BL7" s="30"/>
      <c r="BM7" s="2">
        <f t="shared" si="23"/>
        <v>0</v>
      </c>
      <c r="BN7" s="33"/>
      <c r="BO7" s="30"/>
      <c r="BP7" s="2">
        <f t="shared" si="24"/>
        <v>0</v>
      </c>
      <c r="BQ7" s="70">
        <f t="shared" si="25"/>
        <v>50000</v>
      </c>
      <c r="BR7" s="67">
        <f t="shared" si="25"/>
        <v>0</v>
      </c>
      <c r="BS7" s="51">
        <f t="shared" si="25"/>
        <v>0</v>
      </c>
      <c r="BT7" s="33"/>
      <c r="BU7" s="30"/>
      <c r="BV7" s="2">
        <f t="shared" si="26"/>
        <v>0</v>
      </c>
      <c r="BW7" s="33"/>
      <c r="BX7" s="30"/>
      <c r="BY7" s="2">
        <f t="shared" si="27"/>
        <v>0</v>
      </c>
      <c r="BZ7" s="33"/>
      <c r="CA7" s="30"/>
      <c r="CB7" s="2">
        <f t="shared" si="28"/>
        <v>0</v>
      </c>
      <c r="CC7" s="33"/>
      <c r="CD7" s="30"/>
      <c r="CE7" s="2">
        <f t="shared" si="29"/>
        <v>0</v>
      </c>
      <c r="CF7" s="33"/>
      <c r="CG7" s="30"/>
      <c r="CH7" s="2">
        <f t="shared" si="30"/>
        <v>0</v>
      </c>
      <c r="CI7" s="33"/>
      <c r="CJ7" s="30"/>
      <c r="CK7" s="2">
        <f t="shared" si="31"/>
        <v>0</v>
      </c>
      <c r="CL7" s="33"/>
      <c r="CM7" s="30"/>
      <c r="CN7" s="2">
        <f t="shared" si="32"/>
        <v>0</v>
      </c>
      <c r="CO7" s="70">
        <f t="shared" si="33"/>
        <v>0</v>
      </c>
      <c r="CP7" s="67">
        <f t="shared" si="33"/>
        <v>0</v>
      </c>
      <c r="CQ7" s="51">
        <f t="shared" si="33"/>
        <v>0</v>
      </c>
      <c r="CR7" s="33"/>
      <c r="CS7" s="30"/>
      <c r="CT7" s="2">
        <f t="shared" si="34"/>
        <v>0</v>
      </c>
      <c r="CU7" s="33"/>
      <c r="CV7" s="30"/>
      <c r="CW7" s="2">
        <f t="shared" si="35"/>
        <v>0</v>
      </c>
      <c r="CX7" s="33"/>
      <c r="CY7" s="30"/>
      <c r="CZ7" s="2">
        <f t="shared" si="36"/>
        <v>0</v>
      </c>
      <c r="DA7" s="33"/>
      <c r="DB7" s="30"/>
      <c r="DC7" s="2">
        <f t="shared" si="37"/>
        <v>0</v>
      </c>
      <c r="DD7" s="33"/>
      <c r="DE7" s="30"/>
      <c r="DF7" s="2">
        <f t="shared" si="38"/>
        <v>0</v>
      </c>
      <c r="DG7" s="33"/>
      <c r="DH7" s="30"/>
      <c r="DI7" s="2">
        <f t="shared" si="39"/>
        <v>0</v>
      </c>
      <c r="DJ7" s="33"/>
      <c r="DK7" s="30"/>
      <c r="DL7" s="2">
        <f t="shared" si="40"/>
        <v>0</v>
      </c>
      <c r="DM7" s="70">
        <f t="shared" si="41"/>
        <v>0</v>
      </c>
      <c r="DN7" s="67">
        <f t="shared" si="41"/>
        <v>0</v>
      </c>
      <c r="DO7" s="51">
        <f t="shared" si="41"/>
        <v>0</v>
      </c>
      <c r="DP7" s="52">
        <v>50000</v>
      </c>
      <c r="DQ7" s="53">
        <f t="shared" si="1"/>
        <v>0</v>
      </c>
      <c r="DR7" s="54">
        <f t="shared" si="2"/>
        <v>0</v>
      </c>
    </row>
    <row r="8" spans="1:122" s="26" customFormat="1" ht="17.100000000000001" customHeight="1" thickBot="1" x14ac:dyDescent="0.25">
      <c r="A8" s="93" t="s">
        <v>26</v>
      </c>
      <c r="B8" s="19">
        <v>7000</v>
      </c>
      <c r="C8" s="29"/>
      <c r="D8" s="30"/>
      <c r="E8" s="2">
        <f t="shared" si="3"/>
        <v>0</v>
      </c>
      <c r="F8" s="29"/>
      <c r="G8" s="30"/>
      <c r="H8" s="2">
        <f t="shared" si="4"/>
        <v>0</v>
      </c>
      <c r="I8" s="29"/>
      <c r="J8" s="30"/>
      <c r="K8" s="2">
        <f t="shared" si="5"/>
        <v>0</v>
      </c>
      <c r="L8" s="84"/>
      <c r="M8" s="82"/>
      <c r="N8" s="83">
        <f t="shared" si="6"/>
        <v>0</v>
      </c>
      <c r="O8" s="33"/>
      <c r="P8" s="30">
        <v>2</v>
      </c>
      <c r="Q8" s="2">
        <f t="shared" si="7"/>
        <v>14000</v>
      </c>
      <c r="R8" s="32">
        <v>5000</v>
      </c>
      <c r="S8" s="30">
        <v>4</v>
      </c>
      <c r="T8" s="2">
        <f t="shared" si="8"/>
        <v>28000</v>
      </c>
      <c r="U8" s="70">
        <v>5000</v>
      </c>
      <c r="V8" s="136">
        <v>6</v>
      </c>
      <c r="W8" s="140">
        <f t="shared" si="9"/>
        <v>42000</v>
      </c>
      <c r="X8" s="35"/>
      <c r="Y8" s="30">
        <v>2</v>
      </c>
      <c r="Z8" s="2">
        <f t="shared" si="10"/>
        <v>14000</v>
      </c>
      <c r="AA8" s="33"/>
      <c r="AB8" s="30">
        <v>2</v>
      </c>
      <c r="AC8" s="2">
        <f t="shared" si="11"/>
        <v>14000</v>
      </c>
      <c r="AD8" s="33"/>
      <c r="AE8" s="30">
        <v>2</v>
      </c>
      <c r="AF8" s="2">
        <f t="shared" si="12"/>
        <v>14000</v>
      </c>
      <c r="AG8" s="33"/>
      <c r="AH8" s="30"/>
      <c r="AI8" s="2">
        <f t="shared" si="13"/>
        <v>0</v>
      </c>
      <c r="AJ8" s="33"/>
      <c r="AK8" s="30">
        <v>3</v>
      </c>
      <c r="AL8" s="2">
        <f t="shared" si="14"/>
        <v>21000</v>
      </c>
      <c r="AM8" s="33">
        <v>5000</v>
      </c>
      <c r="AN8" s="30">
        <v>2</v>
      </c>
      <c r="AO8" s="2">
        <f t="shared" si="15"/>
        <v>14000</v>
      </c>
      <c r="AP8" s="33"/>
      <c r="AQ8" s="30"/>
      <c r="AR8" s="2">
        <f t="shared" si="16"/>
        <v>0</v>
      </c>
      <c r="AS8" s="70">
        <f t="shared" si="17"/>
        <v>5000</v>
      </c>
      <c r="AT8" s="67">
        <f t="shared" si="17"/>
        <v>11</v>
      </c>
      <c r="AU8" s="51">
        <f t="shared" si="17"/>
        <v>77000</v>
      </c>
      <c r="AV8" s="33"/>
      <c r="AW8" s="30">
        <v>1</v>
      </c>
      <c r="AX8" s="2">
        <f t="shared" si="18"/>
        <v>7000</v>
      </c>
      <c r="AY8" s="33"/>
      <c r="AZ8" s="30">
        <v>3</v>
      </c>
      <c r="BA8" s="2">
        <f t="shared" si="19"/>
        <v>21000</v>
      </c>
      <c r="BB8" s="33">
        <v>5000</v>
      </c>
      <c r="BC8" s="30">
        <v>3</v>
      </c>
      <c r="BD8" s="2">
        <f t="shared" si="20"/>
        <v>21000</v>
      </c>
      <c r="BE8" s="33">
        <v>5000</v>
      </c>
      <c r="BF8" s="30">
        <v>2</v>
      </c>
      <c r="BG8" s="2">
        <f t="shared" si="21"/>
        <v>14000</v>
      </c>
      <c r="BH8" s="33"/>
      <c r="BI8" s="30">
        <v>2</v>
      </c>
      <c r="BJ8" s="2">
        <f t="shared" si="22"/>
        <v>14000</v>
      </c>
      <c r="BK8" s="33"/>
      <c r="BL8" s="30">
        <v>1</v>
      </c>
      <c r="BM8" s="2">
        <f t="shared" si="23"/>
        <v>7000</v>
      </c>
      <c r="BN8" s="33">
        <v>5000</v>
      </c>
      <c r="BO8" s="30">
        <v>1</v>
      </c>
      <c r="BP8" s="2">
        <f t="shared" si="24"/>
        <v>7000</v>
      </c>
      <c r="BQ8" s="70">
        <f t="shared" si="25"/>
        <v>15000</v>
      </c>
      <c r="BR8" s="67">
        <f t="shared" si="25"/>
        <v>13</v>
      </c>
      <c r="BS8" s="51">
        <f t="shared" si="25"/>
        <v>91000</v>
      </c>
      <c r="BT8" s="33"/>
      <c r="BU8" s="30"/>
      <c r="BV8" s="2">
        <f t="shared" si="26"/>
        <v>0</v>
      </c>
      <c r="BW8" s="33"/>
      <c r="BX8" s="30">
        <v>4</v>
      </c>
      <c r="BY8" s="2">
        <f t="shared" si="27"/>
        <v>28000</v>
      </c>
      <c r="BZ8" s="33"/>
      <c r="CA8" s="30"/>
      <c r="CB8" s="2">
        <f t="shared" si="28"/>
        <v>0</v>
      </c>
      <c r="CC8" s="33">
        <v>10000</v>
      </c>
      <c r="CD8" s="30">
        <v>2</v>
      </c>
      <c r="CE8" s="2">
        <f t="shared" si="29"/>
        <v>14000</v>
      </c>
      <c r="CF8" s="33"/>
      <c r="CG8" s="30">
        <v>3</v>
      </c>
      <c r="CH8" s="2">
        <f t="shared" si="30"/>
        <v>21000</v>
      </c>
      <c r="CI8" s="33"/>
      <c r="CJ8" s="30">
        <v>2</v>
      </c>
      <c r="CK8" s="2">
        <f t="shared" si="31"/>
        <v>14000</v>
      </c>
      <c r="CL8" s="33"/>
      <c r="CM8" s="30"/>
      <c r="CN8" s="2">
        <f t="shared" si="32"/>
        <v>0</v>
      </c>
      <c r="CO8" s="70">
        <f t="shared" si="33"/>
        <v>10000</v>
      </c>
      <c r="CP8" s="67">
        <f t="shared" si="33"/>
        <v>11</v>
      </c>
      <c r="CQ8" s="51">
        <f t="shared" si="33"/>
        <v>77000</v>
      </c>
      <c r="CR8" s="33"/>
      <c r="CS8" s="30">
        <v>1</v>
      </c>
      <c r="CT8" s="2">
        <f t="shared" si="34"/>
        <v>7000</v>
      </c>
      <c r="CU8" s="33"/>
      <c r="CV8" s="30">
        <v>2</v>
      </c>
      <c r="CW8" s="2">
        <f t="shared" si="35"/>
        <v>14000</v>
      </c>
      <c r="CX8" s="33">
        <v>10000</v>
      </c>
      <c r="CY8" s="30">
        <v>2</v>
      </c>
      <c r="CZ8" s="2">
        <f t="shared" si="36"/>
        <v>14000</v>
      </c>
      <c r="DA8" s="33"/>
      <c r="DB8" s="30">
        <v>2</v>
      </c>
      <c r="DC8" s="2">
        <f t="shared" si="37"/>
        <v>14000</v>
      </c>
      <c r="DD8" s="33"/>
      <c r="DE8" s="99">
        <v>2.5</v>
      </c>
      <c r="DF8" s="2">
        <f t="shared" si="38"/>
        <v>17500</v>
      </c>
      <c r="DG8" s="33"/>
      <c r="DH8" s="99">
        <v>1.5</v>
      </c>
      <c r="DI8" s="2">
        <f t="shared" si="39"/>
        <v>10500</v>
      </c>
      <c r="DJ8" s="33"/>
      <c r="DK8" s="30"/>
      <c r="DL8" s="2">
        <f t="shared" si="40"/>
        <v>0</v>
      </c>
      <c r="DM8" s="70">
        <f t="shared" si="41"/>
        <v>10000</v>
      </c>
      <c r="DN8" s="67">
        <f t="shared" si="41"/>
        <v>11</v>
      </c>
      <c r="DO8" s="51">
        <f t="shared" si="41"/>
        <v>77000</v>
      </c>
      <c r="DP8" s="52">
        <v>45000</v>
      </c>
      <c r="DQ8" s="107">
        <f t="shared" si="1"/>
        <v>52</v>
      </c>
      <c r="DR8" s="54">
        <f t="shared" si="2"/>
        <v>364000</v>
      </c>
    </row>
    <row r="9" spans="1:122" s="26" customFormat="1" ht="17.100000000000001" customHeight="1" thickBot="1" x14ac:dyDescent="0.25">
      <c r="A9" s="93" t="s">
        <v>27</v>
      </c>
      <c r="B9" s="19">
        <v>7000</v>
      </c>
      <c r="C9" s="29"/>
      <c r="D9" s="30"/>
      <c r="E9" s="2">
        <f t="shared" si="3"/>
        <v>0</v>
      </c>
      <c r="F9" s="29"/>
      <c r="G9" s="30"/>
      <c r="H9" s="2">
        <f t="shared" si="4"/>
        <v>0</v>
      </c>
      <c r="I9" s="29"/>
      <c r="J9" s="30"/>
      <c r="K9" s="2">
        <f t="shared" si="5"/>
        <v>0</v>
      </c>
      <c r="L9" s="84"/>
      <c r="M9" s="82"/>
      <c r="N9" s="83">
        <f t="shared" si="6"/>
        <v>0</v>
      </c>
      <c r="O9" s="31"/>
      <c r="P9" s="30"/>
      <c r="Q9" s="2">
        <f t="shared" si="7"/>
        <v>0</v>
      </c>
      <c r="R9" s="31"/>
      <c r="S9" s="30">
        <v>5</v>
      </c>
      <c r="T9" s="2">
        <f t="shared" si="8"/>
        <v>35000</v>
      </c>
      <c r="U9" s="70"/>
      <c r="V9" s="136">
        <v>5</v>
      </c>
      <c r="W9" s="2">
        <f t="shared" si="9"/>
        <v>35000</v>
      </c>
      <c r="X9" s="35"/>
      <c r="Y9" s="30">
        <v>4</v>
      </c>
      <c r="Z9" s="2">
        <f t="shared" si="10"/>
        <v>28000</v>
      </c>
      <c r="AA9" s="33"/>
      <c r="AB9" s="30">
        <v>5</v>
      </c>
      <c r="AC9" s="2">
        <f t="shared" si="11"/>
        <v>35000</v>
      </c>
      <c r="AD9" s="33"/>
      <c r="AE9" s="30">
        <v>5</v>
      </c>
      <c r="AF9" s="2">
        <f t="shared" si="12"/>
        <v>35000</v>
      </c>
      <c r="AG9" s="33"/>
      <c r="AH9" s="30">
        <v>4</v>
      </c>
      <c r="AI9" s="2">
        <f t="shared" si="13"/>
        <v>28000</v>
      </c>
      <c r="AJ9" s="33"/>
      <c r="AK9" s="30">
        <v>4</v>
      </c>
      <c r="AL9" s="2">
        <f t="shared" si="14"/>
        <v>28000</v>
      </c>
      <c r="AM9" s="33"/>
      <c r="AN9" s="30">
        <v>3</v>
      </c>
      <c r="AO9" s="2">
        <f t="shared" si="15"/>
        <v>21000</v>
      </c>
      <c r="AP9" s="33"/>
      <c r="AQ9" s="30">
        <v>3</v>
      </c>
      <c r="AR9" s="2">
        <f t="shared" si="16"/>
        <v>21000</v>
      </c>
      <c r="AS9" s="70">
        <f t="shared" si="17"/>
        <v>0</v>
      </c>
      <c r="AT9" s="67">
        <f t="shared" si="17"/>
        <v>28</v>
      </c>
      <c r="AU9" s="51">
        <f t="shared" si="17"/>
        <v>196000</v>
      </c>
      <c r="AV9" s="33"/>
      <c r="AW9" s="30">
        <v>3</v>
      </c>
      <c r="AX9" s="2">
        <f t="shared" si="18"/>
        <v>21000</v>
      </c>
      <c r="AY9" s="33"/>
      <c r="AZ9" s="30">
        <v>4</v>
      </c>
      <c r="BA9" s="2">
        <f t="shared" si="19"/>
        <v>28000</v>
      </c>
      <c r="BB9" s="33"/>
      <c r="BC9" s="30">
        <v>4</v>
      </c>
      <c r="BD9" s="2">
        <f t="shared" si="20"/>
        <v>28000</v>
      </c>
      <c r="BE9" s="33"/>
      <c r="BF9" s="30">
        <v>3</v>
      </c>
      <c r="BG9" s="2">
        <f t="shared" si="21"/>
        <v>21000</v>
      </c>
      <c r="BH9" s="33"/>
      <c r="BI9" s="30">
        <v>3</v>
      </c>
      <c r="BJ9" s="2">
        <f t="shared" si="22"/>
        <v>21000</v>
      </c>
      <c r="BK9" s="33"/>
      <c r="BL9" s="30">
        <v>3</v>
      </c>
      <c r="BM9" s="2">
        <f t="shared" si="23"/>
        <v>21000</v>
      </c>
      <c r="BN9" s="33"/>
      <c r="BO9" s="30">
        <v>3</v>
      </c>
      <c r="BP9" s="2">
        <f t="shared" si="24"/>
        <v>21000</v>
      </c>
      <c r="BQ9" s="70">
        <f t="shared" si="25"/>
        <v>0</v>
      </c>
      <c r="BR9" s="67">
        <f t="shared" si="25"/>
        <v>23</v>
      </c>
      <c r="BS9" s="51">
        <f t="shared" si="25"/>
        <v>161000</v>
      </c>
      <c r="BT9" s="33"/>
      <c r="BU9" s="30">
        <v>3</v>
      </c>
      <c r="BV9" s="2">
        <f t="shared" si="26"/>
        <v>21000</v>
      </c>
      <c r="BW9" s="33"/>
      <c r="BX9" s="30">
        <v>5</v>
      </c>
      <c r="BY9" s="2">
        <f t="shared" si="27"/>
        <v>35000</v>
      </c>
      <c r="BZ9" s="33"/>
      <c r="CA9" s="30">
        <v>5</v>
      </c>
      <c r="CB9" s="2">
        <f t="shared" si="28"/>
        <v>35000</v>
      </c>
      <c r="CC9" s="33"/>
      <c r="CD9" s="30">
        <v>5</v>
      </c>
      <c r="CE9" s="2">
        <f t="shared" si="29"/>
        <v>35000</v>
      </c>
      <c r="CF9" s="33"/>
      <c r="CG9" s="30">
        <v>3</v>
      </c>
      <c r="CH9" s="2">
        <f t="shared" si="30"/>
        <v>21000</v>
      </c>
      <c r="CI9" s="33"/>
      <c r="CJ9" s="30">
        <v>3</v>
      </c>
      <c r="CK9" s="2">
        <f t="shared" si="31"/>
        <v>21000</v>
      </c>
      <c r="CL9" s="33"/>
      <c r="CM9" s="30"/>
      <c r="CN9" s="2">
        <f t="shared" si="32"/>
        <v>0</v>
      </c>
      <c r="CO9" s="70">
        <f t="shared" si="33"/>
        <v>0</v>
      </c>
      <c r="CP9" s="67">
        <f t="shared" si="33"/>
        <v>24</v>
      </c>
      <c r="CQ9" s="51">
        <f t="shared" si="33"/>
        <v>168000</v>
      </c>
      <c r="CR9" s="33"/>
      <c r="CS9" s="30">
        <v>4</v>
      </c>
      <c r="CT9" s="2">
        <f t="shared" si="34"/>
        <v>28000</v>
      </c>
      <c r="CU9" s="33"/>
      <c r="CV9" s="30">
        <v>5</v>
      </c>
      <c r="CW9" s="2">
        <f t="shared" si="35"/>
        <v>35000</v>
      </c>
      <c r="CX9" s="33"/>
      <c r="CY9" s="30">
        <v>5</v>
      </c>
      <c r="CZ9" s="2">
        <f t="shared" si="36"/>
        <v>35000</v>
      </c>
      <c r="DA9" s="33"/>
      <c r="DB9" s="30">
        <v>5</v>
      </c>
      <c r="DC9" s="2">
        <f t="shared" si="37"/>
        <v>35000</v>
      </c>
      <c r="DD9" s="33"/>
      <c r="DE9" s="30">
        <v>5</v>
      </c>
      <c r="DF9" s="2">
        <f t="shared" si="38"/>
        <v>35000</v>
      </c>
      <c r="DG9" s="33"/>
      <c r="DH9" s="30">
        <v>4</v>
      </c>
      <c r="DI9" s="2">
        <f t="shared" si="39"/>
        <v>28000</v>
      </c>
      <c r="DJ9" s="33"/>
      <c r="DK9" s="30">
        <v>4</v>
      </c>
      <c r="DL9" s="2">
        <f t="shared" si="40"/>
        <v>28000</v>
      </c>
      <c r="DM9" s="70">
        <f t="shared" si="41"/>
        <v>0</v>
      </c>
      <c r="DN9" s="67">
        <f t="shared" si="41"/>
        <v>32</v>
      </c>
      <c r="DO9" s="51">
        <f t="shared" si="41"/>
        <v>224000</v>
      </c>
      <c r="DP9" s="52">
        <f t="shared" si="0"/>
        <v>0</v>
      </c>
      <c r="DQ9" s="53">
        <f t="shared" si="1"/>
        <v>112</v>
      </c>
      <c r="DR9" s="54">
        <f t="shared" si="2"/>
        <v>784000</v>
      </c>
    </row>
    <row r="10" spans="1:122" s="26" customFormat="1" ht="17.100000000000001" customHeight="1" thickBot="1" x14ac:dyDescent="0.25">
      <c r="A10" s="93" t="s">
        <v>52</v>
      </c>
      <c r="B10" s="19">
        <v>7000</v>
      </c>
      <c r="C10" s="29"/>
      <c r="D10" s="30"/>
      <c r="E10" s="2">
        <f t="shared" si="3"/>
        <v>0</v>
      </c>
      <c r="F10" s="29"/>
      <c r="G10" s="30"/>
      <c r="H10" s="2">
        <f t="shared" si="4"/>
        <v>0</v>
      </c>
      <c r="I10" s="29"/>
      <c r="J10" s="30"/>
      <c r="K10" s="2">
        <f t="shared" si="5"/>
        <v>0</v>
      </c>
      <c r="L10" s="84"/>
      <c r="M10" s="82"/>
      <c r="N10" s="83">
        <f t="shared" si="6"/>
        <v>0</v>
      </c>
      <c r="O10" s="31"/>
      <c r="P10" s="30">
        <v>3</v>
      </c>
      <c r="Q10" s="2">
        <f t="shared" si="7"/>
        <v>21000</v>
      </c>
      <c r="R10" s="31"/>
      <c r="S10" s="30">
        <v>5</v>
      </c>
      <c r="T10" s="2">
        <f t="shared" si="8"/>
        <v>35000</v>
      </c>
      <c r="U10" s="70"/>
      <c r="V10" s="136">
        <v>8</v>
      </c>
      <c r="W10" s="140">
        <f t="shared" si="9"/>
        <v>56000</v>
      </c>
      <c r="X10" s="35"/>
      <c r="Y10" s="30">
        <v>3</v>
      </c>
      <c r="Z10" s="2">
        <f t="shared" si="10"/>
        <v>21000</v>
      </c>
      <c r="AA10" s="33"/>
      <c r="AB10" s="99">
        <v>4.5</v>
      </c>
      <c r="AC10" s="2">
        <f t="shared" si="11"/>
        <v>31500</v>
      </c>
      <c r="AD10" s="33"/>
      <c r="AE10" s="30"/>
      <c r="AF10" s="2">
        <f t="shared" si="12"/>
        <v>0</v>
      </c>
      <c r="AG10" s="33"/>
      <c r="AH10" s="30"/>
      <c r="AI10" s="2">
        <f t="shared" si="13"/>
        <v>0</v>
      </c>
      <c r="AJ10" s="33"/>
      <c r="AK10" s="30"/>
      <c r="AL10" s="2">
        <f t="shared" si="14"/>
        <v>0</v>
      </c>
      <c r="AM10" s="33"/>
      <c r="AN10" s="30"/>
      <c r="AO10" s="2">
        <f t="shared" si="15"/>
        <v>0</v>
      </c>
      <c r="AP10" s="33"/>
      <c r="AQ10" s="30"/>
      <c r="AR10" s="2">
        <f t="shared" si="16"/>
        <v>0</v>
      </c>
      <c r="AS10" s="70">
        <f t="shared" si="17"/>
        <v>0</v>
      </c>
      <c r="AT10" s="100">
        <f t="shared" si="17"/>
        <v>7.5</v>
      </c>
      <c r="AU10" s="51">
        <f t="shared" si="17"/>
        <v>52500</v>
      </c>
      <c r="AV10" s="33"/>
      <c r="AW10" s="30"/>
      <c r="AX10" s="2">
        <f t="shared" si="18"/>
        <v>0</v>
      </c>
      <c r="AY10" s="33"/>
      <c r="AZ10" s="30"/>
      <c r="BA10" s="2">
        <f t="shared" si="19"/>
        <v>0</v>
      </c>
      <c r="BB10" s="33"/>
      <c r="BC10" s="30"/>
      <c r="BD10" s="2">
        <f t="shared" si="20"/>
        <v>0</v>
      </c>
      <c r="BE10" s="33"/>
      <c r="BF10" s="30"/>
      <c r="BG10" s="2">
        <f t="shared" si="21"/>
        <v>0</v>
      </c>
      <c r="BH10" s="33"/>
      <c r="BI10" s="30"/>
      <c r="BJ10" s="2">
        <f t="shared" si="22"/>
        <v>0</v>
      </c>
      <c r="BK10" s="33"/>
      <c r="BL10" s="30"/>
      <c r="BM10" s="2">
        <f t="shared" si="23"/>
        <v>0</v>
      </c>
      <c r="BN10" s="33"/>
      <c r="BO10" s="30"/>
      <c r="BP10" s="2">
        <f t="shared" si="24"/>
        <v>0</v>
      </c>
      <c r="BQ10" s="70">
        <f t="shared" si="25"/>
        <v>0</v>
      </c>
      <c r="BR10" s="67">
        <f t="shared" si="25"/>
        <v>0</v>
      </c>
      <c r="BS10" s="51">
        <f t="shared" si="25"/>
        <v>0</v>
      </c>
      <c r="BT10" s="33"/>
      <c r="BU10" s="30"/>
      <c r="BV10" s="2">
        <f t="shared" si="26"/>
        <v>0</v>
      </c>
      <c r="BW10" s="33"/>
      <c r="BX10" s="30"/>
      <c r="BY10" s="2">
        <f t="shared" si="27"/>
        <v>0</v>
      </c>
      <c r="BZ10" s="33"/>
      <c r="CA10" s="30"/>
      <c r="CB10" s="2">
        <f t="shared" si="28"/>
        <v>0</v>
      </c>
      <c r="CC10" s="33"/>
      <c r="CD10" s="30"/>
      <c r="CE10" s="2">
        <f t="shared" si="29"/>
        <v>0</v>
      </c>
      <c r="CF10" s="33"/>
      <c r="CG10" s="30"/>
      <c r="CH10" s="2">
        <f t="shared" si="30"/>
        <v>0</v>
      </c>
      <c r="CI10" s="33"/>
      <c r="CJ10" s="30"/>
      <c r="CK10" s="2">
        <f t="shared" si="31"/>
        <v>0</v>
      </c>
      <c r="CL10" s="33"/>
      <c r="CM10" s="30"/>
      <c r="CN10" s="2">
        <f t="shared" si="32"/>
        <v>0</v>
      </c>
      <c r="CO10" s="70">
        <f t="shared" si="33"/>
        <v>0</v>
      </c>
      <c r="CP10" s="67">
        <f t="shared" si="33"/>
        <v>0</v>
      </c>
      <c r="CQ10" s="51">
        <f t="shared" si="33"/>
        <v>0</v>
      </c>
      <c r="CR10" s="33"/>
      <c r="CS10" s="30"/>
      <c r="CT10" s="2">
        <f t="shared" si="34"/>
        <v>0</v>
      </c>
      <c r="CU10" s="33"/>
      <c r="CV10" s="30"/>
      <c r="CW10" s="2">
        <f t="shared" si="35"/>
        <v>0</v>
      </c>
      <c r="CX10" s="33"/>
      <c r="CY10" s="30"/>
      <c r="CZ10" s="2">
        <f t="shared" si="36"/>
        <v>0</v>
      </c>
      <c r="DA10" s="33"/>
      <c r="DB10" s="30"/>
      <c r="DC10" s="2">
        <f t="shared" si="37"/>
        <v>0</v>
      </c>
      <c r="DD10" s="33"/>
      <c r="DE10" s="30"/>
      <c r="DF10" s="2">
        <f t="shared" si="38"/>
        <v>0</v>
      </c>
      <c r="DG10" s="33"/>
      <c r="DH10" s="30"/>
      <c r="DI10" s="2">
        <f t="shared" si="39"/>
        <v>0</v>
      </c>
      <c r="DJ10" s="33"/>
      <c r="DK10" s="30"/>
      <c r="DL10" s="2">
        <f t="shared" si="40"/>
        <v>0</v>
      </c>
      <c r="DM10" s="70">
        <f t="shared" si="41"/>
        <v>0</v>
      </c>
      <c r="DN10" s="67">
        <f t="shared" si="41"/>
        <v>0</v>
      </c>
      <c r="DO10" s="51">
        <f t="shared" si="41"/>
        <v>0</v>
      </c>
      <c r="DP10" s="52">
        <f t="shared" si="0"/>
        <v>0</v>
      </c>
      <c r="DQ10" s="53">
        <f t="shared" si="1"/>
        <v>15.5</v>
      </c>
      <c r="DR10" s="54">
        <f t="shared" si="2"/>
        <v>108500</v>
      </c>
    </row>
    <row r="11" spans="1:122" s="26" customFormat="1" ht="17.100000000000001" customHeight="1" thickBot="1" x14ac:dyDescent="0.25">
      <c r="A11" s="93" t="s">
        <v>29</v>
      </c>
      <c r="B11" s="19">
        <v>7000</v>
      </c>
      <c r="C11" s="29"/>
      <c r="D11" s="30"/>
      <c r="E11" s="2">
        <f t="shared" si="3"/>
        <v>0</v>
      </c>
      <c r="F11" s="29"/>
      <c r="G11" s="30"/>
      <c r="H11" s="2">
        <f t="shared" si="4"/>
        <v>0</v>
      </c>
      <c r="I11" s="29"/>
      <c r="J11" s="30"/>
      <c r="K11" s="2">
        <f t="shared" si="5"/>
        <v>0</v>
      </c>
      <c r="L11" s="84"/>
      <c r="M11" s="82"/>
      <c r="N11" s="83">
        <f t="shared" si="6"/>
        <v>0</v>
      </c>
      <c r="O11" s="31"/>
      <c r="P11" s="30">
        <v>2</v>
      </c>
      <c r="Q11" s="2">
        <f t="shared" si="7"/>
        <v>14000</v>
      </c>
      <c r="R11" s="31"/>
      <c r="S11" s="30"/>
      <c r="T11" s="2">
        <f t="shared" si="8"/>
        <v>0</v>
      </c>
      <c r="U11" s="70"/>
      <c r="V11" s="136">
        <v>2</v>
      </c>
      <c r="W11" s="2">
        <f t="shared" si="9"/>
        <v>14000</v>
      </c>
      <c r="X11" s="35"/>
      <c r="Y11" s="30"/>
      <c r="Z11" s="2">
        <f t="shared" si="10"/>
        <v>0</v>
      </c>
      <c r="AA11" s="33"/>
      <c r="AB11" s="30"/>
      <c r="AC11" s="2">
        <f t="shared" si="11"/>
        <v>0</v>
      </c>
      <c r="AD11" s="33"/>
      <c r="AE11" s="30"/>
      <c r="AF11" s="2">
        <f t="shared" si="12"/>
        <v>0</v>
      </c>
      <c r="AG11" s="33"/>
      <c r="AH11" s="30"/>
      <c r="AI11" s="2">
        <f t="shared" si="13"/>
        <v>0</v>
      </c>
      <c r="AJ11" s="33"/>
      <c r="AK11" s="30"/>
      <c r="AL11" s="2">
        <f t="shared" si="14"/>
        <v>0</v>
      </c>
      <c r="AM11" s="33"/>
      <c r="AN11" s="30"/>
      <c r="AO11" s="2">
        <f t="shared" si="15"/>
        <v>0</v>
      </c>
      <c r="AP11" s="33"/>
      <c r="AQ11" s="30"/>
      <c r="AR11" s="2">
        <f t="shared" si="16"/>
        <v>0</v>
      </c>
      <c r="AS11" s="70">
        <f t="shared" si="17"/>
        <v>0</v>
      </c>
      <c r="AT11" s="67">
        <f t="shared" si="17"/>
        <v>0</v>
      </c>
      <c r="AU11" s="51">
        <f t="shared" si="17"/>
        <v>0</v>
      </c>
      <c r="AV11" s="33"/>
      <c r="AW11" s="30"/>
      <c r="AX11" s="2">
        <f t="shared" si="18"/>
        <v>0</v>
      </c>
      <c r="AY11" s="33"/>
      <c r="AZ11" s="30"/>
      <c r="BA11" s="2">
        <f t="shared" si="19"/>
        <v>0</v>
      </c>
      <c r="BB11" s="33"/>
      <c r="BC11" s="30"/>
      <c r="BD11" s="2">
        <f t="shared" si="20"/>
        <v>0</v>
      </c>
      <c r="BE11" s="33"/>
      <c r="BF11" s="30"/>
      <c r="BG11" s="2">
        <f t="shared" si="21"/>
        <v>0</v>
      </c>
      <c r="BH11" s="33"/>
      <c r="BI11" s="30"/>
      <c r="BJ11" s="2">
        <f t="shared" si="22"/>
        <v>0</v>
      </c>
      <c r="BK11" s="33"/>
      <c r="BL11" s="30"/>
      <c r="BM11" s="2">
        <f t="shared" si="23"/>
        <v>0</v>
      </c>
      <c r="BN11" s="33"/>
      <c r="BO11" s="30"/>
      <c r="BP11" s="2">
        <f t="shared" si="24"/>
        <v>0</v>
      </c>
      <c r="BQ11" s="70">
        <f t="shared" si="25"/>
        <v>0</v>
      </c>
      <c r="BR11" s="67">
        <f t="shared" si="25"/>
        <v>0</v>
      </c>
      <c r="BS11" s="51">
        <f t="shared" si="25"/>
        <v>0</v>
      </c>
      <c r="BT11" s="33"/>
      <c r="BU11" s="30"/>
      <c r="BV11" s="2">
        <f t="shared" si="26"/>
        <v>0</v>
      </c>
      <c r="BW11" s="33"/>
      <c r="BX11" s="30"/>
      <c r="BY11" s="2">
        <f t="shared" si="27"/>
        <v>0</v>
      </c>
      <c r="BZ11" s="33"/>
      <c r="CA11" s="30"/>
      <c r="CB11" s="2">
        <f t="shared" si="28"/>
        <v>0</v>
      </c>
      <c r="CC11" s="33"/>
      <c r="CD11" s="30">
        <v>5</v>
      </c>
      <c r="CE11" s="2">
        <f t="shared" si="29"/>
        <v>35000</v>
      </c>
      <c r="CF11" s="33"/>
      <c r="CG11" s="30"/>
      <c r="CH11" s="2">
        <f t="shared" si="30"/>
        <v>0</v>
      </c>
      <c r="CI11" s="33"/>
      <c r="CJ11" s="30">
        <v>3</v>
      </c>
      <c r="CK11" s="2">
        <f t="shared" si="31"/>
        <v>21000</v>
      </c>
      <c r="CL11" s="33"/>
      <c r="CM11" s="30"/>
      <c r="CN11" s="2">
        <f t="shared" si="32"/>
        <v>0</v>
      </c>
      <c r="CO11" s="70">
        <f t="shared" si="33"/>
        <v>0</v>
      </c>
      <c r="CP11" s="67">
        <f t="shared" si="33"/>
        <v>8</v>
      </c>
      <c r="CQ11" s="51">
        <f t="shared" si="33"/>
        <v>56000</v>
      </c>
      <c r="CR11" s="33"/>
      <c r="CS11" s="30"/>
      <c r="CT11" s="2">
        <f t="shared" si="34"/>
        <v>0</v>
      </c>
      <c r="CU11" s="33"/>
      <c r="CV11" s="30"/>
      <c r="CW11" s="2">
        <f t="shared" si="35"/>
        <v>0</v>
      </c>
      <c r="CX11" s="33">
        <v>10000</v>
      </c>
      <c r="CY11" s="30"/>
      <c r="CZ11" s="2">
        <f t="shared" si="36"/>
        <v>0</v>
      </c>
      <c r="DA11" s="33"/>
      <c r="DB11" s="30"/>
      <c r="DC11" s="2">
        <f t="shared" si="37"/>
        <v>0</v>
      </c>
      <c r="DD11" s="33"/>
      <c r="DE11" s="30"/>
      <c r="DF11" s="2">
        <f t="shared" si="38"/>
        <v>0</v>
      </c>
      <c r="DG11" s="33"/>
      <c r="DH11" s="30"/>
      <c r="DI11" s="2">
        <f t="shared" si="39"/>
        <v>0</v>
      </c>
      <c r="DJ11" s="33"/>
      <c r="DK11" s="30"/>
      <c r="DL11" s="2">
        <f t="shared" si="40"/>
        <v>0</v>
      </c>
      <c r="DM11" s="70">
        <f t="shared" si="41"/>
        <v>10000</v>
      </c>
      <c r="DN11" s="67">
        <f t="shared" si="41"/>
        <v>0</v>
      </c>
      <c r="DO11" s="51">
        <f t="shared" si="41"/>
        <v>0</v>
      </c>
      <c r="DP11" s="52">
        <f t="shared" si="0"/>
        <v>10000</v>
      </c>
      <c r="DQ11" s="53">
        <f t="shared" si="1"/>
        <v>10</v>
      </c>
      <c r="DR11" s="54">
        <f t="shared" si="2"/>
        <v>70000</v>
      </c>
    </row>
    <row r="12" spans="1:122" s="26" customFormat="1" ht="17.100000000000001" customHeight="1" thickBot="1" x14ac:dyDescent="0.25">
      <c r="A12" s="93" t="s">
        <v>63</v>
      </c>
      <c r="B12" s="19">
        <v>6000</v>
      </c>
      <c r="C12" s="34"/>
      <c r="D12" s="30"/>
      <c r="E12" s="2">
        <f t="shared" si="3"/>
        <v>0</v>
      </c>
      <c r="F12" s="34"/>
      <c r="G12" s="30"/>
      <c r="H12" s="2">
        <f t="shared" si="4"/>
        <v>0</v>
      </c>
      <c r="I12" s="34"/>
      <c r="J12" s="30"/>
      <c r="K12" s="2">
        <f t="shared" si="5"/>
        <v>0</v>
      </c>
      <c r="L12" s="84"/>
      <c r="M12" s="82"/>
      <c r="N12" s="83">
        <f t="shared" si="6"/>
        <v>0</v>
      </c>
      <c r="O12" s="31"/>
      <c r="P12" s="30">
        <v>2</v>
      </c>
      <c r="Q12" s="2">
        <f t="shared" si="7"/>
        <v>12000</v>
      </c>
      <c r="R12" s="31"/>
      <c r="S12" s="30"/>
      <c r="T12" s="2">
        <f t="shared" si="8"/>
        <v>0</v>
      </c>
      <c r="U12" s="70"/>
      <c r="V12" s="136">
        <v>2</v>
      </c>
      <c r="W12" s="140">
        <f t="shared" si="9"/>
        <v>12000</v>
      </c>
      <c r="X12" s="35"/>
      <c r="Y12" s="30"/>
      <c r="Z12" s="2">
        <f t="shared" si="10"/>
        <v>0</v>
      </c>
      <c r="AA12" s="33"/>
      <c r="AB12" s="30"/>
      <c r="AC12" s="2">
        <f t="shared" si="11"/>
        <v>0</v>
      </c>
      <c r="AD12" s="33"/>
      <c r="AE12" s="30"/>
      <c r="AF12" s="2">
        <f t="shared" si="12"/>
        <v>0</v>
      </c>
      <c r="AG12" s="33"/>
      <c r="AH12" s="30"/>
      <c r="AI12" s="2">
        <f t="shared" si="13"/>
        <v>0</v>
      </c>
      <c r="AJ12" s="33"/>
      <c r="AK12" s="30">
        <v>1</v>
      </c>
      <c r="AL12" s="2">
        <f t="shared" si="14"/>
        <v>6000</v>
      </c>
      <c r="AM12" s="33"/>
      <c r="AN12" s="30"/>
      <c r="AO12" s="2">
        <f t="shared" si="15"/>
        <v>0</v>
      </c>
      <c r="AP12" s="33"/>
      <c r="AQ12" s="30"/>
      <c r="AR12" s="2">
        <f t="shared" si="16"/>
        <v>0</v>
      </c>
      <c r="AS12" s="70">
        <f t="shared" si="17"/>
        <v>0</v>
      </c>
      <c r="AT12" s="67">
        <f t="shared" si="17"/>
        <v>1</v>
      </c>
      <c r="AU12" s="51">
        <f t="shared" si="17"/>
        <v>6000</v>
      </c>
      <c r="AV12" s="33"/>
      <c r="AW12" s="30"/>
      <c r="AX12" s="2">
        <f t="shared" si="18"/>
        <v>0</v>
      </c>
      <c r="AY12" s="33"/>
      <c r="AZ12" s="30">
        <v>2</v>
      </c>
      <c r="BA12" s="2">
        <f t="shared" si="19"/>
        <v>12000</v>
      </c>
      <c r="BB12" s="33"/>
      <c r="BC12" s="30">
        <v>3</v>
      </c>
      <c r="BD12" s="2">
        <f t="shared" si="20"/>
        <v>18000</v>
      </c>
      <c r="BE12" s="33"/>
      <c r="BF12" s="30"/>
      <c r="BG12" s="2">
        <f t="shared" si="21"/>
        <v>0</v>
      </c>
      <c r="BH12" s="33"/>
      <c r="BI12" s="30"/>
      <c r="BJ12" s="2">
        <f t="shared" si="22"/>
        <v>0</v>
      </c>
      <c r="BK12" s="33"/>
      <c r="BL12" s="30">
        <v>2</v>
      </c>
      <c r="BM12" s="2">
        <f t="shared" si="23"/>
        <v>12000</v>
      </c>
      <c r="BN12" s="33"/>
      <c r="BO12" s="30"/>
      <c r="BP12" s="2">
        <f t="shared" si="24"/>
        <v>0</v>
      </c>
      <c r="BQ12" s="70">
        <f t="shared" si="25"/>
        <v>0</v>
      </c>
      <c r="BR12" s="67">
        <f t="shared" si="25"/>
        <v>7</v>
      </c>
      <c r="BS12" s="51">
        <f t="shared" si="25"/>
        <v>42000</v>
      </c>
      <c r="BT12" s="33"/>
      <c r="BU12" s="30">
        <v>2</v>
      </c>
      <c r="BV12" s="2">
        <f t="shared" si="26"/>
        <v>12000</v>
      </c>
      <c r="BW12" s="33"/>
      <c r="BX12" s="30">
        <v>3</v>
      </c>
      <c r="BY12" s="2">
        <f t="shared" si="27"/>
        <v>18000</v>
      </c>
      <c r="BZ12" s="33"/>
      <c r="CA12" s="30"/>
      <c r="CB12" s="2">
        <f t="shared" si="28"/>
        <v>0</v>
      </c>
      <c r="CC12" s="33"/>
      <c r="CD12" s="30"/>
      <c r="CE12" s="2">
        <f t="shared" si="29"/>
        <v>0</v>
      </c>
      <c r="CF12" s="33"/>
      <c r="CG12" s="30"/>
      <c r="CH12" s="2">
        <f t="shared" si="30"/>
        <v>0</v>
      </c>
      <c r="CI12" s="33"/>
      <c r="CJ12" s="30"/>
      <c r="CK12" s="2">
        <f t="shared" si="31"/>
        <v>0</v>
      </c>
      <c r="CL12" s="33"/>
      <c r="CM12" s="30"/>
      <c r="CN12" s="2">
        <f t="shared" si="32"/>
        <v>0</v>
      </c>
      <c r="CO12" s="70">
        <f t="shared" si="33"/>
        <v>0</v>
      </c>
      <c r="CP12" s="67">
        <f t="shared" si="33"/>
        <v>5</v>
      </c>
      <c r="CQ12" s="51">
        <f t="shared" si="33"/>
        <v>30000</v>
      </c>
      <c r="CR12" s="33"/>
      <c r="CS12" s="30">
        <v>2</v>
      </c>
      <c r="CT12" s="2">
        <f t="shared" si="34"/>
        <v>12000</v>
      </c>
      <c r="CU12" s="33"/>
      <c r="CV12" s="30">
        <v>2</v>
      </c>
      <c r="CW12" s="2">
        <f t="shared" si="35"/>
        <v>12000</v>
      </c>
      <c r="CX12" s="33"/>
      <c r="CY12" s="30">
        <v>2</v>
      </c>
      <c r="CZ12" s="2">
        <f t="shared" si="36"/>
        <v>12000</v>
      </c>
      <c r="DA12" s="33"/>
      <c r="DB12" s="30"/>
      <c r="DC12" s="2">
        <f t="shared" si="37"/>
        <v>0</v>
      </c>
      <c r="DD12" s="33"/>
      <c r="DE12" s="30"/>
      <c r="DF12" s="2">
        <f t="shared" si="38"/>
        <v>0</v>
      </c>
      <c r="DG12" s="33"/>
      <c r="DH12" s="30"/>
      <c r="DI12" s="2">
        <f t="shared" si="39"/>
        <v>0</v>
      </c>
      <c r="DJ12" s="33"/>
      <c r="DK12" s="30"/>
      <c r="DL12" s="2">
        <f t="shared" si="40"/>
        <v>0</v>
      </c>
      <c r="DM12" s="70">
        <f t="shared" si="41"/>
        <v>0</v>
      </c>
      <c r="DN12" s="67">
        <f t="shared" si="41"/>
        <v>6</v>
      </c>
      <c r="DO12" s="51">
        <f t="shared" si="41"/>
        <v>36000</v>
      </c>
      <c r="DP12" s="52">
        <f t="shared" si="0"/>
        <v>0</v>
      </c>
      <c r="DQ12" s="53">
        <f t="shared" si="1"/>
        <v>21</v>
      </c>
      <c r="DR12" s="54">
        <f t="shared" si="2"/>
        <v>126000</v>
      </c>
    </row>
    <row r="13" spans="1:122" s="26" customFormat="1" ht="16.5" customHeight="1" thickBot="1" x14ac:dyDescent="0.25">
      <c r="A13" s="93" t="s">
        <v>31</v>
      </c>
      <c r="B13" s="19">
        <v>7000</v>
      </c>
      <c r="C13" s="29"/>
      <c r="D13" s="30"/>
      <c r="E13" s="2">
        <f t="shared" si="3"/>
        <v>0</v>
      </c>
      <c r="F13" s="29"/>
      <c r="G13" s="30"/>
      <c r="H13" s="2">
        <f t="shared" si="4"/>
        <v>0</v>
      </c>
      <c r="I13" s="29"/>
      <c r="J13" s="30"/>
      <c r="K13" s="2">
        <f t="shared" si="5"/>
        <v>0</v>
      </c>
      <c r="L13" s="84"/>
      <c r="M13" s="82"/>
      <c r="N13" s="83">
        <f t="shared" si="6"/>
        <v>0</v>
      </c>
      <c r="O13" s="31"/>
      <c r="P13" s="30">
        <v>2</v>
      </c>
      <c r="Q13" s="2">
        <f t="shared" si="7"/>
        <v>14000</v>
      </c>
      <c r="R13" s="31"/>
      <c r="S13" s="30">
        <v>3</v>
      </c>
      <c r="T13" s="2">
        <f t="shared" si="8"/>
        <v>21000</v>
      </c>
      <c r="U13" s="70"/>
      <c r="V13" s="136">
        <v>5</v>
      </c>
      <c r="W13" s="2">
        <f t="shared" si="9"/>
        <v>35000</v>
      </c>
      <c r="X13" s="35"/>
      <c r="Y13" s="30">
        <v>1</v>
      </c>
      <c r="Z13" s="2">
        <f t="shared" si="10"/>
        <v>7000</v>
      </c>
      <c r="AA13" s="33"/>
      <c r="AB13" s="30">
        <v>2</v>
      </c>
      <c r="AC13" s="2">
        <f t="shared" si="11"/>
        <v>14000</v>
      </c>
      <c r="AD13" s="33"/>
      <c r="AE13" s="30"/>
      <c r="AF13" s="2">
        <f t="shared" si="12"/>
        <v>0</v>
      </c>
      <c r="AG13" s="33"/>
      <c r="AH13" s="30">
        <v>2</v>
      </c>
      <c r="AI13" s="2">
        <f t="shared" si="13"/>
        <v>14000</v>
      </c>
      <c r="AJ13" s="33"/>
      <c r="AK13" s="30">
        <v>1</v>
      </c>
      <c r="AL13" s="2">
        <f t="shared" si="14"/>
        <v>7000</v>
      </c>
      <c r="AM13" s="33"/>
      <c r="AN13" s="30">
        <v>1</v>
      </c>
      <c r="AO13" s="2">
        <f t="shared" si="15"/>
        <v>7000</v>
      </c>
      <c r="AP13" s="33"/>
      <c r="AQ13" s="30">
        <v>2</v>
      </c>
      <c r="AR13" s="2">
        <f t="shared" si="16"/>
        <v>14000</v>
      </c>
      <c r="AS13" s="70">
        <f t="shared" si="17"/>
        <v>0</v>
      </c>
      <c r="AT13" s="67">
        <f t="shared" si="17"/>
        <v>9</v>
      </c>
      <c r="AU13" s="51">
        <f t="shared" si="17"/>
        <v>63000</v>
      </c>
      <c r="AV13" s="33"/>
      <c r="AW13" s="30"/>
      <c r="AX13" s="2">
        <f t="shared" si="18"/>
        <v>0</v>
      </c>
      <c r="AY13" s="33"/>
      <c r="AZ13" s="30">
        <v>1</v>
      </c>
      <c r="BA13" s="2">
        <f t="shared" si="19"/>
        <v>7000</v>
      </c>
      <c r="BB13" s="33"/>
      <c r="BC13" s="30">
        <v>1</v>
      </c>
      <c r="BD13" s="2">
        <f t="shared" si="20"/>
        <v>7000</v>
      </c>
      <c r="BE13" s="33"/>
      <c r="BF13" s="30">
        <v>1</v>
      </c>
      <c r="BG13" s="2">
        <f t="shared" si="21"/>
        <v>7000</v>
      </c>
      <c r="BH13" s="33"/>
      <c r="BI13" s="99"/>
      <c r="BJ13" s="2">
        <f t="shared" si="22"/>
        <v>0</v>
      </c>
      <c r="BK13" s="33"/>
      <c r="BL13" s="30">
        <v>1</v>
      </c>
      <c r="BM13" s="2">
        <f t="shared" si="23"/>
        <v>7000</v>
      </c>
      <c r="BN13" s="33"/>
      <c r="BO13" s="30">
        <v>1</v>
      </c>
      <c r="BP13" s="2">
        <f t="shared" si="24"/>
        <v>7000</v>
      </c>
      <c r="BQ13" s="70">
        <f t="shared" si="25"/>
        <v>0</v>
      </c>
      <c r="BR13" s="67">
        <f t="shared" si="25"/>
        <v>5</v>
      </c>
      <c r="BS13" s="51">
        <f t="shared" si="25"/>
        <v>35000</v>
      </c>
      <c r="BT13" s="33"/>
      <c r="BU13" s="30">
        <v>1</v>
      </c>
      <c r="BV13" s="2">
        <f t="shared" si="26"/>
        <v>7000</v>
      </c>
      <c r="BW13" s="33"/>
      <c r="BX13" s="30">
        <v>2</v>
      </c>
      <c r="BY13" s="2">
        <f t="shared" si="27"/>
        <v>14000</v>
      </c>
      <c r="BZ13" s="33"/>
      <c r="CA13" s="30">
        <v>2</v>
      </c>
      <c r="CB13" s="2">
        <f t="shared" si="28"/>
        <v>14000</v>
      </c>
      <c r="CC13" s="33"/>
      <c r="CD13" s="30">
        <v>2</v>
      </c>
      <c r="CE13" s="2">
        <f t="shared" si="29"/>
        <v>14000</v>
      </c>
      <c r="CF13" s="33"/>
      <c r="CG13" s="30">
        <v>1</v>
      </c>
      <c r="CH13" s="2">
        <f t="shared" si="30"/>
        <v>7000</v>
      </c>
      <c r="CI13" s="33"/>
      <c r="CJ13" s="99">
        <v>1.5</v>
      </c>
      <c r="CK13" s="2">
        <f t="shared" si="31"/>
        <v>10500</v>
      </c>
      <c r="CL13" s="33"/>
      <c r="CM13" s="30"/>
      <c r="CN13" s="2">
        <f t="shared" si="32"/>
        <v>0</v>
      </c>
      <c r="CO13" s="70">
        <f t="shared" si="33"/>
        <v>0</v>
      </c>
      <c r="CP13" s="100">
        <f t="shared" si="33"/>
        <v>9.5</v>
      </c>
      <c r="CQ13" s="51">
        <f t="shared" si="33"/>
        <v>66500</v>
      </c>
      <c r="CR13" s="33"/>
      <c r="CS13" s="30"/>
      <c r="CT13" s="2">
        <f t="shared" si="34"/>
        <v>0</v>
      </c>
      <c r="CU13" s="33"/>
      <c r="CV13" s="30">
        <v>1</v>
      </c>
      <c r="CW13" s="2">
        <f t="shared" si="35"/>
        <v>7000</v>
      </c>
      <c r="CX13" s="33"/>
      <c r="CY13" s="30">
        <v>2</v>
      </c>
      <c r="CZ13" s="2">
        <f t="shared" si="36"/>
        <v>14000</v>
      </c>
      <c r="DA13" s="33"/>
      <c r="DB13" s="30">
        <v>1</v>
      </c>
      <c r="DC13" s="2">
        <f t="shared" si="37"/>
        <v>7000</v>
      </c>
      <c r="DD13" s="33"/>
      <c r="DE13" s="30"/>
      <c r="DF13" s="2">
        <f t="shared" si="38"/>
        <v>0</v>
      </c>
      <c r="DG13" s="33"/>
      <c r="DH13" s="30">
        <v>1</v>
      </c>
      <c r="DI13" s="2">
        <f t="shared" si="39"/>
        <v>7000</v>
      </c>
      <c r="DJ13" s="33"/>
      <c r="DK13" s="30">
        <v>1</v>
      </c>
      <c r="DL13" s="2">
        <f t="shared" si="40"/>
        <v>7000</v>
      </c>
      <c r="DM13" s="70">
        <f t="shared" si="41"/>
        <v>0</v>
      </c>
      <c r="DN13" s="67">
        <f t="shared" si="41"/>
        <v>6</v>
      </c>
      <c r="DO13" s="51">
        <f t="shared" si="41"/>
        <v>42000</v>
      </c>
      <c r="DP13" s="52">
        <f t="shared" si="0"/>
        <v>0</v>
      </c>
      <c r="DQ13" s="53">
        <f t="shared" si="1"/>
        <v>34.5</v>
      </c>
      <c r="DR13" s="54">
        <f t="shared" si="2"/>
        <v>241500</v>
      </c>
    </row>
    <row r="14" spans="1:122" s="26" customFormat="1" ht="17.100000000000001" customHeight="1" thickBot="1" x14ac:dyDescent="0.25">
      <c r="A14" s="93" t="s">
        <v>68</v>
      </c>
      <c r="B14" s="19">
        <v>6000</v>
      </c>
      <c r="C14" s="29"/>
      <c r="D14" s="30"/>
      <c r="E14" s="2">
        <f t="shared" si="3"/>
        <v>0</v>
      </c>
      <c r="F14" s="29"/>
      <c r="G14" s="30"/>
      <c r="H14" s="2">
        <f t="shared" si="4"/>
        <v>0</v>
      </c>
      <c r="I14" s="29"/>
      <c r="J14" s="30"/>
      <c r="K14" s="2">
        <f t="shared" si="5"/>
        <v>0</v>
      </c>
      <c r="L14" s="84"/>
      <c r="M14" s="82"/>
      <c r="N14" s="83">
        <f t="shared" si="6"/>
        <v>0</v>
      </c>
      <c r="O14" s="31"/>
      <c r="P14" s="30"/>
      <c r="Q14" s="2">
        <f t="shared" si="7"/>
        <v>0</v>
      </c>
      <c r="R14" s="31"/>
      <c r="S14" s="30"/>
      <c r="T14" s="2">
        <f t="shared" si="8"/>
        <v>0</v>
      </c>
      <c r="U14" s="70"/>
      <c r="V14" s="145"/>
      <c r="W14" s="140">
        <f t="shared" si="9"/>
        <v>0</v>
      </c>
      <c r="X14" s="35"/>
      <c r="Y14" s="30">
        <v>4</v>
      </c>
      <c r="Z14" s="2">
        <f t="shared" si="10"/>
        <v>24000</v>
      </c>
      <c r="AA14" s="33"/>
      <c r="AB14" s="30"/>
      <c r="AC14" s="2">
        <f t="shared" si="11"/>
        <v>0</v>
      </c>
      <c r="AD14" s="33"/>
      <c r="AE14" s="30"/>
      <c r="AF14" s="2">
        <f t="shared" si="12"/>
        <v>0</v>
      </c>
      <c r="AG14" s="33"/>
      <c r="AH14" s="30"/>
      <c r="AI14" s="2">
        <f t="shared" si="13"/>
        <v>0</v>
      </c>
      <c r="AJ14" s="33"/>
      <c r="AK14" s="30">
        <v>4</v>
      </c>
      <c r="AL14" s="2">
        <f t="shared" si="14"/>
        <v>24000</v>
      </c>
      <c r="AM14" s="33"/>
      <c r="AN14" s="30"/>
      <c r="AO14" s="2">
        <f t="shared" si="15"/>
        <v>0</v>
      </c>
      <c r="AP14" s="33"/>
      <c r="AQ14" s="30"/>
      <c r="AR14" s="2">
        <f t="shared" si="16"/>
        <v>0</v>
      </c>
      <c r="AS14" s="70">
        <f t="shared" si="17"/>
        <v>0</v>
      </c>
      <c r="AT14" s="67">
        <f t="shared" si="17"/>
        <v>8</v>
      </c>
      <c r="AU14" s="51">
        <f t="shared" si="17"/>
        <v>48000</v>
      </c>
      <c r="AV14" s="33"/>
      <c r="AW14" s="30"/>
      <c r="AX14" s="2">
        <f t="shared" si="18"/>
        <v>0</v>
      </c>
      <c r="AY14" s="33"/>
      <c r="AZ14" s="30"/>
      <c r="BA14" s="2">
        <f t="shared" si="19"/>
        <v>0</v>
      </c>
      <c r="BB14" s="33"/>
      <c r="BC14" s="30"/>
      <c r="BD14" s="2">
        <f t="shared" si="20"/>
        <v>0</v>
      </c>
      <c r="BE14" s="33"/>
      <c r="BF14" s="30"/>
      <c r="BG14" s="2">
        <f t="shared" si="21"/>
        <v>0</v>
      </c>
      <c r="BH14" s="33"/>
      <c r="BI14" s="30"/>
      <c r="BJ14" s="2">
        <f t="shared" si="22"/>
        <v>0</v>
      </c>
      <c r="BK14" s="33"/>
      <c r="BL14" s="30">
        <v>3</v>
      </c>
      <c r="BM14" s="2">
        <f t="shared" si="23"/>
        <v>18000</v>
      </c>
      <c r="BN14" s="33"/>
      <c r="BO14" s="30"/>
      <c r="BP14" s="2">
        <f t="shared" si="24"/>
        <v>0</v>
      </c>
      <c r="BQ14" s="70">
        <f t="shared" si="25"/>
        <v>0</v>
      </c>
      <c r="BR14" s="67">
        <f t="shared" si="25"/>
        <v>3</v>
      </c>
      <c r="BS14" s="51">
        <f t="shared" si="25"/>
        <v>18000</v>
      </c>
      <c r="BT14" s="33"/>
      <c r="BU14" s="30"/>
      <c r="BV14" s="2">
        <f t="shared" si="26"/>
        <v>0</v>
      </c>
      <c r="BW14" s="33"/>
      <c r="BX14" s="30"/>
      <c r="BY14" s="2">
        <f t="shared" si="27"/>
        <v>0</v>
      </c>
      <c r="BZ14" s="33"/>
      <c r="CA14" s="30"/>
      <c r="CB14" s="2">
        <f t="shared" si="28"/>
        <v>0</v>
      </c>
      <c r="CC14" s="33"/>
      <c r="CD14" s="30"/>
      <c r="CE14" s="2">
        <f t="shared" si="29"/>
        <v>0</v>
      </c>
      <c r="CF14" s="33"/>
      <c r="CG14" s="30"/>
      <c r="CH14" s="2">
        <f t="shared" si="30"/>
        <v>0</v>
      </c>
      <c r="CI14" s="33"/>
      <c r="CJ14" s="30"/>
      <c r="CK14" s="2">
        <f t="shared" si="31"/>
        <v>0</v>
      </c>
      <c r="CL14" s="33"/>
      <c r="CM14" s="30"/>
      <c r="CN14" s="2">
        <f t="shared" si="32"/>
        <v>0</v>
      </c>
      <c r="CO14" s="70">
        <f t="shared" si="33"/>
        <v>0</v>
      </c>
      <c r="CP14" s="67">
        <f t="shared" si="33"/>
        <v>0</v>
      </c>
      <c r="CQ14" s="51">
        <f t="shared" si="33"/>
        <v>0</v>
      </c>
      <c r="CR14" s="33"/>
      <c r="CS14" s="30"/>
      <c r="CT14" s="2">
        <f t="shared" si="34"/>
        <v>0</v>
      </c>
      <c r="CU14" s="33"/>
      <c r="CV14" s="30"/>
      <c r="CW14" s="2">
        <f t="shared" si="35"/>
        <v>0</v>
      </c>
      <c r="CX14" s="33"/>
      <c r="CY14" s="30"/>
      <c r="CZ14" s="2">
        <f t="shared" si="36"/>
        <v>0</v>
      </c>
      <c r="DA14" s="33"/>
      <c r="DB14" s="30"/>
      <c r="DC14" s="2">
        <f t="shared" si="37"/>
        <v>0</v>
      </c>
      <c r="DD14" s="33"/>
      <c r="DE14" s="30"/>
      <c r="DF14" s="2">
        <f t="shared" si="38"/>
        <v>0</v>
      </c>
      <c r="DG14" s="33">
        <v>5000</v>
      </c>
      <c r="DH14" s="30"/>
      <c r="DI14" s="2">
        <f t="shared" si="39"/>
        <v>0</v>
      </c>
      <c r="DJ14" s="33"/>
      <c r="DK14" s="30"/>
      <c r="DL14" s="2">
        <f t="shared" si="40"/>
        <v>0</v>
      </c>
      <c r="DM14" s="70">
        <f t="shared" si="41"/>
        <v>5000</v>
      </c>
      <c r="DN14" s="67">
        <f t="shared" si="41"/>
        <v>0</v>
      </c>
      <c r="DO14" s="51">
        <f t="shared" si="41"/>
        <v>0</v>
      </c>
      <c r="DP14" s="52">
        <f t="shared" si="0"/>
        <v>5000</v>
      </c>
      <c r="DQ14" s="53">
        <f t="shared" si="1"/>
        <v>11</v>
      </c>
      <c r="DR14" s="54">
        <f t="shared" si="2"/>
        <v>66000</v>
      </c>
    </row>
    <row r="15" spans="1:122" s="26" customFormat="1" ht="17.100000000000001" customHeight="1" thickBot="1" x14ac:dyDescent="0.25">
      <c r="A15" s="93" t="s">
        <v>69</v>
      </c>
      <c r="B15" s="19">
        <v>7000</v>
      </c>
      <c r="C15" s="29"/>
      <c r="D15" s="30"/>
      <c r="E15" s="2">
        <f t="shared" si="3"/>
        <v>0</v>
      </c>
      <c r="F15" s="29"/>
      <c r="G15" s="30"/>
      <c r="H15" s="2">
        <f t="shared" si="4"/>
        <v>0</v>
      </c>
      <c r="I15" s="29"/>
      <c r="J15" s="30"/>
      <c r="K15" s="2">
        <f t="shared" si="5"/>
        <v>0</v>
      </c>
      <c r="L15" s="84"/>
      <c r="M15" s="82"/>
      <c r="N15" s="83">
        <f t="shared" si="6"/>
        <v>0</v>
      </c>
      <c r="O15" s="31"/>
      <c r="P15" s="30"/>
      <c r="Q15" s="2">
        <f t="shared" si="7"/>
        <v>0</v>
      </c>
      <c r="R15" s="31"/>
      <c r="S15" s="30"/>
      <c r="T15" s="2">
        <f t="shared" si="8"/>
        <v>0</v>
      </c>
      <c r="U15" s="70"/>
      <c r="V15" s="136"/>
      <c r="W15" s="2">
        <f t="shared" si="9"/>
        <v>0</v>
      </c>
      <c r="X15" s="35"/>
      <c r="Y15" s="30"/>
      <c r="Z15" s="2">
        <f t="shared" si="10"/>
        <v>0</v>
      </c>
      <c r="AA15" s="33"/>
      <c r="AB15" s="30"/>
      <c r="AC15" s="2">
        <f t="shared" si="11"/>
        <v>0</v>
      </c>
      <c r="AD15" s="33"/>
      <c r="AE15" s="30"/>
      <c r="AF15" s="2">
        <f t="shared" si="12"/>
        <v>0</v>
      </c>
      <c r="AG15" s="33"/>
      <c r="AH15" s="30"/>
      <c r="AI15" s="2">
        <f t="shared" si="13"/>
        <v>0</v>
      </c>
      <c r="AJ15" s="33"/>
      <c r="AK15" s="30"/>
      <c r="AL15" s="2">
        <f t="shared" si="14"/>
        <v>0</v>
      </c>
      <c r="AM15" s="33"/>
      <c r="AN15" s="30"/>
      <c r="AO15" s="2">
        <f t="shared" si="15"/>
        <v>0</v>
      </c>
      <c r="AP15" s="33"/>
      <c r="AQ15" s="30"/>
      <c r="AR15" s="2">
        <f t="shared" si="16"/>
        <v>0</v>
      </c>
      <c r="AS15" s="70">
        <f t="shared" si="17"/>
        <v>0</v>
      </c>
      <c r="AT15" s="67">
        <v>0</v>
      </c>
      <c r="AU15" s="51">
        <f t="shared" si="17"/>
        <v>0</v>
      </c>
      <c r="AV15" s="33"/>
      <c r="AW15" s="30"/>
      <c r="AX15" s="2">
        <f t="shared" si="18"/>
        <v>0</v>
      </c>
      <c r="AY15" s="33"/>
      <c r="AZ15" s="30"/>
      <c r="BA15" s="2">
        <f t="shared" si="19"/>
        <v>0</v>
      </c>
      <c r="BB15" s="33"/>
      <c r="BC15" s="30"/>
      <c r="BD15" s="2">
        <f t="shared" si="20"/>
        <v>0</v>
      </c>
      <c r="BE15" s="33"/>
      <c r="BF15" s="30"/>
      <c r="BG15" s="2">
        <f t="shared" si="21"/>
        <v>0</v>
      </c>
      <c r="BH15" s="33"/>
      <c r="BI15" s="30"/>
      <c r="BJ15" s="2">
        <f t="shared" si="22"/>
        <v>0</v>
      </c>
      <c r="BK15" s="33"/>
      <c r="BL15" s="30"/>
      <c r="BM15" s="2">
        <f t="shared" si="23"/>
        <v>0</v>
      </c>
      <c r="BN15" s="33"/>
      <c r="BO15" s="30"/>
      <c r="BP15" s="2">
        <f t="shared" si="24"/>
        <v>0</v>
      </c>
      <c r="BQ15" s="70">
        <f t="shared" si="25"/>
        <v>0</v>
      </c>
      <c r="BR15" s="67">
        <v>0</v>
      </c>
      <c r="BS15" s="51">
        <f t="shared" si="25"/>
        <v>0</v>
      </c>
      <c r="BT15" s="33"/>
      <c r="BU15" s="30"/>
      <c r="BV15" s="2">
        <f t="shared" si="26"/>
        <v>0</v>
      </c>
      <c r="BW15" s="33"/>
      <c r="BX15" s="30"/>
      <c r="BY15" s="2">
        <f t="shared" si="27"/>
        <v>0</v>
      </c>
      <c r="BZ15" s="33"/>
      <c r="CA15" s="30">
        <v>2</v>
      </c>
      <c r="CB15" s="2">
        <f t="shared" si="28"/>
        <v>14000</v>
      </c>
      <c r="CC15" s="33"/>
      <c r="CD15" s="30"/>
      <c r="CE15" s="2">
        <f t="shared" si="29"/>
        <v>0</v>
      </c>
      <c r="CF15" s="33"/>
      <c r="CG15" s="30">
        <v>2</v>
      </c>
      <c r="CH15" s="2">
        <f t="shared" si="30"/>
        <v>14000</v>
      </c>
      <c r="CI15" s="33"/>
      <c r="CJ15" s="30">
        <v>1</v>
      </c>
      <c r="CK15" s="2">
        <f t="shared" si="31"/>
        <v>7000</v>
      </c>
      <c r="CL15" s="33"/>
      <c r="CM15" s="30"/>
      <c r="CN15" s="2">
        <f t="shared" si="32"/>
        <v>0</v>
      </c>
      <c r="CO15" s="70">
        <f t="shared" si="33"/>
        <v>0</v>
      </c>
      <c r="CP15" s="67">
        <f t="shared" ref="CP15" si="42">BU15+BX15+CA15+CD15+CG15+CJ15+CM15</f>
        <v>5</v>
      </c>
      <c r="CQ15" s="51">
        <f t="shared" ref="CQ15" si="43">BV15+BY15+CB15+CE15+CH15+CK15+CN15</f>
        <v>35000</v>
      </c>
      <c r="CR15" s="33"/>
      <c r="CS15" s="30"/>
      <c r="CT15" s="2">
        <f t="shared" si="34"/>
        <v>0</v>
      </c>
      <c r="CU15" s="33"/>
      <c r="CV15" s="30">
        <v>1</v>
      </c>
      <c r="CW15" s="2">
        <f t="shared" si="35"/>
        <v>7000</v>
      </c>
      <c r="CX15" s="33"/>
      <c r="CY15" s="30">
        <v>2</v>
      </c>
      <c r="CZ15" s="2">
        <f t="shared" si="36"/>
        <v>14000</v>
      </c>
      <c r="DA15" s="33"/>
      <c r="DB15" s="30">
        <v>2</v>
      </c>
      <c r="DC15" s="2">
        <f t="shared" si="37"/>
        <v>14000</v>
      </c>
      <c r="DD15" s="33"/>
      <c r="DE15" s="30">
        <v>3</v>
      </c>
      <c r="DF15" s="2">
        <f t="shared" si="38"/>
        <v>21000</v>
      </c>
      <c r="DG15" s="33"/>
      <c r="DH15" s="30">
        <v>3</v>
      </c>
      <c r="DI15" s="2">
        <f t="shared" si="39"/>
        <v>21000</v>
      </c>
      <c r="DJ15" s="33"/>
      <c r="DK15" s="99">
        <v>2.5</v>
      </c>
      <c r="DL15" s="2">
        <f t="shared" si="40"/>
        <v>17500</v>
      </c>
      <c r="DM15" s="70"/>
      <c r="DN15" s="67"/>
      <c r="DO15" s="51">
        <f t="shared" si="41"/>
        <v>94500</v>
      </c>
      <c r="DP15" s="52">
        <f t="shared" si="0"/>
        <v>0</v>
      </c>
      <c r="DQ15" s="107">
        <v>18.5</v>
      </c>
      <c r="DR15" s="54">
        <f t="shared" si="2"/>
        <v>129500</v>
      </c>
    </row>
    <row r="16" spans="1:122" s="26" customFormat="1" ht="17.100000000000001" customHeight="1" thickBot="1" x14ac:dyDescent="0.25">
      <c r="A16" s="93" t="s">
        <v>64</v>
      </c>
      <c r="B16" s="19">
        <v>6000</v>
      </c>
      <c r="C16" s="29"/>
      <c r="D16" s="30"/>
      <c r="E16" s="2">
        <f t="shared" si="3"/>
        <v>0</v>
      </c>
      <c r="F16" s="29"/>
      <c r="G16" s="30"/>
      <c r="H16" s="2">
        <f t="shared" si="4"/>
        <v>0</v>
      </c>
      <c r="I16" s="29"/>
      <c r="J16" s="30"/>
      <c r="K16" s="2">
        <f t="shared" si="5"/>
        <v>0</v>
      </c>
      <c r="L16" s="84"/>
      <c r="M16" s="82"/>
      <c r="N16" s="83">
        <f t="shared" si="6"/>
        <v>0</v>
      </c>
      <c r="O16" s="31"/>
      <c r="P16" s="30"/>
      <c r="Q16" s="2">
        <f t="shared" si="7"/>
        <v>0</v>
      </c>
      <c r="R16" s="31"/>
      <c r="S16" s="30"/>
      <c r="T16" s="2">
        <f t="shared" si="8"/>
        <v>0</v>
      </c>
      <c r="U16" s="70"/>
      <c r="V16" s="136"/>
      <c r="W16" s="2">
        <f t="shared" si="9"/>
        <v>0</v>
      </c>
      <c r="X16" s="35"/>
      <c r="Y16" s="30"/>
      <c r="Z16" s="2">
        <f t="shared" si="10"/>
        <v>0</v>
      </c>
      <c r="AA16" s="33"/>
      <c r="AB16" s="30"/>
      <c r="AC16" s="2">
        <f t="shared" si="11"/>
        <v>0</v>
      </c>
      <c r="AD16" s="33">
        <v>30000</v>
      </c>
      <c r="AE16" s="30"/>
      <c r="AF16" s="2">
        <f t="shared" si="12"/>
        <v>0</v>
      </c>
      <c r="AG16" s="33"/>
      <c r="AH16" s="30"/>
      <c r="AI16" s="2">
        <f t="shared" si="13"/>
        <v>0</v>
      </c>
      <c r="AJ16" s="33"/>
      <c r="AK16" s="30"/>
      <c r="AL16" s="2">
        <f t="shared" si="14"/>
        <v>0</v>
      </c>
      <c r="AM16" s="33"/>
      <c r="AN16" s="30"/>
      <c r="AO16" s="2">
        <f t="shared" si="15"/>
        <v>0</v>
      </c>
      <c r="AP16" s="33"/>
      <c r="AQ16" s="30"/>
      <c r="AR16" s="2">
        <f t="shared" si="16"/>
        <v>0</v>
      </c>
      <c r="AS16" s="70">
        <f t="shared" si="17"/>
        <v>30000</v>
      </c>
      <c r="AT16" s="67">
        <f t="shared" si="17"/>
        <v>0</v>
      </c>
      <c r="AU16" s="51">
        <f t="shared" si="17"/>
        <v>0</v>
      </c>
      <c r="AV16" s="33"/>
      <c r="AW16" s="30"/>
      <c r="AX16" s="2">
        <f t="shared" si="18"/>
        <v>0</v>
      </c>
      <c r="AY16" s="33">
        <v>20000</v>
      </c>
      <c r="AZ16" s="30"/>
      <c r="BA16" s="2">
        <f t="shared" si="19"/>
        <v>0</v>
      </c>
      <c r="BB16" s="33">
        <v>10000</v>
      </c>
      <c r="BC16" s="30"/>
      <c r="BD16" s="2">
        <f t="shared" si="20"/>
        <v>0</v>
      </c>
      <c r="BE16" s="33"/>
      <c r="BF16" s="30"/>
      <c r="BG16" s="2">
        <f t="shared" si="21"/>
        <v>0</v>
      </c>
      <c r="BH16" s="33"/>
      <c r="BI16" s="30"/>
      <c r="BJ16" s="2">
        <f t="shared" si="22"/>
        <v>0</v>
      </c>
      <c r="BK16" s="33"/>
      <c r="BL16" s="30"/>
      <c r="BM16" s="2">
        <f t="shared" si="23"/>
        <v>0</v>
      </c>
      <c r="BN16" s="33">
        <v>20000</v>
      </c>
      <c r="BO16" s="30"/>
      <c r="BP16" s="2">
        <f t="shared" si="24"/>
        <v>0</v>
      </c>
      <c r="BQ16" s="70">
        <f t="shared" si="25"/>
        <v>50000</v>
      </c>
      <c r="BR16" s="67">
        <f t="shared" si="25"/>
        <v>0</v>
      </c>
      <c r="BS16" s="51">
        <f t="shared" si="25"/>
        <v>0</v>
      </c>
      <c r="BT16" s="33"/>
      <c r="BU16" s="30"/>
      <c r="BV16" s="2">
        <f t="shared" si="26"/>
        <v>0</v>
      </c>
      <c r="BW16" s="33"/>
      <c r="BX16" s="30"/>
      <c r="BY16" s="2">
        <f t="shared" si="27"/>
        <v>0</v>
      </c>
      <c r="BZ16" s="33">
        <v>20000</v>
      </c>
      <c r="CA16" s="30"/>
      <c r="CB16" s="2">
        <f t="shared" si="28"/>
        <v>0</v>
      </c>
      <c r="CC16" s="33"/>
      <c r="CD16" s="30"/>
      <c r="CE16" s="2">
        <f t="shared" si="29"/>
        <v>0</v>
      </c>
      <c r="CF16" s="33"/>
      <c r="CG16" s="30"/>
      <c r="CH16" s="2">
        <f t="shared" si="30"/>
        <v>0</v>
      </c>
      <c r="CI16" s="33"/>
      <c r="CJ16" s="30"/>
      <c r="CK16" s="2">
        <f t="shared" si="31"/>
        <v>0</v>
      </c>
      <c r="CL16" s="33"/>
      <c r="CM16" s="30"/>
      <c r="CN16" s="2">
        <f t="shared" si="32"/>
        <v>0</v>
      </c>
      <c r="CO16" s="70">
        <f t="shared" si="33"/>
        <v>20000</v>
      </c>
      <c r="CP16" s="67">
        <f t="shared" si="33"/>
        <v>0</v>
      </c>
      <c r="CQ16" s="51">
        <f t="shared" si="33"/>
        <v>0</v>
      </c>
      <c r="CR16" s="33"/>
      <c r="CS16" s="30"/>
      <c r="CT16" s="2">
        <f t="shared" si="34"/>
        <v>0</v>
      </c>
      <c r="CU16" s="33">
        <v>40000</v>
      </c>
      <c r="CV16" s="30"/>
      <c r="CW16" s="2">
        <f t="shared" si="35"/>
        <v>0</v>
      </c>
      <c r="CX16" s="33"/>
      <c r="CY16" s="30"/>
      <c r="CZ16" s="2">
        <f t="shared" si="36"/>
        <v>0</v>
      </c>
      <c r="DA16" s="33">
        <v>30000</v>
      </c>
      <c r="DB16" s="30"/>
      <c r="DC16" s="2">
        <f t="shared" si="37"/>
        <v>0</v>
      </c>
      <c r="DD16" s="33"/>
      <c r="DE16" s="30"/>
      <c r="DF16" s="2">
        <f t="shared" si="38"/>
        <v>0</v>
      </c>
      <c r="DG16" s="33"/>
      <c r="DH16" s="30"/>
      <c r="DI16" s="2">
        <f t="shared" si="39"/>
        <v>0</v>
      </c>
      <c r="DJ16" s="33"/>
      <c r="DK16" s="30"/>
      <c r="DL16" s="2">
        <f t="shared" si="40"/>
        <v>0</v>
      </c>
      <c r="DM16" s="70">
        <f t="shared" si="41"/>
        <v>70000</v>
      </c>
      <c r="DN16" s="67">
        <f t="shared" si="41"/>
        <v>0</v>
      </c>
      <c r="DO16" s="51">
        <f t="shared" si="41"/>
        <v>0</v>
      </c>
      <c r="DP16" s="52">
        <v>170000</v>
      </c>
      <c r="DQ16" s="53">
        <f t="shared" si="1"/>
        <v>0</v>
      </c>
      <c r="DR16" s="54">
        <f t="shared" si="2"/>
        <v>0</v>
      </c>
    </row>
    <row r="17" spans="1:125" s="26" customFormat="1" ht="17.100000000000001" customHeight="1" thickBot="1" x14ac:dyDescent="0.25">
      <c r="A17" s="93" t="s">
        <v>58</v>
      </c>
      <c r="B17" s="19">
        <v>6000</v>
      </c>
      <c r="C17" s="29"/>
      <c r="D17" s="30"/>
      <c r="E17" s="2">
        <f t="shared" si="3"/>
        <v>0</v>
      </c>
      <c r="F17" s="29"/>
      <c r="G17" s="30"/>
      <c r="H17" s="2">
        <f t="shared" si="4"/>
        <v>0</v>
      </c>
      <c r="I17" s="29"/>
      <c r="J17" s="30"/>
      <c r="K17" s="2">
        <f t="shared" si="5"/>
        <v>0</v>
      </c>
      <c r="L17" s="84"/>
      <c r="M17" s="82"/>
      <c r="N17" s="83">
        <f t="shared" si="6"/>
        <v>0</v>
      </c>
      <c r="O17" s="31"/>
      <c r="P17" s="30"/>
      <c r="Q17" s="2">
        <f t="shared" si="7"/>
        <v>0</v>
      </c>
      <c r="R17" s="31"/>
      <c r="S17" s="30"/>
      <c r="T17" s="2">
        <f t="shared" si="8"/>
        <v>0</v>
      </c>
      <c r="U17" s="70"/>
      <c r="V17" s="136"/>
      <c r="W17" s="140">
        <f t="shared" si="9"/>
        <v>0</v>
      </c>
      <c r="X17" s="35"/>
      <c r="Y17" s="30"/>
      <c r="Z17" s="2">
        <f t="shared" si="10"/>
        <v>0</v>
      </c>
      <c r="AA17" s="33"/>
      <c r="AB17" s="30"/>
      <c r="AC17" s="2">
        <f t="shared" si="11"/>
        <v>0</v>
      </c>
      <c r="AD17" s="33"/>
      <c r="AE17" s="30"/>
      <c r="AF17" s="2">
        <f t="shared" si="12"/>
        <v>0</v>
      </c>
      <c r="AG17" s="33"/>
      <c r="AH17" s="30"/>
      <c r="AI17" s="2">
        <f t="shared" si="13"/>
        <v>0</v>
      </c>
      <c r="AJ17" s="33"/>
      <c r="AK17" s="30"/>
      <c r="AL17" s="2">
        <f t="shared" si="14"/>
        <v>0</v>
      </c>
      <c r="AM17" s="33"/>
      <c r="AN17" s="30">
        <v>3</v>
      </c>
      <c r="AO17" s="2">
        <f t="shared" si="15"/>
        <v>18000</v>
      </c>
      <c r="AP17" s="33"/>
      <c r="AQ17" s="30"/>
      <c r="AR17" s="2">
        <f t="shared" si="16"/>
        <v>0</v>
      </c>
      <c r="AS17" s="70">
        <f t="shared" si="17"/>
        <v>0</v>
      </c>
      <c r="AT17" s="67">
        <f t="shared" si="17"/>
        <v>3</v>
      </c>
      <c r="AU17" s="51">
        <f t="shared" si="17"/>
        <v>18000</v>
      </c>
      <c r="AV17" s="33"/>
      <c r="AW17" s="30"/>
      <c r="AX17" s="2">
        <f t="shared" si="18"/>
        <v>0</v>
      </c>
      <c r="AY17" s="33"/>
      <c r="AZ17" s="30"/>
      <c r="BA17" s="2">
        <f t="shared" si="19"/>
        <v>0</v>
      </c>
      <c r="BB17" s="33"/>
      <c r="BC17" s="30"/>
      <c r="BD17" s="2">
        <f t="shared" si="20"/>
        <v>0</v>
      </c>
      <c r="BE17" s="33"/>
      <c r="BF17" s="30"/>
      <c r="BG17" s="2">
        <f t="shared" si="21"/>
        <v>0</v>
      </c>
      <c r="BH17" s="33"/>
      <c r="BI17" s="30"/>
      <c r="BJ17" s="2">
        <f t="shared" si="22"/>
        <v>0</v>
      </c>
      <c r="BK17" s="33"/>
      <c r="BL17" s="30"/>
      <c r="BM17" s="2">
        <f t="shared" si="23"/>
        <v>0</v>
      </c>
      <c r="BN17" s="33"/>
      <c r="BO17" s="30"/>
      <c r="BP17" s="2">
        <f t="shared" si="24"/>
        <v>0</v>
      </c>
      <c r="BQ17" s="70">
        <f t="shared" si="25"/>
        <v>0</v>
      </c>
      <c r="BR17" s="67">
        <f t="shared" si="25"/>
        <v>0</v>
      </c>
      <c r="BS17" s="51">
        <f t="shared" si="25"/>
        <v>0</v>
      </c>
      <c r="BT17" s="33"/>
      <c r="BU17" s="30"/>
      <c r="BV17" s="2">
        <f t="shared" si="26"/>
        <v>0</v>
      </c>
      <c r="BW17" s="33"/>
      <c r="BX17" s="30"/>
      <c r="BY17" s="2">
        <f t="shared" si="27"/>
        <v>0</v>
      </c>
      <c r="BZ17" s="33"/>
      <c r="CA17" s="30"/>
      <c r="CB17" s="2">
        <f t="shared" si="28"/>
        <v>0</v>
      </c>
      <c r="CC17" s="33">
        <v>5000</v>
      </c>
      <c r="CD17" s="30"/>
      <c r="CE17" s="2">
        <f t="shared" si="29"/>
        <v>0</v>
      </c>
      <c r="CF17" s="33"/>
      <c r="CG17" s="30"/>
      <c r="CH17" s="2">
        <f t="shared" si="30"/>
        <v>0</v>
      </c>
      <c r="CI17" s="33"/>
      <c r="CJ17" s="30"/>
      <c r="CK17" s="2">
        <f t="shared" si="31"/>
        <v>0</v>
      </c>
      <c r="CL17" s="33"/>
      <c r="CM17" s="30"/>
      <c r="CN17" s="2">
        <f t="shared" si="32"/>
        <v>0</v>
      </c>
      <c r="CO17" s="70">
        <f t="shared" si="33"/>
        <v>5000</v>
      </c>
      <c r="CP17" s="67">
        <f t="shared" si="33"/>
        <v>0</v>
      </c>
      <c r="CQ17" s="51">
        <f t="shared" si="33"/>
        <v>0</v>
      </c>
      <c r="CR17" s="33"/>
      <c r="CS17" s="30"/>
      <c r="CT17" s="2">
        <f t="shared" si="34"/>
        <v>0</v>
      </c>
      <c r="CU17" s="33"/>
      <c r="CV17" s="30"/>
      <c r="CW17" s="2">
        <f t="shared" si="35"/>
        <v>0</v>
      </c>
      <c r="CX17" s="33"/>
      <c r="CY17" s="30"/>
      <c r="CZ17" s="2">
        <f t="shared" si="36"/>
        <v>0</v>
      </c>
      <c r="DA17" s="33">
        <v>30000</v>
      </c>
      <c r="DB17" s="30"/>
      <c r="DC17" s="2">
        <f t="shared" si="37"/>
        <v>0</v>
      </c>
      <c r="DD17" s="33">
        <v>10000</v>
      </c>
      <c r="DE17" s="30"/>
      <c r="DF17" s="2">
        <f t="shared" si="38"/>
        <v>0</v>
      </c>
      <c r="DG17" s="33"/>
      <c r="DH17" s="30"/>
      <c r="DI17" s="2">
        <f t="shared" si="39"/>
        <v>0</v>
      </c>
      <c r="DJ17" s="33"/>
      <c r="DK17" s="30"/>
      <c r="DL17" s="2">
        <f t="shared" si="40"/>
        <v>0</v>
      </c>
      <c r="DM17" s="70">
        <f t="shared" si="41"/>
        <v>40000</v>
      </c>
      <c r="DN17" s="67">
        <f t="shared" si="41"/>
        <v>0</v>
      </c>
      <c r="DO17" s="51">
        <f t="shared" si="41"/>
        <v>0</v>
      </c>
      <c r="DP17" s="52">
        <f t="shared" si="0"/>
        <v>45000</v>
      </c>
      <c r="DQ17" s="53">
        <f t="shared" si="1"/>
        <v>3</v>
      </c>
      <c r="DR17" s="54">
        <f t="shared" si="2"/>
        <v>18000</v>
      </c>
    </row>
    <row r="18" spans="1:125" s="26" customFormat="1" ht="17.100000000000001" customHeight="1" thickBot="1" x14ac:dyDescent="0.25">
      <c r="A18" s="93" t="s">
        <v>32</v>
      </c>
      <c r="B18" s="19">
        <v>7000</v>
      </c>
      <c r="C18" s="29"/>
      <c r="D18" s="30"/>
      <c r="E18" s="2">
        <f t="shared" si="3"/>
        <v>0</v>
      </c>
      <c r="F18" s="29"/>
      <c r="G18" s="30"/>
      <c r="H18" s="2">
        <f t="shared" si="4"/>
        <v>0</v>
      </c>
      <c r="I18" s="29"/>
      <c r="J18" s="30"/>
      <c r="K18" s="2">
        <f t="shared" si="5"/>
        <v>0</v>
      </c>
      <c r="L18" s="84"/>
      <c r="M18" s="82"/>
      <c r="N18" s="83">
        <f t="shared" si="6"/>
        <v>0</v>
      </c>
      <c r="O18" s="31"/>
      <c r="P18" s="30">
        <v>3</v>
      </c>
      <c r="Q18" s="2">
        <f t="shared" si="7"/>
        <v>21000</v>
      </c>
      <c r="R18" s="31"/>
      <c r="S18" s="30">
        <v>5</v>
      </c>
      <c r="T18" s="2">
        <f t="shared" si="8"/>
        <v>35000</v>
      </c>
      <c r="U18" s="70"/>
      <c r="V18" s="136">
        <v>8</v>
      </c>
      <c r="W18" s="2">
        <f t="shared" si="9"/>
        <v>56000</v>
      </c>
      <c r="X18" s="35"/>
      <c r="Y18" s="30">
        <v>4</v>
      </c>
      <c r="Z18" s="2">
        <f t="shared" si="10"/>
        <v>28000</v>
      </c>
      <c r="AA18" s="33"/>
      <c r="AB18" s="30">
        <v>5</v>
      </c>
      <c r="AC18" s="2">
        <f t="shared" si="11"/>
        <v>35000</v>
      </c>
      <c r="AD18" s="33"/>
      <c r="AE18" s="30">
        <v>5</v>
      </c>
      <c r="AF18" s="2">
        <f t="shared" si="12"/>
        <v>35000</v>
      </c>
      <c r="AG18" s="33"/>
      <c r="AH18" s="30">
        <v>4</v>
      </c>
      <c r="AI18" s="2">
        <f t="shared" si="13"/>
        <v>28000</v>
      </c>
      <c r="AJ18" s="33"/>
      <c r="AK18" s="30">
        <v>4</v>
      </c>
      <c r="AL18" s="2">
        <f t="shared" si="14"/>
        <v>28000</v>
      </c>
      <c r="AM18" s="33"/>
      <c r="AN18" s="30">
        <v>3</v>
      </c>
      <c r="AO18" s="2">
        <f t="shared" si="15"/>
        <v>21000</v>
      </c>
      <c r="AP18" s="33"/>
      <c r="AQ18" s="30">
        <v>3</v>
      </c>
      <c r="AR18" s="2">
        <f t="shared" si="16"/>
        <v>21000</v>
      </c>
      <c r="AS18" s="70">
        <f t="shared" si="17"/>
        <v>0</v>
      </c>
      <c r="AT18" s="67">
        <f t="shared" si="17"/>
        <v>28</v>
      </c>
      <c r="AU18" s="51">
        <f t="shared" si="17"/>
        <v>196000</v>
      </c>
      <c r="AV18" s="33"/>
      <c r="AW18" s="30">
        <v>3</v>
      </c>
      <c r="AX18" s="2">
        <f t="shared" si="18"/>
        <v>21000</v>
      </c>
      <c r="AY18" s="33"/>
      <c r="AZ18" s="30"/>
      <c r="BA18" s="2">
        <f t="shared" si="19"/>
        <v>0</v>
      </c>
      <c r="BB18" s="33"/>
      <c r="BC18" s="30">
        <v>4</v>
      </c>
      <c r="BD18" s="2">
        <f t="shared" si="20"/>
        <v>28000</v>
      </c>
      <c r="BE18" s="33"/>
      <c r="BF18" s="30">
        <v>3</v>
      </c>
      <c r="BG18" s="2">
        <f t="shared" si="21"/>
        <v>21000</v>
      </c>
      <c r="BH18" s="33"/>
      <c r="BI18" s="30">
        <v>4</v>
      </c>
      <c r="BJ18" s="2">
        <f t="shared" si="22"/>
        <v>28000</v>
      </c>
      <c r="BK18" s="33"/>
      <c r="BL18" s="30">
        <v>3</v>
      </c>
      <c r="BM18" s="2">
        <f t="shared" si="23"/>
        <v>21000</v>
      </c>
      <c r="BN18" s="33"/>
      <c r="BO18" s="30">
        <v>3</v>
      </c>
      <c r="BP18" s="2">
        <f t="shared" si="24"/>
        <v>21000</v>
      </c>
      <c r="BQ18" s="70">
        <f t="shared" si="25"/>
        <v>0</v>
      </c>
      <c r="BR18" s="67">
        <f t="shared" si="25"/>
        <v>20</v>
      </c>
      <c r="BS18" s="51">
        <f t="shared" si="25"/>
        <v>140000</v>
      </c>
      <c r="BT18" s="33"/>
      <c r="BU18" s="30">
        <v>3</v>
      </c>
      <c r="BV18" s="2">
        <f t="shared" si="26"/>
        <v>21000</v>
      </c>
      <c r="BW18" s="33"/>
      <c r="BX18" s="30">
        <v>5</v>
      </c>
      <c r="BY18" s="2">
        <f t="shared" si="27"/>
        <v>35000</v>
      </c>
      <c r="BZ18" s="33"/>
      <c r="CA18" s="30">
        <v>5</v>
      </c>
      <c r="CB18" s="2">
        <f t="shared" si="28"/>
        <v>35000</v>
      </c>
      <c r="CC18" s="33"/>
      <c r="CD18" s="30">
        <v>5</v>
      </c>
      <c r="CE18" s="2">
        <f t="shared" si="29"/>
        <v>35000</v>
      </c>
      <c r="CF18" s="33"/>
      <c r="CG18" s="30">
        <v>3</v>
      </c>
      <c r="CH18" s="2">
        <f t="shared" si="30"/>
        <v>21000</v>
      </c>
      <c r="CI18" s="33"/>
      <c r="CJ18" s="30">
        <v>3</v>
      </c>
      <c r="CK18" s="2">
        <f t="shared" si="31"/>
        <v>21000</v>
      </c>
      <c r="CL18" s="33"/>
      <c r="CM18" s="30"/>
      <c r="CN18" s="2">
        <f t="shared" si="32"/>
        <v>0</v>
      </c>
      <c r="CO18" s="70">
        <f t="shared" si="33"/>
        <v>0</v>
      </c>
      <c r="CP18" s="67">
        <f t="shared" si="33"/>
        <v>24</v>
      </c>
      <c r="CQ18" s="51">
        <f t="shared" si="33"/>
        <v>168000</v>
      </c>
      <c r="CR18" s="33"/>
      <c r="CS18" s="30">
        <v>4</v>
      </c>
      <c r="CT18" s="2">
        <f t="shared" si="34"/>
        <v>28000</v>
      </c>
      <c r="CU18" s="33"/>
      <c r="CV18" s="30">
        <v>5</v>
      </c>
      <c r="CW18" s="2">
        <f t="shared" si="35"/>
        <v>35000</v>
      </c>
      <c r="CX18" s="33"/>
      <c r="CY18" s="30">
        <v>5</v>
      </c>
      <c r="CZ18" s="2">
        <f t="shared" si="36"/>
        <v>35000</v>
      </c>
      <c r="DA18" s="33"/>
      <c r="DB18" s="30">
        <v>5</v>
      </c>
      <c r="DC18" s="2">
        <f t="shared" si="37"/>
        <v>35000</v>
      </c>
      <c r="DD18" s="33"/>
      <c r="DE18" s="30">
        <v>5</v>
      </c>
      <c r="DF18" s="2">
        <f t="shared" si="38"/>
        <v>35000</v>
      </c>
      <c r="DG18" s="33"/>
      <c r="DH18" s="30">
        <v>4</v>
      </c>
      <c r="DI18" s="2">
        <f t="shared" si="39"/>
        <v>28000</v>
      </c>
      <c r="DJ18" s="33"/>
      <c r="DK18" s="30">
        <v>4</v>
      </c>
      <c r="DL18" s="2">
        <f t="shared" si="40"/>
        <v>28000</v>
      </c>
      <c r="DM18" s="70">
        <f t="shared" si="41"/>
        <v>0</v>
      </c>
      <c r="DN18" s="67">
        <f t="shared" si="41"/>
        <v>32</v>
      </c>
      <c r="DO18" s="51">
        <f t="shared" si="41"/>
        <v>224000</v>
      </c>
      <c r="DP18" s="52">
        <f t="shared" si="0"/>
        <v>0</v>
      </c>
      <c r="DQ18" s="53">
        <f t="shared" si="1"/>
        <v>112</v>
      </c>
      <c r="DR18" s="54">
        <f t="shared" si="2"/>
        <v>784000</v>
      </c>
    </row>
    <row r="19" spans="1:125" s="26" customFormat="1" ht="17.100000000000001" customHeight="1" thickBot="1" x14ac:dyDescent="0.25">
      <c r="A19" s="93" t="s">
        <v>36</v>
      </c>
      <c r="B19" s="19">
        <v>7000</v>
      </c>
      <c r="C19" s="29"/>
      <c r="D19" s="30"/>
      <c r="E19" s="2">
        <f t="shared" si="3"/>
        <v>0</v>
      </c>
      <c r="F19" s="29"/>
      <c r="G19" s="30"/>
      <c r="H19" s="2">
        <f t="shared" si="4"/>
        <v>0</v>
      </c>
      <c r="I19" s="29"/>
      <c r="J19" s="30"/>
      <c r="K19" s="2">
        <f t="shared" si="5"/>
        <v>0</v>
      </c>
      <c r="L19" s="84"/>
      <c r="M19" s="82"/>
      <c r="N19" s="83">
        <f t="shared" si="6"/>
        <v>0</v>
      </c>
      <c r="O19" s="31"/>
      <c r="P19" s="30"/>
      <c r="Q19" s="2">
        <f t="shared" si="7"/>
        <v>0</v>
      </c>
      <c r="R19" s="31"/>
      <c r="S19" s="30"/>
      <c r="T19" s="2">
        <f t="shared" si="8"/>
        <v>0</v>
      </c>
      <c r="U19" s="70"/>
      <c r="V19" s="136"/>
      <c r="W19" s="140">
        <f t="shared" si="9"/>
        <v>0</v>
      </c>
      <c r="X19" s="35"/>
      <c r="Y19" s="30"/>
      <c r="Z19" s="2">
        <f t="shared" si="10"/>
        <v>0</v>
      </c>
      <c r="AA19" s="33"/>
      <c r="AB19" s="30"/>
      <c r="AC19" s="2">
        <f t="shared" si="11"/>
        <v>0</v>
      </c>
      <c r="AD19" s="33"/>
      <c r="AE19" s="30"/>
      <c r="AF19" s="2">
        <f t="shared" si="12"/>
        <v>0</v>
      </c>
      <c r="AG19" s="33"/>
      <c r="AH19" s="30"/>
      <c r="AI19" s="2">
        <f t="shared" si="13"/>
        <v>0</v>
      </c>
      <c r="AJ19" s="33"/>
      <c r="AK19" s="30"/>
      <c r="AL19" s="2">
        <f t="shared" si="14"/>
        <v>0</v>
      </c>
      <c r="AM19" s="33"/>
      <c r="AN19" s="30"/>
      <c r="AO19" s="2">
        <f t="shared" si="15"/>
        <v>0</v>
      </c>
      <c r="AP19" s="33"/>
      <c r="AQ19" s="30"/>
      <c r="AR19" s="2">
        <f t="shared" si="16"/>
        <v>0</v>
      </c>
      <c r="AS19" s="70">
        <f t="shared" si="17"/>
        <v>0</v>
      </c>
      <c r="AT19" s="67">
        <f t="shared" si="17"/>
        <v>0</v>
      </c>
      <c r="AU19" s="51">
        <f t="shared" si="17"/>
        <v>0</v>
      </c>
      <c r="AV19" s="33"/>
      <c r="AW19" s="30"/>
      <c r="AX19" s="2">
        <f t="shared" si="18"/>
        <v>0</v>
      </c>
      <c r="AY19" s="33"/>
      <c r="AZ19" s="30"/>
      <c r="BA19" s="2">
        <f t="shared" si="19"/>
        <v>0</v>
      </c>
      <c r="BB19" s="33"/>
      <c r="BC19" s="30">
        <v>1</v>
      </c>
      <c r="BD19" s="2">
        <f t="shared" si="20"/>
        <v>7000</v>
      </c>
      <c r="BE19" s="33"/>
      <c r="BF19" s="30"/>
      <c r="BG19" s="2">
        <f t="shared" si="21"/>
        <v>0</v>
      </c>
      <c r="BH19" s="33"/>
      <c r="BI19" s="30"/>
      <c r="BJ19" s="2">
        <f t="shared" si="22"/>
        <v>0</v>
      </c>
      <c r="BK19" s="33"/>
      <c r="BL19" s="30"/>
      <c r="BM19" s="2">
        <f t="shared" si="23"/>
        <v>0</v>
      </c>
      <c r="BN19" s="33"/>
      <c r="BO19" s="30">
        <v>1</v>
      </c>
      <c r="BP19" s="2">
        <f t="shared" si="24"/>
        <v>7000</v>
      </c>
      <c r="BQ19" s="70">
        <f t="shared" si="25"/>
        <v>0</v>
      </c>
      <c r="BR19" s="67">
        <f t="shared" si="25"/>
        <v>2</v>
      </c>
      <c r="BS19" s="51">
        <f t="shared" si="25"/>
        <v>14000</v>
      </c>
      <c r="BT19" s="33"/>
      <c r="BU19" s="30"/>
      <c r="BV19" s="2">
        <f t="shared" si="26"/>
        <v>0</v>
      </c>
      <c r="BW19" s="33"/>
      <c r="BX19" s="30">
        <v>4</v>
      </c>
      <c r="BY19" s="2">
        <f t="shared" si="27"/>
        <v>28000</v>
      </c>
      <c r="BZ19" s="33"/>
      <c r="CA19" s="30">
        <v>4</v>
      </c>
      <c r="CB19" s="2">
        <f t="shared" si="28"/>
        <v>28000</v>
      </c>
      <c r="CC19" s="33"/>
      <c r="CD19" s="30"/>
      <c r="CE19" s="2">
        <f t="shared" si="29"/>
        <v>0</v>
      </c>
      <c r="CF19" s="33"/>
      <c r="CG19" s="30"/>
      <c r="CH19" s="2">
        <f t="shared" si="30"/>
        <v>0</v>
      </c>
      <c r="CI19" s="33"/>
      <c r="CJ19" s="30"/>
      <c r="CK19" s="2">
        <f t="shared" si="31"/>
        <v>0</v>
      </c>
      <c r="CL19" s="33"/>
      <c r="CM19" s="30"/>
      <c r="CN19" s="2">
        <f t="shared" si="32"/>
        <v>0</v>
      </c>
      <c r="CO19" s="70">
        <f t="shared" si="33"/>
        <v>0</v>
      </c>
      <c r="CP19" s="67">
        <f t="shared" si="33"/>
        <v>8</v>
      </c>
      <c r="CQ19" s="51">
        <f t="shared" si="33"/>
        <v>56000</v>
      </c>
      <c r="CR19" s="33"/>
      <c r="CS19" s="30"/>
      <c r="CT19" s="2">
        <f t="shared" si="34"/>
        <v>0</v>
      </c>
      <c r="CU19" s="33"/>
      <c r="CV19" s="30"/>
      <c r="CW19" s="2">
        <f t="shared" si="35"/>
        <v>0</v>
      </c>
      <c r="CX19" s="33"/>
      <c r="CY19" s="30"/>
      <c r="CZ19" s="2">
        <f t="shared" si="36"/>
        <v>0</v>
      </c>
      <c r="DA19" s="33"/>
      <c r="DB19" s="30"/>
      <c r="DC19" s="2">
        <f t="shared" si="37"/>
        <v>0</v>
      </c>
      <c r="DD19" s="33"/>
      <c r="DE19" s="30"/>
      <c r="DF19" s="2">
        <f t="shared" si="38"/>
        <v>0</v>
      </c>
      <c r="DG19" s="33"/>
      <c r="DH19" s="30"/>
      <c r="DI19" s="2">
        <f t="shared" si="39"/>
        <v>0</v>
      </c>
      <c r="DJ19" s="33"/>
      <c r="DK19" s="30"/>
      <c r="DL19" s="2">
        <f t="shared" si="40"/>
        <v>0</v>
      </c>
      <c r="DM19" s="70">
        <f t="shared" si="41"/>
        <v>0</v>
      </c>
      <c r="DN19" s="67">
        <f t="shared" si="41"/>
        <v>0</v>
      </c>
      <c r="DO19" s="51">
        <f t="shared" si="41"/>
        <v>0</v>
      </c>
      <c r="DP19" s="52">
        <f t="shared" si="0"/>
        <v>0</v>
      </c>
      <c r="DQ19" s="53">
        <f t="shared" si="1"/>
        <v>10</v>
      </c>
      <c r="DR19" s="54">
        <f t="shared" si="2"/>
        <v>70000</v>
      </c>
    </row>
    <row r="20" spans="1:125" s="26" customFormat="1" ht="17.100000000000001" customHeight="1" thickBot="1" x14ac:dyDescent="0.25">
      <c r="A20" s="93" t="s">
        <v>33</v>
      </c>
      <c r="B20" s="19">
        <v>7000</v>
      </c>
      <c r="C20" s="29"/>
      <c r="D20" s="30"/>
      <c r="E20" s="2">
        <f t="shared" si="3"/>
        <v>0</v>
      </c>
      <c r="F20" s="29"/>
      <c r="G20" s="30"/>
      <c r="H20" s="2">
        <f t="shared" si="4"/>
        <v>0</v>
      </c>
      <c r="I20" s="29"/>
      <c r="J20" s="30"/>
      <c r="K20" s="2">
        <f t="shared" si="5"/>
        <v>0</v>
      </c>
      <c r="L20" s="84"/>
      <c r="M20" s="82"/>
      <c r="N20" s="83">
        <f t="shared" si="6"/>
        <v>0</v>
      </c>
      <c r="O20" s="31"/>
      <c r="P20" s="30"/>
      <c r="Q20" s="2">
        <f t="shared" si="7"/>
        <v>0</v>
      </c>
      <c r="R20" s="31"/>
      <c r="S20" s="30"/>
      <c r="T20" s="2">
        <f t="shared" si="8"/>
        <v>0</v>
      </c>
      <c r="U20" s="70"/>
      <c r="V20" s="136"/>
      <c r="W20" s="2">
        <f t="shared" si="9"/>
        <v>0</v>
      </c>
      <c r="X20" s="35"/>
      <c r="Y20" s="30"/>
      <c r="Z20" s="2">
        <f t="shared" si="10"/>
        <v>0</v>
      </c>
      <c r="AA20" s="33"/>
      <c r="AB20" s="30"/>
      <c r="AC20" s="2">
        <f t="shared" si="11"/>
        <v>0</v>
      </c>
      <c r="AD20" s="33"/>
      <c r="AE20" s="30"/>
      <c r="AF20" s="2">
        <f t="shared" si="12"/>
        <v>0</v>
      </c>
      <c r="AG20" s="33"/>
      <c r="AH20" s="30"/>
      <c r="AI20" s="2">
        <f t="shared" si="13"/>
        <v>0</v>
      </c>
      <c r="AJ20" s="33"/>
      <c r="AK20" s="30"/>
      <c r="AL20" s="2">
        <f t="shared" si="14"/>
        <v>0</v>
      </c>
      <c r="AM20" s="33"/>
      <c r="AN20" s="30"/>
      <c r="AO20" s="2">
        <f t="shared" si="15"/>
        <v>0</v>
      </c>
      <c r="AP20" s="33"/>
      <c r="AQ20" s="30"/>
      <c r="AR20" s="2">
        <f t="shared" si="16"/>
        <v>0</v>
      </c>
      <c r="AS20" s="70">
        <f t="shared" si="17"/>
        <v>0</v>
      </c>
      <c r="AT20" s="67">
        <f t="shared" si="17"/>
        <v>0</v>
      </c>
      <c r="AU20" s="51">
        <f t="shared" si="17"/>
        <v>0</v>
      </c>
      <c r="AV20" s="33"/>
      <c r="AW20" s="30"/>
      <c r="AX20" s="2">
        <f t="shared" si="18"/>
        <v>0</v>
      </c>
      <c r="AY20" s="33"/>
      <c r="AZ20" s="30"/>
      <c r="BA20" s="2">
        <f t="shared" si="19"/>
        <v>0</v>
      </c>
      <c r="BB20" s="33"/>
      <c r="BC20" s="30"/>
      <c r="BD20" s="2">
        <f t="shared" si="20"/>
        <v>0</v>
      </c>
      <c r="BE20" s="33"/>
      <c r="BF20" s="30"/>
      <c r="BG20" s="2">
        <f t="shared" si="21"/>
        <v>0</v>
      </c>
      <c r="BH20" s="33"/>
      <c r="BI20" s="30"/>
      <c r="BJ20" s="2">
        <f t="shared" si="22"/>
        <v>0</v>
      </c>
      <c r="BK20" s="33"/>
      <c r="BL20" s="30"/>
      <c r="BM20" s="2">
        <f t="shared" si="23"/>
        <v>0</v>
      </c>
      <c r="BN20" s="33"/>
      <c r="BO20" s="30"/>
      <c r="BP20" s="2">
        <f t="shared" si="24"/>
        <v>0</v>
      </c>
      <c r="BQ20" s="70">
        <f t="shared" si="25"/>
        <v>0</v>
      </c>
      <c r="BR20" s="67">
        <f t="shared" si="25"/>
        <v>0</v>
      </c>
      <c r="BS20" s="51">
        <f t="shared" si="25"/>
        <v>0</v>
      </c>
      <c r="BT20" s="33"/>
      <c r="BU20" s="30"/>
      <c r="BV20" s="2">
        <f t="shared" si="26"/>
        <v>0</v>
      </c>
      <c r="BW20" s="33"/>
      <c r="BX20" s="30"/>
      <c r="BY20" s="2">
        <f t="shared" si="27"/>
        <v>0</v>
      </c>
      <c r="BZ20" s="33"/>
      <c r="CA20" s="30"/>
      <c r="CB20" s="2">
        <f t="shared" si="28"/>
        <v>0</v>
      </c>
      <c r="CC20" s="33"/>
      <c r="CD20" s="30"/>
      <c r="CE20" s="2">
        <f t="shared" si="29"/>
        <v>0</v>
      </c>
      <c r="CF20" s="33"/>
      <c r="CG20" s="30"/>
      <c r="CH20" s="2">
        <f t="shared" si="30"/>
        <v>0</v>
      </c>
      <c r="CI20" s="33"/>
      <c r="CJ20" s="30"/>
      <c r="CK20" s="2">
        <f t="shared" si="31"/>
        <v>0</v>
      </c>
      <c r="CL20" s="33"/>
      <c r="CM20" s="30"/>
      <c r="CN20" s="2">
        <f t="shared" si="32"/>
        <v>0</v>
      </c>
      <c r="CO20" s="70">
        <f t="shared" si="33"/>
        <v>0</v>
      </c>
      <c r="CP20" s="67">
        <f t="shared" si="33"/>
        <v>0</v>
      </c>
      <c r="CQ20" s="51">
        <f t="shared" si="33"/>
        <v>0</v>
      </c>
      <c r="CR20" s="33"/>
      <c r="CS20" s="30"/>
      <c r="CT20" s="2">
        <f t="shared" si="34"/>
        <v>0</v>
      </c>
      <c r="CU20" s="33"/>
      <c r="CV20" s="30"/>
      <c r="CW20" s="2">
        <f t="shared" si="35"/>
        <v>0</v>
      </c>
      <c r="CX20" s="33"/>
      <c r="CY20" s="30"/>
      <c r="CZ20" s="2">
        <f t="shared" si="36"/>
        <v>0</v>
      </c>
      <c r="DA20" s="33"/>
      <c r="DB20" s="30"/>
      <c r="DC20" s="2">
        <f t="shared" si="37"/>
        <v>0</v>
      </c>
      <c r="DD20" s="33"/>
      <c r="DE20" s="30"/>
      <c r="DF20" s="2">
        <f t="shared" si="38"/>
        <v>0</v>
      </c>
      <c r="DG20" s="33"/>
      <c r="DH20" s="30"/>
      <c r="DI20" s="2">
        <f t="shared" si="39"/>
        <v>0</v>
      </c>
      <c r="DJ20" s="33"/>
      <c r="DK20" s="30"/>
      <c r="DL20" s="2">
        <f t="shared" si="40"/>
        <v>0</v>
      </c>
      <c r="DM20" s="70">
        <f t="shared" si="41"/>
        <v>0</v>
      </c>
      <c r="DN20" s="67">
        <f t="shared" si="41"/>
        <v>0</v>
      </c>
      <c r="DO20" s="51">
        <f t="shared" si="41"/>
        <v>0</v>
      </c>
      <c r="DP20" s="52">
        <f t="shared" si="0"/>
        <v>0</v>
      </c>
      <c r="DQ20" s="53">
        <f t="shared" si="1"/>
        <v>0</v>
      </c>
      <c r="DR20" s="54">
        <f t="shared" si="2"/>
        <v>0</v>
      </c>
    </row>
    <row r="21" spans="1:125" s="26" customFormat="1" ht="17.100000000000001" customHeight="1" thickBot="1" x14ac:dyDescent="0.3">
      <c r="A21" s="93" t="s">
        <v>65</v>
      </c>
      <c r="B21" s="19">
        <v>6000</v>
      </c>
      <c r="C21" s="29"/>
      <c r="D21" s="30"/>
      <c r="E21" s="2">
        <f t="shared" si="3"/>
        <v>0</v>
      </c>
      <c r="F21" s="29"/>
      <c r="G21" s="30"/>
      <c r="H21" s="2">
        <f t="shared" si="4"/>
        <v>0</v>
      </c>
      <c r="I21" s="29"/>
      <c r="J21" s="30"/>
      <c r="K21" s="2">
        <f t="shared" si="5"/>
        <v>0</v>
      </c>
      <c r="L21" s="84"/>
      <c r="M21" s="82"/>
      <c r="N21" s="83">
        <f t="shared" si="6"/>
        <v>0</v>
      </c>
      <c r="O21" s="31">
        <v>10000</v>
      </c>
      <c r="P21" s="30"/>
      <c r="Q21" s="2">
        <f t="shared" si="7"/>
        <v>0</v>
      </c>
      <c r="R21" s="31"/>
      <c r="S21" s="30"/>
      <c r="T21" s="2">
        <f t="shared" si="8"/>
        <v>0</v>
      </c>
      <c r="U21" s="70">
        <v>10000</v>
      </c>
      <c r="V21" s="136"/>
      <c r="W21" s="140">
        <f t="shared" si="9"/>
        <v>0</v>
      </c>
      <c r="X21" s="35"/>
      <c r="Y21" s="99"/>
      <c r="Z21" s="2">
        <f t="shared" si="10"/>
        <v>0</v>
      </c>
      <c r="AA21" s="33"/>
      <c r="AB21" s="30"/>
      <c r="AC21" s="2">
        <f t="shared" si="11"/>
        <v>0</v>
      </c>
      <c r="AD21" s="33"/>
      <c r="AE21" s="30"/>
      <c r="AF21" s="2">
        <f t="shared" si="12"/>
        <v>0</v>
      </c>
      <c r="AG21" s="33"/>
      <c r="AH21" s="30"/>
      <c r="AI21" s="2">
        <f t="shared" si="13"/>
        <v>0</v>
      </c>
      <c r="AJ21" s="33"/>
      <c r="AK21" s="30"/>
      <c r="AL21" s="2">
        <f t="shared" si="14"/>
        <v>0</v>
      </c>
      <c r="AM21" s="33"/>
      <c r="AN21" s="30"/>
      <c r="AO21" s="2">
        <f t="shared" si="15"/>
        <v>0</v>
      </c>
      <c r="AP21" s="33"/>
      <c r="AQ21" s="30"/>
      <c r="AR21" s="2">
        <f t="shared" si="16"/>
        <v>0</v>
      </c>
      <c r="AS21" s="70">
        <f t="shared" si="17"/>
        <v>0</v>
      </c>
      <c r="AT21" s="67">
        <f t="shared" si="17"/>
        <v>0</v>
      </c>
      <c r="AU21" s="51">
        <f t="shared" si="17"/>
        <v>0</v>
      </c>
      <c r="AV21" s="33"/>
      <c r="AW21" s="30"/>
      <c r="AX21" s="2">
        <f t="shared" si="18"/>
        <v>0</v>
      </c>
      <c r="AY21" s="33"/>
      <c r="AZ21" s="30">
        <v>4</v>
      </c>
      <c r="BA21" s="2">
        <f t="shared" si="19"/>
        <v>24000</v>
      </c>
      <c r="BB21" s="33"/>
      <c r="BC21" s="30"/>
      <c r="BD21" s="2">
        <f t="shared" si="20"/>
        <v>0</v>
      </c>
      <c r="BE21" s="33"/>
      <c r="BF21" s="30"/>
      <c r="BG21" s="2">
        <f t="shared" si="21"/>
        <v>0</v>
      </c>
      <c r="BH21" s="33"/>
      <c r="BI21" s="30"/>
      <c r="BJ21" s="2">
        <f t="shared" si="22"/>
        <v>0</v>
      </c>
      <c r="BK21" s="33"/>
      <c r="BL21" s="99"/>
      <c r="BM21" s="2">
        <f t="shared" si="23"/>
        <v>0</v>
      </c>
      <c r="BN21" s="33"/>
      <c r="BO21" s="30"/>
      <c r="BP21" s="2">
        <f t="shared" si="24"/>
        <v>0</v>
      </c>
      <c r="BQ21" s="70">
        <f t="shared" si="25"/>
        <v>0</v>
      </c>
      <c r="BR21" s="67">
        <f t="shared" si="25"/>
        <v>4</v>
      </c>
      <c r="BS21" s="51">
        <f t="shared" si="25"/>
        <v>24000</v>
      </c>
      <c r="BT21" s="33"/>
      <c r="BU21" s="30"/>
      <c r="BV21" s="2">
        <f t="shared" si="26"/>
        <v>0</v>
      </c>
      <c r="BW21" s="33"/>
      <c r="BX21" s="99"/>
      <c r="BY21" s="2">
        <f t="shared" si="27"/>
        <v>0</v>
      </c>
      <c r="BZ21" s="33"/>
      <c r="CA21" s="99"/>
      <c r="CB21" s="2">
        <f t="shared" si="28"/>
        <v>0</v>
      </c>
      <c r="CC21" s="33"/>
      <c r="CD21" s="30"/>
      <c r="CE21" s="2">
        <f t="shared" si="29"/>
        <v>0</v>
      </c>
      <c r="CF21" s="33"/>
      <c r="CG21" s="30"/>
      <c r="CH21" s="2">
        <f t="shared" si="30"/>
        <v>0</v>
      </c>
      <c r="CI21" s="33"/>
      <c r="CJ21" s="30"/>
      <c r="CK21" s="2">
        <f t="shared" si="31"/>
        <v>0</v>
      </c>
      <c r="CL21" s="33"/>
      <c r="CM21" s="30"/>
      <c r="CN21" s="2">
        <f t="shared" si="32"/>
        <v>0</v>
      </c>
      <c r="CO21" s="70">
        <f t="shared" si="33"/>
        <v>0</v>
      </c>
      <c r="CP21" s="67">
        <f t="shared" si="33"/>
        <v>0</v>
      </c>
      <c r="CQ21" s="51">
        <f t="shared" si="33"/>
        <v>0</v>
      </c>
      <c r="CR21" s="33"/>
      <c r="CS21" s="30"/>
      <c r="CT21" s="2">
        <f t="shared" si="34"/>
        <v>0</v>
      </c>
      <c r="CU21" s="33"/>
      <c r="CV21" s="30"/>
      <c r="CW21" s="2">
        <f t="shared" si="35"/>
        <v>0</v>
      </c>
      <c r="CX21" s="33"/>
      <c r="CY21" s="99"/>
      <c r="CZ21" s="2">
        <f t="shared" si="36"/>
        <v>0</v>
      </c>
      <c r="DA21" s="33"/>
      <c r="DB21" s="30"/>
      <c r="DC21" s="2">
        <f t="shared" si="37"/>
        <v>0</v>
      </c>
      <c r="DD21" s="33"/>
      <c r="DE21" s="30"/>
      <c r="DF21" s="2">
        <f t="shared" si="38"/>
        <v>0</v>
      </c>
      <c r="DG21" s="33"/>
      <c r="DH21" s="30"/>
      <c r="DI21" s="2">
        <f t="shared" si="39"/>
        <v>0</v>
      </c>
      <c r="DJ21" s="33"/>
      <c r="DK21" s="30"/>
      <c r="DL21" s="2">
        <f t="shared" si="40"/>
        <v>0</v>
      </c>
      <c r="DM21" s="70">
        <f t="shared" si="41"/>
        <v>0</v>
      </c>
      <c r="DN21" s="67">
        <f t="shared" si="41"/>
        <v>0</v>
      </c>
      <c r="DO21" s="51">
        <f t="shared" si="41"/>
        <v>0</v>
      </c>
      <c r="DP21" s="52">
        <f t="shared" si="0"/>
        <v>10000</v>
      </c>
      <c r="DQ21" s="53">
        <f t="shared" si="1"/>
        <v>4</v>
      </c>
      <c r="DR21" s="54">
        <f t="shared" si="2"/>
        <v>24000</v>
      </c>
      <c r="DS21" s="44"/>
    </row>
    <row r="22" spans="1:125" s="26" customFormat="1" ht="17.100000000000001" customHeight="1" thickBot="1" x14ac:dyDescent="0.25">
      <c r="A22" s="93" t="s">
        <v>66</v>
      </c>
      <c r="B22" s="19">
        <v>6000</v>
      </c>
      <c r="C22" s="29"/>
      <c r="D22" s="30"/>
      <c r="E22" s="2">
        <f t="shared" si="3"/>
        <v>0</v>
      </c>
      <c r="F22" s="29"/>
      <c r="G22" s="30"/>
      <c r="H22" s="2">
        <f t="shared" si="4"/>
        <v>0</v>
      </c>
      <c r="I22" s="29"/>
      <c r="J22" s="30"/>
      <c r="K22" s="2">
        <f t="shared" si="5"/>
        <v>0</v>
      </c>
      <c r="L22" s="84"/>
      <c r="M22" s="82"/>
      <c r="N22" s="83">
        <f t="shared" si="6"/>
        <v>0</v>
      </c>
      <c r="O22" s="31"/>
      <c r="P22" s="30"/>
      <c r="Q22" s="2">
        <f t="shared" si="7"/>
        <v>0</v>
      </c>
      <c r="R22" s="31"/>
      <c r="S22" s="30"/>
      <c r="T22" s="2">
        <f t="shared" si="8"/>
        <v>0</v>
      </c>
      <c r="U22" s="70"/>
      <c r="V22" s="136"/>
      <c r="W22" s="2">
        <f t="shared" si="9"/>
        <v>0</v>
      </c>
      <c r="X22" s="35"/>
      <c r="Y22" s="30"/>
      <c r="Z22" s="2">
        <f t="shared" si="10"/>
        <v>0</v>
      </c>
      <c r="AA22" s="33"/>
      <c r="AB22" s="30"/>
      <c r="AC22" s="2">
        <f t="shared" si="11"/>
        <v>0</v>
      </c>
      <c r="AD22" s="33"/>
      <c r="AE22" s="30"/>
      <c r="AF22" s="2">
        <f t="shared" si="12"/>
        <v>0</v>
      </c>
      <c r="AG22" s="33"/>
      <c r="AH22" s="30"/>
      <c r="AI22" s="2">
        <f t="shared" si="13"/>
        <v>0</v>
      </c>
      <c r="AJ22" s="33"/>
      <c r="AK22" s="30"/>
      <c r="AL22" s="2">
        <f t="shared" si="14"/>
        <v>0</v>
      </c>
      <c r="AM22" s="33"/>
      <c r="AN22" s="30"/>
      <c r="AO22" s="2">
        <f t="shared" si="15"/>
        <v>0</v>
      </c>
      <c r="AP22" s="33"/>
      <c r="AQ22" s="30"/>
      <c r="AR22" s="2">
        <f t="shared" si="16"/>
        <v>0</v>
      </c>
      <c r="AS22" s="70">
        <f t="shared" si="17"/>
        <v>0</v>
      </c>
      <c r="AT22" s="67">
        <f t="shared" si="17"/>
        <v>0</v>
      </c>
      <c r="AU22" s="51">
        <f>Z22+AC22+AF22+AI22+AL22+AO22+AR22</f>
        <v>0</v>
      </c>
      <c r="AV22" s="33"/>
      <c r="AW22" s="30"/>
      <c r="AX22" s="2">
        <f t="shared" si="18"/>
        <v>0</v>
      </c>
      <c r="AY22" s="33"/>
      <c r="AZ22" s="30"/>
      <c r="BA22" s="2">
        <f t="shared" si="19"/>
        <v>0</v>
      </c>
      <c r="BB22" s="33"/>
      <c r="BC22" s="30"/>
      <c r="BD22" s="2">
        <f t="shared" si="20"/>
        <v>0</v>
      </c>
      <c r="BE22" s="33"/>
      <c r="BF22" s="30"/>
      <c r="BG22" s="2">
        <f t="shared" si="21"/>
        <v>0</v>
      </c>
      <c r="BH22" s="33"/>
      <c r="BI22" s="30"/>
      <c r="BJ22" s="2">
        <f t="shared" si="22"/>
        <v>0</v>
      </c>
      <c r="BK22" s="33"/>
      <c r="BL22" s="30"/>
      <c r="BM22" s="2">
        <f t="shared" si="23"/>
        <v>0</v>
      </c>
      <c r="BN22" s="33"/>
      <c r="BO22" s="30"/>
      <c r="BP22" s="2">
        <f t="shared" si="24"/>
        <v>0</v>
      </c>
      <c r="BQ22" s="70">
        <f t="shared" si="25"/>
        <v>0</v>
      </c>
      <c r="BR22" s="67">
        <f t="shared" si="25"/>
        <v>0</v>
      </c>
      <c r="BS22" s="51">
        <f t="shared" si="25"/>
        <v>0</v>
      </c>
      <c r="BT22" s="33"/>
      <c r="BU22" s="30"/>
      <c r="BV22" s="2">
        <f t="shared" si="26"/>
        <v>0</v>
      </c>
      <c r="BW22" s="33"/>
      <c r="BX22" s="30"/>
      <c r="BY22" s="2">
        <f t="shared" si="27"/>
        <v>0</v>
      </c>
      <c r="BZ22" s="33"/>
      <c r="CA22" s="30"/>
      <c r="CB22" s="2">
        <f t="shared" si="28"/>
        <v>0</v>
      </c>
      <c r="CC22" s="33"/>
      <c r="CD22" s="30"/>
      <c r="CE22" s="2">
        <f t="shared" si="29"/>
        <v>0</v>
      </c>
      <c r="CF22" s="33">
        <v>5000</v>
      </c>
      <c r="CG22" s="30"/>
      <c r="CH22" s="2">
        <f>$B22*CG22</f>
        <v>0</v>
      </c>
      <c r="CI22" s="33"/>
      <c r="CJ22" s="30"/>
      <c r="CK22" s="2">
        <f t="shared" si="31"/>
        <v>0</v>
      </c>
      <c r="CL22" s="33"/>
      <c r="CM22" s="30"/>
      <c r="CN22" s="2">
        <f t="shared" si="32"/>
        <v>0</v>
      </c>
      <c r="CO22" s="70">
        <f t="shared" si="33"/>
        <v>5000</v>
      </c>
      <c r="CP22" s="67">
        <f>BU22+BX22+CA22+CD22+CG22+CJ22+CM22</f>
        <v>0</v>
      </c>
      <c r="CQ22" s="51">
        <f>BV22+BY22+CB22+CE22+CH22+CK22+CN22</f>
        <v>0</v>
      </c>
      <c r="CR22" s="33"/>
      <c r="CS22" s="30"/>
      <c r="CT22" s="2">
        <f t="shared" si="34"/>
        <v>0</v>
      </c>
      <c r="CU22" s="33"/>
      <c r="CV22" s="30"/>
      <c r="CW22" s="2">
        <f t="shared" si="35"/>
        <v>0</v>
      </c>
      <c r="CX22" s="33"/>
      <c r="CY22" s="30"/>
      <c r="CZ22" s="2">
        <f t="shared" si="36"/>
        <v>0</v>
      </c>
      <c r="DA22" s="33"/>
      <c r="DB22" s="30"/>
      <c r="DC22" s="2">
        <f t="shared" si="37"/>
        <v>0</v>
      </c>
      <c r="DD22" s="33"/>
      <c r="DE22" s="30"/>
      <c r="DF22" s="2">
        <f t="shared" si="38"/>
        <v>0</v>
      </c>
      <c r="DG22" s="33"/>
      <c r="DH22" s="30"/>
      <c r="DI22" s="2">
        <f t="shared" si="39"/>
        <v>0</v>
      </c>
      <c r="DJ22" s="33"/>
      <c r="DK22" s="30"/>
      <c r="DL22" s="2">
        <f t="shared" si="40"/>
        <v>0</v>
      </c>
      <c r="DM22" s="70">
        <f t="shared" si="41"/>
        <v>0</v>
      </c>
      <c r="DN22" s="67">
        <f t="shared" si="41"/>
        <v>0</v>
      </c>
      <c r="DO22" s="51">
        <f t="shared" si="41"/>
        <v>0</v>
      </c>
      <c r="DP22" s="52">
        <f t="shared" si="0"/>
        <v>5000</v>
      </c>
      <c r="DQ22" s="53">
        <f t="shared" si="1"/>
        <v>0</v>
      </c>
      <c r="DR22" s="54">
        <f t="shared" si="2"/>
        <v>0</v>
      </c>
    </row>
    <row r="23" spans="1:125" s="26" customFormat="1" ht="17.100000000000001" customHeight="1" thickBot="1" x14ac:dyDescent="0.25">
      <c r="A23" s="27" t="s">
        <v>48</v>
      </c>
      <c r="B23" s="19">
        <v>7000</v>
      </c>
      <c r="C23" s="29"/>
      <c r="D23" s="125"/>
      <c r="E23" s="126">
        <f t="shared" si="3"/>
        <v>0</v>
      </c>
      <c r="F23" s="29"/>
      <c r="G23" s="125"/>
      <c r="H23" s="126">
        <f t="shared" si="4"/>
        <v>0</v>
      </c>
      <c r="I23" s="29"/>
      <c r="J23" s="125"/>
      <c r="K23" s="126">
        <f t="shared" si="5"/>
        <v>0</v>
      </c>
      <c r="L23" s="84"/>
      <c r="M23" s="82"/>
      <c r="N23" s="83">
        <f t="shared" ref="N23" si="44">$B23*M23</f>
        <v>0</v>
      </c>
      <c r="O23" s="31"/>
      <c r="P23" s="30"/>
      <c r="Q23" s="2">
        <f t="shared" ref="Q23" si="45">$B23*P23</f>
        <v>0</v>
      </c>
      <c r="R23" s="31"/>
      <c r="S23" s="30"/>
      <c r="T23" s="2">
        <f t="shared" ref="T23" si="46">$B23*S23</f>
        <v>0</v>
      </c>
      <c r="U23" s="127"/>
      <c r="V23" s="136"/>
      <c r="W23" s="140">
        <f t="shared" ref="W23" si="47">$B23*V23</f>
        <v>0</v>
      </c>
      <c r="X23" s="128"/>
      <c r="Y23" s="30"/>
      <c r="Z23" s="2">
        <f t="shared" ref="Z23" si="48">$B23*Y23</f>
        <v>0</v>
      </c>
      <c r="AA23" s="31"/>
      <c r="AB23" s="30">
        <v>5</v>
      </c>
      <c r="AC23" s="2">
        <f t="shared" ref="AC23" si="49">$B23*AB23</f>
        <v>35000</v>
      </c>
      <c r="AD23" s="31"/>
      <c r="AE23" s="30"/>
      <c r="AF23" s="2">
        <f t="shared" ref="AF23" si="50">$B23*AE23</f>
        <v>0</v>
      </c>
      <c r="AG23" s="31"/>
      <c r="AH23" s="30"/>
      <c r="AI23" s="2">
        <f t="shared" ref="AI23" si="51">$B23*AH23</f>
        <v>0</v>
      </c>
      <c r="AJ23" s="31"/>
      <c r="AK23" s="30"/>
      <c r="AL23" s="2">
        <f t="shared" ref="AL23" si="52">$B23*AK23</f>
        <v>0</v>
      </c>
      <c r="AM23" s="33"/>
      <c r="AN23" s="30"/>
      <c r="AO23" s="2">
        <f t="shared" ref="AO23" si="53">$B23*AN23</f>
        <v>0</v>
      </c>
      <c r="AP23" s="33"/>
      <c r="AQ23" s="30"/>
      <c r="AR23" s="2">
        <f t="shared" ref="AR23" si="54">$B23*AQ23</f>
        <v>0</v>
      </c>
      <c r="AS23" s="70">
        <f t="shared" ref="AS23:AS24" si="55">X23+AA23+AD23+AG23+AJ23+AM23+AP23</f>
        <v>0</v>
      </c>
      <c r="AT23" s="67">
        <v>5</v>
      </c>
      <c r="AU23" s="51">
        <f t="shared" ref="AU23" si="56">Z23+AC23+AF23+AI23+AL23+AO23+AR23</f>
        <v>35000</v>
      </c>
      <c r="AV23" s="33"/>
      <c r="AW23" s="30"/>
      <c r="AX23" s="2">
        <f t="shared" ref="AX23" si="57">$B23*AW23</f>
        <v>0</v>
      </c>
      <c r="AY23" s="33"/>
      <c r="AZ23" s="30">
        <v>4</v>
      </c>
      <c r="BA23" s="2">
        <f t="shared" ref="BA23" si="58">$B23*AZ23</f>
        <v>28000</v>
      </c>
      <c r="BB23" s="33"/>
      <c r="BC23" s="30"/>
      <c r="BD23" s="2">
        <f t="shared" ref="BD23" si="59">$B23*BC23</f>
        <v>0</v>
      </c>
      <c r="BE23" s="33"/>
      <c r="BF23" s="30"/>
      <c r="BG23" s="2">
        <f t="shared" ref="BG23" si="60">$B23*BF23</f>
        <v>0</v>
      </c>
      <c r="BH23" s="33"/>
      <c r="BI23" s="30"/>
      <c r="BJ23" s="2">
        <f t="shared" ref="BJ23" si="61">$B23*BI23</f>
        <v>0</v>
      </c>
      <c r="BK23" s="33"/>
      <c r="BL23" s="30"/>
      <c r="BM23" s="2">
        <f t="shared" ref="BM23" si="62">$B23*BL23</f>
        <v>0</v>
      </c>
      <c r="BN23" s="33"/>
      <c r="BO23" s="30"/>
      <c r="BP23" s="2">
        <f t="shared" ref="BP23" si="63">$B23*BO23</f>
        <v>0</v>
      </c>
      <c r="BQ23" s="70">
        <f t="shared" ref="BQ23" si="64">AV23+AY23+BB23+BE23+BH23+BK23+BN23</f>
        <v>0</v>
      </c>
      <c r="BR23" s="67">
        <f t="shared" ref="BR23" si="65">AW23+AZ23+BC23+BF23+BI23+BL23+BO23</f>
        <v>4</v>
      </c>
      <c r="BS23" s="51">
        <f t="shared" ref="BS23" si="66">AX23+BA23+BD23+BG23+BJ23+BM23+BP23</f>
        <v>28000</v>
      </c>
      <c r="BT23" s="33"/>
      <c r="BU23" s="30"/>
      <c r="BV23" s="2">
        <f t="shared" ref="BV23" si="67">$B23*BU23</f>
        <v>0</v>
      </c>
      <c r="BW23" s="33"/>
      <c r="BX23" s="30"/>
      <c r="BY23" s="2">
        <f t="shared" ref="BY23" si="68">$B23*BX23</f>
        <v>0</v>
      </c>
      <c r="BZ23" s="33"/>
      <c r="CA23" s="30"/>
      <c r="CB23" s="2">
        <f t="shared" ref="CB23" si="69">$B23*CA23</f>
        <v>0</v>
      </c>
      <c r="CC23" s="31"/>
      <c r="CD23" s="30"/>
      <c r="CE23" s="2">
        <f t="shared" ref="CE23" si="70">$B23*CD23</f>
        <v>0</v>
      </c>
      <c r="CF23" s="31"/>
      <c r="CG23" s="30"/>
      <c r="CH23" s="2">
        <f t="shared" ref="CH23" si="71">$B23*CG23</f>
        <v>0</v>
      </c>
      <c r="CI23" s="31"/>
      <c r="CJ23" s="30"/>
      <c r="CK23" s="2">
        <f t="shared" ref="CK23" si="72">$B23*CJ23</f>
        <v>0</v>
      </c>
      <c r="CL23" s="31"/>
      <c r="CM23" s="30"/>
      <c r="CN23" s="2">
        <f t="shared" ref="CN23" si="73">$B23*CM23</f>
        <v>0</v>
      </c>
      <c r="CO23" s="127">
        <f t="shared" ref="CO23" si="74">BT23+BW23+BZ23+CC23+CF23+CI23+CL23</f>
        <v>0</v>
      </c>
      <c r="CP23" s="67">
        <f t="shared" ref="CP23" si="75">BU23+BX23+CA23+CD23+CG23+CJ23+CM23</f>
        <v>0</v>
      </c>
      <c r="CQ23" s="51">
        <f t="shared" ref="CQ23" si="76">BV23+BY23+CB23+CE23+CH23+CK23+CN23</f>
        <v>0</v>
      </c>
      <c r="CR23" s="31"/>
      <c r="CS23" s="30"/>
      <c r="CT23" s="2">
        <f t="shared" ref="CT23" si="77">$B23*CS23</f>
        <v>0</v>
      </c>
      <c r="CU23" s="31"/>
      <c r="CV23" s="30"/>
      <c r="CW23" s="2">
        <f t="shared" ref="CW23" si="78">$B23*CV23</f>
        <v>0</v>
      </c>
      <c r="CX23" s="31"/>
      <c r="CY23" s="30"/>
      <c r="CZ23" s="2">
        <f t="shared" ref="CZ23" si="79">$B23*CY23</f>
        <v>0</v>
      </c>
      <c r="DA23" s="31"/>
      <c r="DB23" s="30"/>
      <c r="DC23" s="2">
        <f t="shared" ref="DC23" si="80">$B23*DB23</f>
        <v>0</v>
      </c>
      <c r="DD23" s="31">
        <v>25000</v>
      </c>
      <c r="DE23" s="30"/>
      <c r="DF23" s="2">
        <f t="shared" ref="DF23" si="81">$B23*DE23</f>
        <v>0</v>
      </c>
      <c r="DG23" s="31"/>
      <c r="DH23" s="30"/>
      <c r="DI23" s="2">
        <f t="shared" ref="DI23" si="82">$B23*DH23</f>
        <v>0</v>
      </c>
      <c r="DJ23" s="31"/>
      <c r="DK23" s="30"/>
      <c r="DL23" s="2">
        <f t="shared" ref="DL23" si="83">$B23*DK23</f>
        <v>0</v>
      </c>
      <c r="DM23" s="127">
        <f t="shared" ref="DM23" si="84">CR23+CU23+CX23+DA23+DD23+DG23+DJ23</f>
        <v>25000</v>
      </c>
      <c r="DN23" s="67">
        <f t="shared" ref="DN23" si="85">CS23+CV23+CY23+DB23+DE23+DH23+DK23</f>
        <v>0</v>
      </c>
      <c r="DO23" s="51">
        <f t="shared" ref="DO23" si="86">CT23+CW23+CZ23+DC23+DF23+DI23+DL23</f>
        <v>0</v>
      </c>
      <c r="DP23" s="52">
        <f t="shared" ref="DP23" si="87">U23+AS23+CO23+DM23</f>
        <v>25000</v>
      </c>
      <c r="DQ23" s="53">
        <f t="shared" ref="DQ23" si="88">V23+AT23+BR23+CP23+DN23</f>
        <v>9</v>
      </c>
      <c r="DR23" s="54">
        <f t="shared" ref="DR23" si="89">W23+AU23+BS23+CQ23+DO23</f>
        <v>63000</v>
      </c>
    </row>
    <row r="24" spans="1:125" s="26" customFormat="1" ht="17.100000000000001" customHeight="1" thickBot="1" x14ac:dyDescent="0.25">
      <c r="A24" s="124" t="s">
        <v>38</v>
      </c>
      <c r="B24" s="19">
        <v>7000</v>
      </c>
      <c r="C24" s="29"/>
      <c r="D24" s="30"/>
      <c r="E24" s="2">
        <f t="shared" si="3"/>
        <v>0</v>
      </c>
      <c r="F24" s="29"/>
      <c r="G24" s="30"/>
      <c r="H24" s="2">
        <f t="shared" si="4"/>
        <v>0</v>
      </c>
      <c r="I24" s="29"/>
      <c r="J24" s="30"/>
      <c r="K24" s="2">
        <f t="shared" si="5"/>
        <v>0</v>
      </c>
      <c r="L24" s="84"/>
      <c r="M24" s="82"/>
      <c r="N24" s="83">
        <f t="shared" si="6"/>
        <v>0</v>
      </c>
      <c r="O24" s="31"/>
      <c r="P24" s="30">
        <v>1</v>
      </c>
      <c r="Q24" s="2">
        <f t="shared" si="7"/>
        <v>7000</v>
      </c>
      <c r="R24" s="31"/>
      <c r="S24" s="30">
        <v>3</v>
      </c>
      <c r="T24" s="2">
        <f t="shared" si="8"/>
        <v>21000</v>
      </c>
      <c r="U24" s="70"/>
      <c r="V24" s="136">
        <v>4</v>
      </c>
      <c r="W24" s="2">
        <f t="shared" si="9"/>
        <v>28000</v>
      </c>
      <c r="X24" s="35"/>
      <c r="Y24" s="30"/>
      <c r="Z24" s="2">
        <f t="shared" si="10"/>
        <v>0</v>
      </c>
      <c r="AA24" s="33"/>
      <c r="AB24" s="30">
        <v>1</v>
      </c>
      <c r="AC24" s="2">
        <f t="shared" si="11"/>
        <v>7000</v>
      </c>
      <c r="AD24" s="33"/>
      <c r="AE24" s="30">
        <v>1</v>
      </c>
      <c r="AF24" s="2">
        <f t="shared" si="12"/>
        <v>7000</v>
      </c>
      <c r="AG24" s="33"/>
      <c r="AH24" s="30"/>
      <c r="AI24" s="2">
        <f t="shared" si="13"/>
        <v>0</v>
      </c>
      <c r="AJ24" s="33"/>
      <c r="AK24" s="30">
        <v>4</v>
      </c>
      <c r="AL24" s="2">
        <f t="shared" si="14"/>
        <v>28000</v>
      </c>
      <c r="AM24" s="33"/>
      <c r="AN24" s="30">
        <v>1</v>
      </c>
      <c r="AO24" s="2">
        <f t="shared" si="15"/>
        <v>7000</v>
      </c>
      <c r="AP24" s="33"/>
      <c r="AQ24" s="30"/>
      <c r="AR24" s="2">
        <f t="shared" si="16"/>
        <v>0</v>
      </c>
      <c r="AS24" s="70">
        <f t="shared" si="55"/>
        <v>0</v>
      </c>
      <c r="AT24" s="67">
        <f t="shared" si="17"/>
        <v>7</v>
      </c>
      <c r="AU24" s="51">
        <f t="shared" si="17"/>
        <v>49000</v>
      </c>
      <c r="AV24" s="33"/>
      <c r="AW24" s="30"/>
      <c r="AX24" s="2">
        <f t="shared" ref="AX24:AX25" si="90">$B24*AW24</f>
        <v>0</v>
      </c>
      <c r="AY24" s="33"/>
      <c r="AZ24" s="30">
        <v>2</v>
      </c>
      <c r="BA24" s="2">
        <f t="shared" si="19"/>
        <v>14000</v>
      </c>
      <c r="BB24" s="33"/>
      <c r="BC24" s="30">
        <v>2</v>
      </c>
      <c r="BD24" s="2">
        <f t="shared" si="20"/>
        <v>14000</v>
      </c>
      <c r="BE24" s="33"/>
      <c r="BF24" s="30">
        <v>1</v>
      </c>
      <c r="BG24" s="2">
        <f t="shared" si="21"/>
        <v>7000</v>
      </c>
      <c r="BH24" s="33"/>
      <c r="BI24" s="30">
        <v>3</v>
      </c>
      <c r="BJ24" s="2">
        <f t="shared" si="22"/>
        <v>21000</v>
      </c>
      <c r="BK24" s="33"/>
      <c r="BL24" s="30"/>
      <c r="BM24" s="2">
        <f t="shared" si="23"/>
        <v>0</v>
      </c>
      <c r="BN24" s="33"/>
      <c r="BO24" s="30">
        <v>2</v>
      </c>
      <c r="BP24" s="2">
        <f t="shared" si="24"/>
        <v>14000</v>
      </c>
      <c r="BQ24" s="70">
        <f t="shared" si="25"/>
        <v>0</v>
      </c>
      <c r="BR24" s="67">
        <f t="shared" si="25"/>
        <v>10</v>
      </c>
      <c r="BS24" s="51">
        <f t="shared" si="25"/>
        <v>70000</v>
      </c>
      <c r="BT24" s="31"/>
      <c r="BU24" s="30">
        <v>2</v>
      </c>
      <c r="BV24" s="2">
        <f t="shared" si="26"/>
        <v>14000</v>
      </c>
      <c r="BW24" s="31"/>
      <c r="BX24" s="30">
        <v>3</v>
      </c>
      <c r="BY24" s="2">
        <f t="shared" si="27"/>
        <v>21000</v>
      </c>
      <c r="BZ24" s="31"/>
      <c r="CA24" s="30">
        <v>2</v>
      </c>
      <c r="CB24" s="2">
        <f t="shared" si="28"/>
        <v>14000</v>
      </c>
      <c r="CC24" s="31"/>
      <c r="CD24" s="30"/>
      <c r="CE24" s="2">
        <f t="shared" ref="CE24" si="91">$B24*CD24</f>
        <v>0</v>
      </c>
      <c r="CF24" s="31"/>
      <c r="CG24" s="30"/>
      <c r="CH24" s="2">
        <f t="shared" ref="CH24:CH25" si="92">$B24*CG24</f>
        <v>0</v>
      </c>
      <c r="CI24" s="31"/>
      <c r="CJ24" s="30"/>
      <c r="CK24" s="2">
        <f t="shared" ref="CK24:CK25" si="93">$B24*CJ24</f>
        <v>0</v>
      </c>
      <c r="CL24" s="31"/>
      <c r="CM24" s="30"/>
      <c r="CN24" s="2">
        <f t="shared" ref="CN24" si="94">$B24*CM24</f>
        <v>0</v>
      </c>
      <c r="CO24" s="127">
        <f t="shared" si="33"/>
        <v>0</v>
      </c>
      <c r="CP24" s="67">
        <f>BU24+BX24+CA24+CD24+CG24+CJ24+CM24</f>
        <v>7</v>
      </c>
      <c r="CQ24" s="51">
        <f>BV24+BY24+CB24+CE24+CH24+CK24+CN24</f>
        <v>49000</v>
      </c>
      <c r="CR24" s="31"/>
      <c r="CS24" s="30"/>
      <c r="CT24" s="2">
        <f t="shared" si="34"/>
        <v>0</v>
      </c>
      <c r="CU24" s="31"/>
      <c r="CV24" s="30">
        <v>1</v>
      </c>
      <c r="CW24" s="2">
        <f t="shared" si="35"/>
        <v>7000</v>
      </c>
      <c r="CX24" s="31">
        <v>30000</v>
      </c>
      <c r="CY24" s="30">
        <v>1</v>
      </c>
      <c r="CZ24" s="2">
        <f t="shared" si="36"/>
        <v>7000</v>
      </c>
      <c r="DA24" s="31"/>
      <c r="DB24" s="30">
        <v>1</v>
      </c>
      <c r="DC24" s="2">
        <f t="shared" si="37"/>
        <v>7000</v>
      </c>
      <c r="DD24" s="31"/>
      <c r="DE24" s="30">
        <v>3</v>
      </c>
      <c r="DF24" s="2">
        <f t="shared" si="38"/>
        <v>21000</v>
      </c>
      <c r="DG24" s="31"/>
      <c r="DH24" s="30"/>
      <c r="DI24" s="2">
        <f t="shared" si="39"/>
        <v>0</v>
      </c>
      <c r="DJ24" s="31"/>
      <c r="DK24" s="30"/>
      <c r="DL24" s="2">
        <f t="shared" ref="DL24" si="95">$B24*DK24</f>
        <v>0</v>
      </c>
      <c r="DM24" s="127">
        <f t="shared" si="41"/>
        <v>30000</v>
      </c>
      <c r="DN24" s="67">
        <f t="shared" si="41"/>
        <v>6</v>
      </c>
      <c r="DO24" s="51">
        <f t="shared" si="41"/>
        <v>42000</v>
      </c>
      <c r="DP24" s="131">
        <f t="shared" si="0"/>
        <v>30000</v>
      </c>
      <c r="DQ24" s="132">
        <f t="shared" si="1"/>
        <v>34</v>
      </c>
      <c r="DR24" s="133">
        <f t="shared" si="2"/>
        <v>238000</v>
      </c>
    </row>
    <row r="25" spans="1:125" s="26" customFormat="1" ht="17.100000000000001" customHeight="1" thickBot="1" x14ac:dyDescent="0.25">
      <c r="A25" s="123" t="s">
        <v>40</v>
      </c>
      <c r="B25" s="19">
        <v>7000</v>
      </c>
      <c r="C25" s="29"/>
      <c r="D25" s="30"/>
      <c r="E25" s="2">
        <f t="shared" si="3"/>
        <v>0</v>
      </c>
      <c r="F25" s="29"/>
      <c r="G25" s="30"/>
      <c r="H25" s="2">
        <f t="shared" si="4"/>
        <v>0</v>
      </c>
      <c r="I25" s="29"/>
      <c r="J25" s="30"/>
      <c r="K25" s="2">
        <f t="shared" si="5"/>
        <v>0</v>
      </c>
      <c r="L25" s="84"/>
      <c r="M25" s="82"/>
      <c r="N25" s="83">
        <f t="shared" si="6"/>
        <v>0</v>
      </c>
      <c r="O25" s="31"/>
      <c r="P25" s="30"/>
      <c r="Q25" s="2">
        <f t="shared" si="7"/>
        <v>0</v>
      </c>
      <c r="R25" s="31"/>
      <c r="S25" s="30"/>
      <c r="T25" s="2">
        <f t="shared" si="8"/>
        <v>0</v>
      </c>
      <c r="U25" s="70"/>
      <c r="V25" s="136"/>
      <c r="W25" s="140">
        <f t="shared" si="9"/>
        <v>0</v>
      </c>
      <c r="X25" s="35"/>
      <c r="Y25" s="30"/>
      <c r="Z25" s="2">
        <f t="shared" si="10"/>
        <v>0</v>
      </c>
      <c r="AA25" s="33"/>
      <c r="AB25" s="30"/>
      <c r="AC25" s="2">
        <f t="shared" si="11"/>
        <v>0</v>
      </c>
      <c r="AD25" s="33"/>
      <c r="AE25" s="30"/>
      <c r="AF25" s="2">
        <f t="shared" si="12"/>
        <v>0</v>
      </c>
      <c r="AG25" s="33"/>
      <c r="AH25" s="30"/>
      <c r="AI25" s="2">
        <f t="shared" si="13"/>
        <v>0</v>
      </c>
      <c r="AJ25" s="33"/>
      <c r="AK25" s="30"/>
      <c r="AL25" s="2">
        <f t="shared" si="14"/>
        <v>0</v>
      </c>
      <c r="AM25" s="33"/>
      <c r="AN25" s="30"/>
      <c r="AO25" s="2">
        <f t="shared" si="15"/>
        <v>0</v>
      </c>
      <c r="AP25" s="33"/>
      <c r="AQ25" s="30"/>
      <c r="AR25" s="2">
        <f t="shared" si="16"/>
        <v>0</v>
      </c>
      <c r="AS25" s="70">
        <f t="shared" si="17"/>
        <v>0</v>
      </c>
      <c r="AT25" s="67">
        <f t="shared" si="17"/>
        <v>0</v>
      </c>
      <c r="AU25" s="51">
        <f t="shared" si="17"/>
        <v>0</v>
      </c>
      <c r="AV25" s="33"/>
      <c r="AW25" s="30"/>
      <c r="AX25" s="2">
        <f t="shared" si="90"/>
        <v>0</v>
      </c>
      <c r="AY25" s="33"/>
      <c r="AZ25" s="30"/>
      <c r="BA25" s="2">
        <f t="shared" si="19"/>
        <v>0</v>
      </c>
      <c r="BB25" s="33"/>
      <c r="BC25" s="30"/>
      <c r="BD25" s="2">
        <f t="shared" si="20"/>
        <v>0</v>
      </c>
      <c r="BE25" s="33"/>
      <c r="BF25" s="30"/>
      <c r="BG25" s="2">
        <f t="shared" si="21"/>
        <v>0</v>
      </c>
      <c r="BH25" s="33"/>
      <c r="BI25" s="30"/>
      <c r="BJ25" s="2">
        <f t="shared" si="22"/>
        <v>0</v>
      </c>
      <c r="BK25" s="33"/>
      <c r="BL25" s="30"/>
      <c r="BM25" s="2">
        <f t="shared" si="23"/>
        <v>0</v>
      </c>
      <c r="BN25" s="33"/>
      <c r="BO25" s="30"/>
      <c r="BP25" s="2">
        <f t="shared" si="24"/>
        <v>0</v>
      </c>
      <c r="BQ25" s="70">
        <f t="shared" si="25"/>
        <v>0</v>
      </c>
      <c r="BR25" s="67">
        <f t="shared" si="25"/>
        <v>0</v>
      </c>
      <c r="BS25" s="51">
        <f t="shared" si="25"/>
        <v>0</v>
      </c>
      <c r="BT25" s="33"/>
      <c r="BU25" s="30"/>
      <c r="BV25" s="2">
        <f t="shared" si="26"/>
        <v>0</v>
      </c>
      <c r="BW25" s="33"/>
      <c r="BX25" s="30"/>
      <c r="BY25" s="2">
        <f t="shared" si="27"/>
        <v>0</v>
      </c>
      <c r="BZ25" s="33"/>
      <c r="CA25" s="30"/>
      <c r="CB25" s="2">
        <f t="shared" si="28"/>
        <v>0</v>
      </c>
      <c r="CC25" s="33"/>
      <c r="CD25" s="30"/>
      <c r="CE25" s="2">
        <f t="shared" si="29"/>
        <v>0</v>
      </c>
      <c r="CF25" s="33"/>
      <c r="CG25" s="30"/>
      <c r="CH25" s="2">
        <f t="shared" si="92"/>
        <v>0</v>
      </c>
      <c r="CI25" s="33"/>
      <c r="CJ25" s="30"/>
      <c r="CK25" s="2">
        <f t="shared" si="93"/>
        <v>0</v>
      </c>
      <c r="CL25" s="33"/>
      <c r="CM25" s="30"/>
      <c r="CN25" s="2">
        <f t="shared" si="32"/>
        <v>0</v>
      </c>
      <c r="CO25" s="70">
        <f t="shared" si="33"/>
        <v>0</v>
      </c>
      <c r="CP25" s="67">
        <f t="shared" si="33"/>
        <v>0</v>
      </c>
      <c r="CQ25" s="51">
        <f t="shared" si="33"/>
        <v>0</v>
      </c>
      <c r="CR25" s="33"/>
      <c r="CS25" s="30"/>
      <c r="CT25" s="2">
        <f t="shared" si="34"/>
        <v>0</v>
      </c>
      <c r="CU25" s="33"/>
      <c r="CV25" s="30"/>
      <c r="CW25" s="2">
        <f t="shared" si="35"/>
        <v>0</v>
      </c>
      <c r="CX25" s="33"/>
      <c r="CY25" s="30"/>
      <c r="CZ25" s="2">
        <f t="shared" si="36"/>
        <v>0</v>
      </c>
      <c r="DA25" s="33"/>
      <c r="DB25" s="30"/>
      <c r="DC25" s="2">
        <f t="shared" si="37"/>
        <v>0</v>
      </c>
      <c r="DD25" s="33"/>
      <c r="DE25" s="30"/>
      <c r="DF25" s="2">
        <f t="shared" si="38"/>
        <v>0</v>
      </c>
      <c r="DG25" s="33"/>
      <c r="DH25" s="30"/>
      <c r="DI25" s="2">
        <f t="shared" si="39"/>
        <v>0</v>
      </c>
      <c r="DJ25" s="33"/>
      <c r="DK25" s="30"/>
      <c r="DL25" s="2">
        <f t="shared" si="40"/>
        <v>0</v>
      </c>
      <c r="DM25" s="70">
        <f t="shared" si="41"/>
        <v>0</v>
      </c>
      <c r="DN25" s="67">
        <f t="shared" si="41"/>
        <v>0</v>
      </c>
      <c r="DO25" s="51">
        <f t="shared" si="41"/>
        <v>0</v>
      </c>
      <c r="DP25" s="52">
        <f t="shared" si="0"/>
        <v>0</v>
      </c>
      <c r="DQ25" s="53">
        <f t="shared" si="1"/>
        <v>0</v>
      </c>
      <c r="DR25" s="54">
        <f t="shared" si="2"/>
        <v>0</v>
      </c>
    </row>
    <row r="26" spans="1:125" s="26" customFormat="1" ht="17.100000000000001" customHeight="1" thickBot="1" x14ac:dyDescent="0.25">
      <c r="A26" s="27" t="s">
        <v>35</v>
      </c>
      <c r="B26" s="114"/>
      <c r="C26" s="81"/>
      <c r="D26" s="82"/>
      <c r="E26" s="83"/>
      <c r="F26" s="81"/>
      <c r="G26" s="82"/>
      <c r="H26" s="83"/>
      <c r="I26" s="81"/>
      <c r="J26" s="82"/>
      <c r="K26" s="83"/>
      <c r="L26" s="84"/>
      <c r="M26" s="82"/>
      <c r="N26" s="83">
        <f t="shared" ref="N26:N27" si="96">$B26*M26</f>
        <v>0</v>
      </c>
      <c r="O26" s="31"/>
      <c r="P26" s="30"/>
      <c r="Q26" s="2">
        <f t="shared" ref="Q26:Q28" si="97">$B26*P26</f>
        <v>0</v>
      </c>
      <c r="R26" s="31"/>
      <c r="S26" s="30"/>
      <c r="T26" s="2">
        <f t="shared" ref="T26:T28" si="98">$B26*S26</f>
        <v>0</v>
      </c>
      <c r="U26" s="70"/>
      <c r="V26" s="136"/>
      <c r="W26" s="2">
        <f t="shared" ref="W26:W28" si="99">$B26*V26</f>
        <v>0</v>
      </c>
      <c r="X26" s="35"/>
      <c r="Y26" s="30"/>
      <c r="Z26" s="2">
        <f t="shared" ref="Z26:Z28" si="100">$B26*Y26</f>
        <v>0</v>
      </c>
      <c r="AA26" s="33"/>
      <c r="AB26" s="30"/>
      <c r="AC26" s="2">
        <f t="shared" ref="AC26:AC28" si="101">$B26*AB26</f>
        <v>0</v>
      </c>
      <c r="AD26" s="33"/>
      <c r="AE26" s="30"/>
      <c r="AF26" s="2">
        <f t="shared" ref="AF26:AF28" si="102">$B26*AE26</f>
        <v>0</v>
      </c>
      <c r="AG26" s="33"/>
      <c r="AH26" s="30"/>
      <c r="AI26" s="2">
        <f t="shared" ref="AI26:AI28" si="103">$B26*AH26</f>
        <v>0</v>
      </c>
      <c r="AJ26" s="33"/>
      <c r="AK26" s="30"/>
      <c r="AL26" s="2">
        <f t="shared" ref="AL26:AL28" si="104">$B26*AK26</f>
        <v>0</v>
      </c>
      <c r="AM26" s="33"/>
      <c r="AN26" s="30"/>
      <c r="AO26" s="2">
        <f t="shared" ref="AO26:AO28" si="105">$B26*AN26</f>
        <v>0</v>
      </c>
      <c r="AP26" s="33"/>
      <c r="AQ26" s="30"/>
      <c r="AR26" s="2">
        <f t="shared" ref="AR26:AR28" si="106">$B26*AQ26</f>
        <v>0</v>
      </c>
      <c r="AS26" s="70">
        <f t="shared" ref="AS26:AS28" si="107">X26+AA26+AD26+AG26+AJ26+AM26+AP26</f>
        <v>0</v>
      </c>
      <c r="AT26" s="67">
        <f t="shared" ref="AT26:AT28" si="108">Y26+AB26+AE26+AH26+AK26+AN26+AQ26</f>
        <v>0</v>
      </c>
      <c r="AU26" s="51">
        <f t="shared" ref="AU26:AU28" si="109">Z26+AC26+AF26+AI26+AL26+AO26+AR26</f>
        <v>0</v>
      </c>
      <c r="AV26" s="33"/>
      <c r="AW26" s="30"/>
      <c r="AX26" s="2">
        <f t="shared" ref="AX26:AX28" si="110">$B26*AW26</f>
        <v>0</v>
      </c>
      <c r="AY26" s="33"/>
      <c r="AZ26" s="30"/>
      <c r="BA26" s="2">
        <f t="shared" ref="BA26:BA28" si="111">$B26*AZ26</f>
        <v>0</v>
      </c>
      <c r="BB26" s="33"/>
      <c r="BC26" s="30"/>
      <c r="BD26" s="2">
        <f t="shared" ref="BD26:BD28" si="112">$B26*BC26</f>
        <v>0</v>
      </c>
      <c r="BE26" s="33"/>
      <c r="BF26" s="30"/>
      <c r="BG26" s="2">
        <f t="shared" ref="BG26:BG28" si="113">$B26*BF26</f>
        <v>0</v>
      </c>
      <c r="BH26" s="33"/>
      <c r="BI26" s="30"/>
      <c r="BJ26" s="2">
        <f t="shared" ref="BJ26:BJ28" si="114">$B26*BI26</f>
        <v>0</v>
      </c>
      <c r="BK26" s="33"/>
      <c r="BL26" s="30"/>
      <c r="BM26" s="2">
        <f t="shared" ref="BM26:BM28" si="115">$B26*BL26</f>
        <v>0</v>
      </c>
      <c r="BN26" s="33"/>
      <c r="BO26" s="30"/>
      <c r="BP26" s="2">
        <f t="shared" ref="BP26:BP28" si="116">$B26*BO26</f>
        <v>0</v>
      </c>
      <c r="BQ26" s="70">
        <f t="shared" ref="BQ26:BQ28" si="117">AV26+AY26+BB26+BE26+BH26+BK26+BN26</f>
        <v>0</v>
      </c>
      <c r="BR26" s="67">
        <f t="shared" ref="BR26:BR28" si="118">AW26+AZ26+BC26+BF26+BI26+BL26+BO26</f>
        <v>0</v>
      </c>
      <c r="BS26" s="51">
        <f t="shared" ref="BS26:BS28" si="119">AX26+BA26+BD26+BG26+BJ26+BM26+BP26</f>
        <v>0</v>
      </c>
      <c r="BT26" s="33"/>
      <c r="BU26" s="30"/>
      <c r="BV26" s="2">
        <f t="shared" ref="BV26:BV28" si="120">$B26*BU26</f>
        <v>0</v>
      </c>
      <c r="BW26" s="33"/>
      <c r="BX26" s="30"/>
      <c r="BY26" s="2">
        <f t="shared" ref="BY26:BY28" si="121">$B26*BX26</f>
        <v>0</v>
      </c>
      <c r="BZ26" s="33"/>
      <c r="CA26" s="30"/>
      <c r="CB26" s="2">
        <f t="shared" ref="CB26:CB28" si="122">$B26*CA26</f>
        <v>0</v>
      </c>
      <c r="CC26" s="33"/>
      <c r="CD26" s="30"/>
      <c r="CE26" s="2">
        <f t="shared" ref="CE26:CE28" si="123">$B26*CD26</f>
        <v>0</v>
      </c>
      <c r="CF26" s="33"/>
      <c r="CG26" s="30"/>
      <c r="CH26" s="2">
        <f t="shared" ref="CH26:CH28" si="124">$B26*CG26</f>
        <v>0</v>
      </c>
      <c r="CI26" s="33"/>
      <c r="CJ26" s="30"/>
      <c r="CK26" s="2">
        <f t="shared" ref="CK26:CK28" si="125">$B26*CJ26</f>
        <v>0</v>
      </c>
      <c r="CL26" s="33"/>
      <c r="CM26" s="30"/>
      <c r="CN26" s="2">
        <f t="shared" ref="CN26:CN28" si="126">$B26*CM26</f>
        <v>0</v>
      </c>
      <c r="CO26" s="70">
        <f t="shared" ref="CO26:CO28" si="127">BT26+BW26+BZ26+CC26+CF26+CI26+CL26</f>
        <v>0</v>
      </c>
      <c r="CP26" s="67">
        <f t="shared" ref="CP26:CP28" si="128">BU26+BX26+CA26+CD26+CG26+CJ26+CM26</f>
        <v>0</v>
      </c>
      <c r="CQ26" s="51">
        <f t="shared" ref="CQ26:CQ28" si="129">BV26+BY26+CB26+CE26+CH26+CK26+CN26</f>
        <v>0</v>
      </c>
      <c r="CR26" s="33"/>
      <c r="CS26" s="30"/>
      <c r="CT26" s="2">
        <f t="shared" ref="CT26:CT28" si="130">$B26*CS26</f>
        <v>0</v>
      </c>
      <c r="CU26" s="33"/>
      <c r="CV26" s="30"/>
      <c r="CW26" s="2">
        <f t="shared" ref="CW26:CW28" si="131">$B26*CV26</f>
        <v>0</v>
      </c>
      <c r="CX26" s="33"/>
      <c r="CY26" s="30"/>
      <c r="CZ26" s="2">
        <f t="shared" ref="CZ26:CZ28" si="132">$B26*CY26</f>
        <v>0</v>
      </c>
      <c r="DA26" s="33"/>
      <c r="DB26" s="30"/>
      <c r="DC26" s="2">
        <f t="shared" ref="DC26:DC28" si="133">$B26*DB26</f>
        <v>0</v>
      </c>
      <c r="DD26" s="33"/>
      <c r="DE26" s="30"/>
      <c r="DF26" s="2">
        <f t="shared" ref="DF26:DF28" si="134">$B26*DE26</f>
        <v>0</v>
      </c>
      <c r="DG26" s="33"/>
      <c r="DH26" s="30"/>
      <c r="DI26" s="2">
        <f t="shared" ref="DI26:DI28" si="135">$B26*DH26</f>
        <v>0</v>
      </c>
      <c r="DJ26" s="33"/>
      <c r="DK26" s="30"/>
      <c r="DL26" s="2">
        <f t="shared" ref="DL26:DL28" si="136">$B26*DK26</f>
        <v>0</v>
      </c>
      <c r="DM26" s="70">
        <f t="shared" ref="DM26:DM28" si="137">CR26+CU26+CX26+DA26+DD26+DG26+DJ26</f>
        <v>0</v>
      </c>
      <c r="DN26" s="67">
        <f t="shared" ref="DN26:DN28" si="138">CS26+CV26+CY26+DB26+DE26+DH26+DK26</f>
        <v>0</v>
      </c>
      <c r="DO26" s="51">
        <f t="shared" ref="DO26:DO28" si="139">CT26+CW26+CZ26+DC26+DF26+DI26+DL26</f>
        <v>0</v>
      </c>
      <c r="DP26" s="52">
        <f t="shared" ref="DP26:DP28" si="140">U26+AS26+CO26+DM26</f>
        <v>0</v>
      </c>
      <c r="DQ26" s="53">
        <f t="shared" ref="DQ26:DQ28" si="141">V26+AT26+BR26+CP26+DN26</f>
        <v>0</v>
      </c>
      <c r="DR26" s="54">
        <f t="shared" ref="DR26:DR28" si="142">W26+AU26+BS26+CQ26+DO26</f>
        <v>0</v>
      </c>
    </row>
    <row r="27" spans="1:125" s="26" customFormat="1" ht="17.100000000000001" customHeight="1" thickBot="1" x14ac:dyDescent="0.25">
      <c r="A27" s="36" t="s">
        <v>61</v>
      </c>
      <c r="B27" s="19">
        <v>7000</v>
      </c>
      <c r="C27" s="38"/>
      <c r="D27" s="129"/>
      <c r="E27" s="130"/>
      <c r="F27" s="38"/>
      <c r="G27" s="129"/>
      <c r="H27" s="130"/>
      <c r="I27" s="38"/>
      <c r="J27" s="129"/>
      <c r="K27" s="130"/>
      <c r="L27" s="84"/>
      <c r="M27" s="82"/>
      <c r="N27" s="83">
        <f t="shared" si="96"/>
        <v>0</v>
      </c>
      <c r="O27" s="31"/>
      <c r="P27" s="30"/>
      <c r="Q27" s="2">
        <f t="shared" si="97"/>
        <v>0</v>
      </c>
      <c r="R27" s="31"/>
      <c r="S27" s="30"/>
      <c r="T27" s="2">
        <f t="shared" si="98"/>
        <v>0</v>
      </c>
      <c r="U27" s="70"/>
      <c r="V27" s="136"/>
      <c r="W27" s="140">
        <f t="shared" si="99"/>
        <v>0</v>
      </c>
      <c r="X27" s="35"/>
      <c r="Y27" s="30"/>
      <c r="Z27" s="2">
        <f t="shared" si="100"/>
        <v>0</v>
      </c>
      <c r="AA27" s="33"/>
      <c r="AB27" s="30"/>
      <c r="AC27" s="2">
        <f t="shared" si="101"/>
        <v>0</v>
      </c>
      <c r="AD27" s="33"/>
      <c r="AE27" s="30"/>
      <c r="AF27" s="2">
        <f t="shared" si="102"/>
        <v>0</v>
      </c>
      <c r="AG27" s="33"/>
      <c r="AH27" s="30">
        <v>3</v>
      </c>
      <c r="AI27" s="2">
        <f t="shared" si="103"/>
        <v>21000</v>
      </c>
      <c r="AJ27" s="33"/>
      <c r="AK27" s="99">
        <v>2.5</v>
      </c>
      <c r="AL27" s="2">
        <f t="shared" si="104"/>
        <v>17500</v>
      </c>
      <c r="AM27" s="33"/>
      <c r="AN27" s="30">
        <v>1</v>
      </c>
      <c r="AO27" s="2">
        <f t="shared" si="105"/>
        <v>7000</v>
      </c>
      <c r="AP27" s="33"/>
      <c r="AQ27" s="30"/>
      <c r="AR27" s="2">
        <f t="shared" si="106"/>
        <v>0</v>
      </c>
      <c r="AS27" s="70">
        <f t="shared" si="107"/>
        <v>0</v>
      </c>
      <c r="AT27" s="100">
        <f t="shared" si="108"/>
        <v>6.5</v>
      </c>
      <c r="AU27" s="51">
        <f t="shared" si="109"/>
        <v>45500</v>
      </c>
      <c r="AV27" s="33"/>
      <c r="AW27" s="30"/>
      <c r="AX27" s="2">
        <f t="shared" si="110"/>
        <v>0</v>
      </c>
      <c r="AY27" s="33"/>
      <c r="AZ27" s="30">
        <v>1</v>
      </c>
      <c r="BA27" s="2">
        <f t="shared" si="111"/>
        <v>7000</v>
      </c>
      <c r="BB27" s="33"/>
      <c r="BC27" s="30">
        <v>5</v>
      </c>
      <c r="BD27" s="2">
        <f t="shared" si="112"/>
        <v>35000</v>
      </c>
      <c r="BE27" s="33"/>
      <c r="BF27" s="30">
        <v>1</v>
      </c>
      <c r="BG27" s="2">
        <f t="shared" si="113"/>
        <v>7000</v>
      </c>
      <c r="BH27" s="33"/>
      <c r="BI27" s="30"/>
      <c r="BJ27" s="2">
        <f t="shared" si="114"/>
        <v>0</v>
      </c>
      <c r="BK27" s="33"/>
      <c r="BL27" s="30"/>
      <c r="BM27" s="2">
        <f t="shared" si="115"/>
        <v>0</v>
      </c>
      <c r="BN27" s="33"/>
      <c r="BO27" s="30"/>
      <c r="BP27" s="2">
        <f t="shared" si="116"/>
        <v>0</v>
      </c>
      <c r="BQ27" s="70">
        <f t="shared" si="117"/>
        <v>0</v>
      </c>
      <c r="BR27" s="67">
        <f t="shared" si="118"/>
        <v>7</v>
      </c>
      <c r="BS27" s="51">
        <f t="shared" si="119"/>
        <v>49000</v>
      </c>
      <c r="BT27" s="33"/>
      <c r="BU27" s="30"/>
      <c r="BV27" s="2">
        <f t="shared" si="120"/>
        <v>0</v>
      </c>
      <c r="BW27" s="33"/>
      <c r="BX27" s="30"/>
      <c r="BY27" s="2">
        <f t="shared" si="121"/>
        <v>0</v>
      </c>
      <c r="BZ27" s="33"/>
      <c r="CA27" s="30">
        <v>2</v>
      </c>
      <c r="CB27" s="2">
        <f t="shared" si="122"/>
        <v>14000</v>
      </c>
      <c r="CC27" s="33"/>
      <c r="CD27" s="30"/>
      <c r="CE27" s="2">
        <f t="shared" si="123"/>
        <v>0</v>
      </c>
      <c r="CF27" s="33"/>
      <c r="CG27" s="30"/>
      <c r="CH27" s="2">
        <f t="shared" si="124"/>
        <v>0</v>
      </c>
      <c r="CI27" s="33"/>
      <c r="CJ27" s="30"/>
      <c r="CK27" s="2">
        <f t="shared" si="125"/>
        <v>0</v>
      </c>
      <c r="CL27" s="33"/>
      <c r="CM27" s="30"/>
      <c r="CN27" s="2">
        <f t="shared" si="126"/>
        <v>0</v>
      </c>
      <c r="CO27" s="70">
        <f t="shared" si="127"/>
        <v>0</v>
      </c>
      <c r="CP27" s="67">
        <f t="shared" si="128"/>
        <v>2</v>
      </c>
      <c r="CQ27" s="51">
        <f t="shared" si="129"/>
        <v>14000</v>
      </c>
      <c r="CR27" s="33"/>
      <c r="CS27" s="30"/>
      <c r="CT27" s="2">
        <f t="shared" si="130"/>
        <v>0</v>
      </c>
      <c r="CU27" s="146"/>
      <c r="CV27" s="30"/>
      <c r="CW27" s="2">
        <f t="shared" si="131"/>
        <v>0</v>
      </c>
      <c r="CX27" s="102"/>
      <c r="CY27" s="30"/>
      <c r="CZ27" s="2">
        <f t="shared" si="132"/>
        <v>0</v>
      </c>
      <c r="DA27" s="33"/>
      <c r="DB27" s="30">
        <v>4</v>
      </c>
      <c r="DC27" s="2">
        <f t="shared" si="133"/>
        <v>28000</v>
      </c>
      <c r="DD27" s="33"/>
      <c r="DE27" s="30">
        <v>5</v>
      </c>
      <c r="DF27" s="2">
        <f t="shared" si="134"/>
        <v>35000</v>
      </c>
      <c r="DG27" s="33"/>
      <c r="DH27" s="30"/>
      <c r="DI27" s="2">
        <f t="shared" si="135"/>
        <v>0</v>
      </c>
      <c r="DJ27" s="33"/>
      <c r="DK27" s="30"/>
      <c r="DL27" s="2">
        <f t="shared" si="136"/>
        <v>0</v>
      </c>
      <c r="DM27" s="70">
        <f t="shared" si="137"/>
        <v>0</v>
      </c>
      <c r="DN27" s="67">
        <f t="shared" si="138"/>
        <v>9</v>
      </c>
      <c r="DO27" s="51">
        <f t="shared" si="139"/>
        <v>63000</v>
      </c>
      <c r="DP27" s="52">
        <f t="shared" si="140"/>
        <v>0</v>
      </c>
      <c r="DQ27" s="53">
        <f t="shared" si="141"/>
        <v>24.5</v>
      </c>
      <c r="DR27" s="54">
        <f t="shared" si="142"/>
        <v>171500</v>
      </c>
    </row>
    <row r="28" spans="1:125" ht="17.100000000000001" customHeight="1" thickBot="1" x14ac:dyDescent="0.3">
      <c r="A28" s="142" t="s">
        <v>34</v>
      </c>
      <c r="B28" s="134"/>
      <c r="C28" s="38"/>
      <c r="D28" s="129"/>
      <c r="E28" s="130"/>
      <c r="F28" s="38"/>
      <c r="G28" s="129"/>
      <c r="H28" s="130"/>
      <c r="I28" s="38"/>
      <c r="J28" s="129"/>
      <c r="K28" s="130"/>
      <c r="L28" s="97"/>
      <c r="M28" s="98"/>
      <c r="N28" s="143">
        <f t="shared" ref="N28" si="143">$B28*M28</f>
        <v>0</v>
      </c>
      <c r="O28" s="110">
        <v>25000</v>
      </c>
      <c r="P28" s="39"/>
      <c r="Q28" s="3">
        <f t="shared" si="97"/>
        <v>0</v>
      </c>
      <c r="R28" s="40"/>
      <c r="S28" s="39"/>
      <c r="T28" s="3">
        <f t="shared" si="98"/>
        <v>0</v>
      </c>
      <c r="U28" s="71"/>
      <c r="V28" s="144"/>
      <c r="W28" s="3">
        <f t="shared" si="99"/>
        <v>0</v>
      </c>
      <c r="X28" s="42"/>
      <c r="Y28" s="39"/>
      <c r="Z28" s="3">
        <f t="shared" si="100"/>
        <v>0</v>
      </c>
      <c r="AA28" s="110">
        <v>25000</v>
      </c>
      <c r="AB28" s="39"/>
      <c r="AC28" s="3">
        <f t="shared" si="101"/>
        <v>0</v>
      </c>
      <c r="AD28" s="41"/>
      <c r="AE28" s="39"/>
      <c r="AF28" s="3">
        <f t="shared" si="102"/>
        <v>0</v>
      </c>
      <c r="AG28" s="110">
        <v>25000</v>
      </c>
      <c r="AH28" s="39"/>
      <c r="AI28" s="3">
        <f t="shared" si="103"/>
        <v>0</v>
      </c>
      <c r="AJ28" s="41"/>
      <c r="AK28" s="39"/>
      <c r="AL28" s="3">
        <f t="shared" si="104"/>
        <v>0</v>
      </c>
      <c r="AM28" s="110">
        <v>25000</v>
      </c>
      <c r="AN28" s="39"/>
      <c r="AO28" s="3">
        <f t="shared" si="105"/>
        <v>0</v>
      </c>
      <c r="AP28" s="41"/>
      <c r="AQ28" s="39"/>
      <c r="AR28" s="3">
        <f t="shared" si="106"/>
        <v>0</v>
      </c>
      <c r="AS28" s="71">
        <f t="shared" si="107"/>
        <v>75000</v>
      </c>
      <c r="AT28" s="68">
        <f t="shared" si="108"/>
        <v>0</v>
      </c>
      <c r="AU28" s="55">
        <f t="shared" si="109"/>
        <v>0</v>
      </c>
      <c r="AV28" s="41"/>
      <c r="AW28" s="39"/>
      <c r="AX28" s="3">
        <f t="shared" si="110"/>
        <v>0</v>
      </c>
      <c r="AY28" s="110">
        <v>25000</v>
      </c>
      <c r="AZ28" s="39"/>
      <c r="BA28" s="3">
        <f t="shared" si="111"/>
        <v>0</v>
      </c>
      <c r="BB28" s="41"/>
      <c r="BC28" s="39"/>
      <c r="BD28" s="3">
        <f t="shared" si="112"/>
        <v>0</v>
      </c>
      <c r="BE28" s="110">
        <v>25000</v>
      </c>
      <c r="BF28" s="39"/>
      <c r="BG28" s="3">
        <f t="shared" si="113"/>
        <v>0</v>
      </c>
      <c r="BH28" s="41"/>
      <c r="BI28" s="39"/>
      <c r="BJ28" s="3">
        <f t="shared" si="114"/>
        <v>0</v>
      </c>
      <c r="BK28" s="110">
        <v>25000</v>
      </c>
      <c r="BL28" s="39"/>
      <c r="BM28" s="3">
        <f t="shared" si="115"/>
        <v>0</v>
      </c>
      <c r="BN28" s="41"/>
      <c r="BO28" s="39"/>
      <c r="BP28" s="3">
        <f t="shared" si="116"/>
        <v>0</v>
      </c>
      <c r="BQ28" s="71">
        <f t="shared" si="117"/>
        <v>75000</v>
      </c>
      <c r="BR28" s="68">
        <f t="shared" si="118"/>
        <v>0</v>
      </c>
      <c r="BS28" s="55">
        <f t="shared" si="119"/>
        <v>0</v>
      </c>
      <c r="BT28" s="41"/>
      <c r="BU28" s="39"/>
      <c r="BV28" s="3">
        <f t="shared" si="120"/>
        <v>0</v>
      </c>
      <c r="BW28" s="110">
        <v>25000</v>
      </c>
      <c r="BX28" s="39"/>
      <c r="BY28" s="3">
        <f t="shared" si="121"/>
        <v>0</v>
      </c>
      <c r="BZ28" s="41"/>
      <c r="CA28" s="39"/>
      <c r="CB28" s="3">
        <f t="shared" si="122"/>
        <v>0</v>
      </c>
      <c r="CC28" s="110">
        <v>25000</v>
      </c>
      <c r="CD28" s="39"/>
      <c r="CE28" s="3">
        <f t="shared" si="123"/>
        <v>0</v>
      </c>
      <c r="CF28" s="41"/>
      <c r="CG28" s="39"/>
      <c r="CH28" s="3">
        <f t="shared" si="124"/>
        <v>0</v>
      </c>
      <c r="CI28" s="110">
        <v>25000</v>
      </c>
      <c r="CJ28" s="39"/>
      <c r="CK28" s="3">
        <f t="shared" si="125"/>
        <v>0</v>
      </c>
      <c r="CL28" s="41"/>
      <c r="CM28" s="39"/>
      <c r="CN28" s="3">
        <f t="shared" si="126"/>
        <v>0</v>
      </c>
      <c r="CO28" s="71">
        <f t="shared" si="127"/>
        <v>75000</v>
      </c>
      <c r="CP28" s="68">
        <f t="shared" si="128"/>
        <v>0</v>
      </c>
      <c r="CQ28" s="55">
        <f t="shared" si="129"/>
        <v>0</v>
      </c>
      <c r="CR28" s="41"/>
      <c r="CS28" s="39"/>
      <c r="CT28" s="3">
        <f t="shared" si="130"/>
        <v>0</v>
      </c>
      <c r="CU28" s="110">
        <v>25000</v>
      </c>
      <c r="CV28" s="39"/>
      <c r="CW28" s="3">
        <f t="shared" si="131"/>
        <v>0</v>
      </c>
      <c r="CX28" s="41"/>
      <c r="CY28" s="39"/>
      <c r="CZ28" s="3">
        <f t="shared" si="132"/>
        <v>0</v>
      </c>
      <c r="DA28" s="110">
        <v>25000</v>
      </c>
      <c r="DB28" s="39"/>
      <c r="DC28" s="3">
        <f t="shared" si="133"/>
        <v>0</v>
      </c>
      <c r="DD28" s="41"/>
      <c r="DE28" s="39"/>
      <c r="DF28" s="3">
        <f t="shared" si="134"/>
        <v>0</v>
      </c>
      <c r="DG28" s="110">
        <v>25000</v>
      </c>
      <c r="DH28" s="39"/>
      <c r="DI28" s="3">
        <f t="shared" si="135"/>
        <v>0</v>
      </c>
      <c r="DJ28" s="41"/>
      <c r="DK28" s="39"/>
      <c r="DL28" s="3">
        <f t="shared" si="136"/>
        <v>0</v>
      </c>
      <c r="DM28" s="71">
        <f t="shared" si="137"/>
        <v>75000</v>
      </c>
      <c r="DN28" s="68">
        <f t="shared" si="138"/>
        <v>0</v>
      </c>
      <c r="DO28" s="55">
        <f t="shared" si="139"/>
        <v>0</v>
      </c>
      <c r="DP28" s="56">
        <f t="shared" si="140"/>
        <v>225000</v>
      </c>
      <c r="DQ28" s="57">
        <f t="shared" si="141"/>
        <v>0</v>
      </c>
      <c r="DR28" s="58">
        <f t="shared" si="142"/>
        <v>0</v>
      </c>
      <c r="DS28" s="60"/>
      <c r="DT28" s="61"/>
      <c r="DU28" s="62"/>
    </row>
    <row r="29" spans="1:125" ht="17.100000000000001" customHeight="1" x14ac:dyDescent="0.25">
      <c r="P29" s="46">
        <f>SUM(P4:P28)</f>
        <v>17</v>
      </c>
      <c r="S29" s="46"/>
      <c r="V29" s="46">
        <f>SUM(V4:V28)</f>
        <v>44</v>
      </c>
      <c r="Y29" s="46">
        <f>SUM(Y4:Y28)</f>
        <v>21</v>
      </c>
      <c r="AB29" s="46">
        <f>SUM(AB4:AB28)</f>
        <v>29.5</v>
      </c>
      <c r="AE29" s="46">
        <f>SUM(AE4:AE28)</f>
        <v>18</v>
      </c>
      <c r="AH29" s="46">
        <f>SUM(AH4:AH28)</f>
        <v>13</v>
      </c>
      <c r="AK29" s="46">
        <f>SUM(AK4:AK28)</f>
        <v>26.5</v>
      </c>
      <c r="AN29" s="46">
        <f>SUM(AN4:AN28)</f>
        <v>15</v>
      </c>
      <c r="AQ29" s="46">
        <f>SUM(AQ4:AQ28)</f>
        <v>8</v>
      </c>
      <c r="AT29" s="46">
        <f>SUM(AT4:AT28)</f>
        <v>131</v>
      </c>
      <c r="BR29" s="46">
        <f>SUM(BR4:BR28)</f>
        <v>105</v>
      </c>
      <c r="DR29" s="44">
        <f>SUM(DR5:DR27)</f>
        <v>3657000</v>
      </c>
      <c r="DS29" s="44"/>
      <c r="DT29" s="46"/>
      <c r="DU29" s="44"/>
    </row>
    <row r="30" spans="1:125" ht="17.100000000000001" customHeight="1" x14ac:dyDescent="0.25">
      <c r="V30" s="46"/>
    </row>
    <row r="31" spans="1:125" ht="17.100000000000001" customHeight="1" x14ac:dyDescent="0.25"/>
    <row r="32" spans="1:125" ht="17.100000000000001" customHeight="1" x14ac:dyDescent="0.25"/>
    <row r="33" ht="17.100000000000001" customHeight="1" x14ac:dyDescent="0.25"/>
    <row r="34" ht="17.100000000000001" customHeight="1" x14ac:dyDescent="0.25"/>
    <row r="35" ht="17.100000000000001" customHeight="1" x14ac:dyDescent="0.25"/>
  </sheetData>
  <sheetProtection formatCells="0" formatColumns="0" formatRows="0" insertColumns="0" insertRows="0" insertHyperlinks="0" deleteColumns="0" deleteRows="0" sort="0" autoFilter="0" pivotTables="0"/>
  <mergeCells count="80">
    <mergeCell ref="AG1:AI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BQ1:BS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DA1:DC1"/>
    <mergeCell ref="BT1:BV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C2:E2"/>
    <mergeCell ref="F2:H2"/>
    <mergeCell ref="I2:K2"/>
    <mergeCell ref="L2:N2"/>
    <mergeCell ref="O2:Q2"/>
    <mergeCell ref="DD1:DF1"/>
    <mergeCell ref="DG1:DI1"/>
    <mergeCell ref="DJ1:DL1"/>
    <mergeCell ref="DM1:DO1"/>
    <mergeCell ref="DP1:DR1"/>
    <mergeCell ref="AV2:AX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CF2:CH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DP2:DR2"/>
    <mergeCell ref="CI2:CK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</mergeCells>
  <printOptions horizontalCentered="1"/>
  <pageMargins left="0.19685039370078741" right="0.19685039370078741" top="0.19685039370078741" bottom="0.19685039370078741" header="0" footer="0"/>
  <pageSetup paperSize="9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5338-16FC-4482-B890-07FDA5A711EF}">
  <sheetPr>
    <pageSetUpPr fitToPage="1"/>
  </sheetPr>
  <dimension ref="A1:DU35"/>
  <sheetViews>
    <sheetView zoomScaleNormal="100" workbookViewId="0">
      <pane xSplit="1" topLeftCell="CP1" activePane="topRight" state="frozen"/>
      <selection pane="topRight" activeCell="A20" sqref="A20:XFD20"/>
    </sheetView>
  </sheetViews>
  <sheetFormatPr baseColWidth="10" defaultRowHeight="15" x14ac:dyDescent="0.25"/>
  <cols>
    <col min="1" max="1" width="30.7109375" style="5" bestFit="1" customWidth="1"/>
    <col min="2" max="2" width="8" style="43" bestFit="1" customWidth="1"/>
    <col min="3" max="3" width="8.7109375" style="5" hidden="1" customWidth="1"/>
    <col min="4" max="4" width="2.7109375" style="5" hidden="1" customWidth="1"/>
    <col min="5" max="6" width="8.7109375" style="5" hidden="1" customWidth="1"/>
    <col min="7" max="7" width="2.7109375" style="5" hidden="1" customWidth="1"/>
    <col min="8" max="9" width="8.7109375" style="5" hidden="1" customWidth="1"/>
    <col min="10" max="10" width="2.7109375" style="5" hidden="1" customWidth="1"/>
    <col min="11" max="12" width="8.7109375" style="5" hidden="1" customWidth="1"/>
    <col min="13" max="13" width="2.7109375" style="5" hidden="1" customWidth="1"/>
    <col min="14" max="15" width="8.7109375" style="5" hidden="1" customWidth="1"/>
    <col min="16" max="16" width="2.7109375" style="5" hidden="1" customWidth="1"/>
    <col min="17" max="18" width="8.7109375" style="5" hidden="1" customWidth="1"/>
    <col min="19" max="19" width="2.7109375" style="5" hidden="1" customWidth="1"/>
    <col min="20" max="20" width="8.7109375" style="5" hidden="1" customWidth="1"/>
    <col min="21" max="21" width="8.7109375" style="5" customWidth="1"/>
    <col min="22" max="22" width="3.28515625" style="5" customWidth="1"/>
    <col min="23" max="23" width="8.7109375" style="5" customWidth="1"/>
    <col min="24" max="24" width="9.42578125" style="5" bestFit="1" customWidth="1"/>
    <col min="25" max="25" width="3.42578125" style="5" customWidth="1"/>
    <col min="26" max="26" width="10.42578125" style="45" bestFit="1" customWidth="1"/>
    <col min="27" max="27" width="8.7109375" style="5" customWidth="1"/>
    <col min="28" max="28" width="4.28515625" style="5" customWidth="1"/>
    <col min="29" max="30" width="8.7109375" style="5" customWidth="1"/>
    <col min="31" max="31" width="4.28515625" style="5" customWidth="1"/>
    <col min="32" max="33" width="8.7109375" style="5" customWidth="1"/>
    <col min="34" max="34" width="3.42578125" style="5" customWidth="1"/>
    <col min="35" max="36" width="8.7109375" style="5" customWidth="1"/>
    <col min="37" max="37" width="3.28515625" style="5" customWidth="1"/>
    <col min="38" max="39" width="8.7109375" style="5" customWidth="1"/>
    <col min="40" max="40" width="4.28515625" style="5" customWidth="1"/>
    <col min="41" max="41" width="8.7109375" style="5" customWidth="1"/>
    <col min="42" max="42" width="12.42578125" style="5" customWidth="1"/>
    <col min="43" max="43" width="4.140625" style="5" customWidth="1"/>
    <col min="44" max="44" width="12.42578125" style="5" customWidth="1"/>
    <col min="45" max="45" width="8.7109375" style="5" customWidth="1"/>
    <col min="46" max="46" width="3.42578125" style="5" customWidth="1"/>
    <col min="47" max="47" width="8.7109375" style="5" customWidth="1"/>
    <col min="48" max="48" width="11.28515625" style="5" customWidth="1"/>
    <col min="49" max="49" width="4" style="5" customWidth="1"/>
    <col min="50" max="50" width="10.42578125" style="5" bestFit="1" customWidth="1"/>
    <col min="51" max="51" width="8.7109375" style="5" customWidth="1"/>
    <col min="52" max="52" width="3.5703125" style="5" customWidth="1"/>
    <col min="53" max="54" width="8.7109375" style="5" customWidth="1"/>
    <col min="55" max="55" width="3.85546875" style="5" customWidth="1"/>
    <col min="56" max="57" width="8.7109375" style="5" customWidth="1"/>
    <col min="58" max="58" width="3.5703125" style="5" customWidth="1"/>
    <col min="59" max="60" width="8.7109375" style="5" customWidth="1"/>
    <col min="61" max="61" width="3.42578125" style="5" customWidth="1"/>
    <col min="62" max="63" width="8.7109375" style="5" customWidth="1"/>
    <col min="64" max="64" width="3" style="5" customWidth="1"/>
    <col min="65" max="65" width="8.7109375" style="5" customWidth="1"/>
    <col min="66" max="66" width="11.42578125" style="5" customWidth="1"/>
    <col min="67" max="67" width="4.42578125" style="5" customWidth="1"/>
    <col min="68" max="68" width="12.28515625" style="5" customWidth="1"/>
    <col min="69" max="69" width="8.7109375" style="5" customWidth="1"/>
    <col min="70" max="70" width="4" style="5" customWidth="1"/>
    <col min="71" max="71" width="8.7109375" style="5" customWidth="1"/>
    <col min="72" max="72" width="10.42578125" style="5" bestFit="1" customWidth="1"/>
    <col min="73" max="73" width="3.5703125" style="5" customWidth="1"/>
    <col min="74" max="74" width="12.5703125" style="5" customWidth="1"/>
    <col min="75" max="75" width="8.7109375" style="5" customWidth="1"/>
    <col min="76" max="76" width="4.140625" style="5" customWidth="1"/>
    <col min="77" max="78" width="8.7109375" style="5" customWidth="1"/>
    <col min="79" max="79" width="3.28515625" style="5" customWidth="1"/>
    <col min="80" max="81" width="8.7109375" style="5" customWidth="1"/>
    <col min="82" max="82" width="4.28515625" style="5" customWidth="1"/>
    <col min="83" max="83" width="8.7109375" style="5" customWidth="1"/>
    <col min="84" max="84" width="10" style="5" customWidth="1"/>
    <col min="85" max="85" width="3.5703125" style="5" customWidth="1"/>
    <col min="86" max="87" width="8.7109375" style="5" customWidth="1"/>
    <col min="88" max="88" width="4" style="5" customWidth="1"/>
    <col min="89" max="89" width="8.7109375" style="5" customWidth="1"/>
    <col min="90" max="90" width="11.42578125" style="5" customWidth="1"/>
    <col min="91" max="91" width="4.85546875" style="5" customWidth="1"/>
    <col min="92" max="92" width="11.7109375" style="5" customWidth="1"/>
    <col min="93" max="93" width="8.7109375" style="5" customWidth="1"/>
    <col min="94" max="94" width="2.7109375" style="5" customWidth="1"/>
    <col min="95" max="95" width="8.7109375" style="5" customWidth="1"/>
    <col min="96" max="96" width="10.42578125" style="5" hidden="1" customWidth="1"/>
    <col min="97" max="97" width="4.42578125" style="5" hidden="1" customWidth="1"/>
    <col min="98" max="98" width="12" style="5" hidden="1" customWidth="1"/>
    <col min="99" max="99" width="8.7109375" style="5" customWidth="1"/>
    <col min="100" max="100" width="2.7109375" style="5" customWidth="1"/>
    <col min="101" max="102" width="8.7109375" style="5" customWidth="1"/>
    <col min="103" max="103" width="2.7109375" style="5" customWidth="1"/>
    <col min="104" max="105" width="8.7109375" style="5" customWidth="1"/>
    <col min="106" max="106" width="4" style="5" customWidth="1"/>
    <col min="107" max="108" width="8.7109375" style="5" customWidth="1"/>
    <col min="109" max="109" width="2.7109375" style="5" customWidth="1"/>
    <col min="110" max="111" width="8.7109375" style="5" customWidth="1"/>
    <col min="112" max="112" width="4" style="5" customWidth="1"/>
    <col min="113" max="114" width="8.7109375" style="5" customWidth="1"/>
    <col min="115" max="115" width="2.7109375" style="5" customWidth="1"/>
    <col min="116" max="116" width="8.7109375" style="5" customWidth="1"/>
    <col min="117" max="117" width="6.42578125" style="5" hidden="1" customWidth="1"/>
    <col min="118" max="118" width="11.28515625" style="5" hidden="1" customWidth="1"/>
    <col min="119" max="119" width="2.5703125" style="5" hidden="1" customWidth="1"/>
    <col min="120" max="120" width="10.42578125" style="5" bestFit="1" customWidth="1"/>
    <col min="121" max="121" width="4.42578125" style="5" customWidth="1"/>
    <col min="122" max="122" width="10.42578125" style="5" bestFit="1" customWidth="1"/>
    <col min="123" max="123" width="11.5703125" style="5" bestFit="1" customWidth="1"/>
    <col min="124" max="124" width="4.42578125" style="5" bestFit="1" customWidth="1"/>
    <col min="125" max="125" width="13.28515625" style="5" bestFit="1" customWidth="1"/>
    <col min="126" max="16384" width="11.42578125" style="5"/>
  </cols>
  <sheetData>
    <row r="1" spans="1:125" ht="26.25" x14ac:dyDescent="0.4">
      <c r="A1" s="4" t="s">
        <v>67</v>
      </c>
      <c r="B1" s="76" t="s">
        <v>0</v>
      </c>
      <c r="C1" s="287"/>
      <c r="D1" s="288"/>
      <c r="E1" s="289"/>
      <c r="F1" s="287"/>
      <c r="G1" s="288"/>
      <c r="H1" s="289"/>
      <c r="I1" s="287"/>
      <c r="J1" s="288"/>
      <c r="K1" s="290"/>
      <c r="L1" s="291"/>
      <c r="M1" s="288"/>
      <c r="N1" s="290"/>
      <c r="O1" s="291"/>
      <c r="P1" s="288"/>
      <c r="Q1" s="290"/>
      <c r="R1" s="291"/>
      <c r="S1" s="288"/>
      <c r="T1" s="290"/>
      <c r="U1" s="284">
        <v>1</v>
      </c>
      <c r="V1" s="285"/>
      <c r="W1" s="292"/>
      <c r="X1" s="293">
        <v>2</v>
      </c>
      <c r="Y1" s="285"/>
      <c r="Z1" s="286"/>
      <c r="AA1" s="284">
        <v>3</v>
      </c>
      <c r="AB1" s="285"/>
      <c r="AC1" s="286"/>
      <c r="AD1" s="284">
        <v>4</v>
      </c>
      <c r="AE1" s="285"/>
      <c r="AF1" s="286"/>
      <c r="AG1" s="284">
        <v>5</v>
      </c>
      <c r="AH1" s="285"/>
      <c r="AI1" s="286"/>
      <c r="AJ1" s="284">
        <v>6</v>
      </c>
      <c r="AK1" s="285"/>
      <c r="AL1" s="286"/>
      <c r="AM1" s="284">
        <v>7</v>
      </c>
      <c r="AN1" s="285"/>
      <c r="AO1" s="292"/>
      <c r="AP1" s="216" t="s">
        <v>1</v>
      </c>
      <c r="AQ1" s="217"/>
      <c r="AR1" s="218"/>
      <c r="AS1" s="279">
        <v>8</v>
      </c>
      <c r="AT1" s="280"/>
      <c r="AU1" s="283"/>
      <c r="AV1" s="279">
        <v>9</v>
      </c>
      <c r="AW1" s="280"/>
      <c r="AX1" s="281"/>
      <c r="AY1" s="282">
        <v>10</v>
      </c>
      <c r="AZ1" s="280"/>
      <c r="BA1" s="281"/>
      <c r="BB1" s="282">
        <v>11</v>
      </c>
      <c r="BC1" s="280"/>
      <c r="BD1" s="281"/>
      <c r="BE1" s="282">
        <v>12</v>
      </c>
      <c r="BF1" s="280"/>
      <c r="BG1" s="281"/>
      <c r="BH1" s="282">
        <v>13</v>
      </c>
      <c r="BI1" s="280"/>
      <c r="BJ1" s="281"/>
      <c r="BK1" s="282">
        <v>14</v>
      </c>
      <c r="BL1" s="280"/>
      <c r="BM1" s="283"/>
      <c r="BN1" s="216" t="s">
        <v>1</v>
      </c>
      <c r="BO1" s="217"/>
      <c r="BP1" s="218"/>
      <c r="BQ1" s="273">
        <v>15</v>
      </c>
      <c r="BR1" s="274"/>
      <c r="BS1" s="277"/>
      <c r="BT1" s="273">
        <v>16</v>
      </c>
      <c r="BU1" s="274"/>
      <c r="BV1" s="275"/>
      <c r="BW1" s="276">
        <v>17</v>
      </c>
      <c r="BX1" s="274"/>
      <c r="BY1" s="275"/>
      <c r="BZ1" s="276">
        <v>18</v>
      </c>
      <c r="CA1" s="274"/>
      <c r="CB1" s="275"/>
      <c r="CC1" s="276">
        <v>19</v>
      </c>
      <c r="CD1" s="274"/>
      <c r="CE1" s="275"/>
      <c r="CF1" s="276">
        <v>20</v>
      </c>
      <c r="CG1" s="274"/>
      <c r="CH1" s="275"/>
      <c r="CI1" s="276">
        <v>21</v>
      </c>
      <c r="CJ1" s="274"/>
      <c r="CK1" s="277"/>
      <c r="CL1" s="216" t="s">
        <v>1</v>
      </c>
      <c r="CM1" s="217"/>
      <c r="CN1" s="218"/>
      <c r="CO1" s="278">
        <v>22</v>
      </c>
      <c r="CP1" s="265"/>
      <c r="CQ1" s="267"/>
      <c r="CR1" s="216" t="s">
        <v>1</v>
      </c>
      <c r="CS1" s="217"/>
      <c r="CT1" s="218"/>
      <c r="CU1" s="278">
        <v>23</v>
      </c>
      <c r="CV1" s="265"/>
      <c r="CW1" s="266"/>
      <c r="CX1" s="264">
        <v>24</v>
      </c>
      <c r="CY1" s="265"/>
      <c r="CZ1" s="266"/>
      <c r="DA1" s="264">
        <v>25</v>
      </c>
      <c r="DB1" s="265"/>
      <c r="DC1" s="266"/>
      <c r="DD1" s="264">
        <v>26</v>
      </c>
      <c r="DE1" s="265"/>
      <c r="DF1" s="266"/>
      <c r="DG1" s="264">
        <v>27</v>
      </c>
      <c r="DH1" s="265"/>
      <c r="DI1" s="266"/>
      <c r="DJ1" s="264">
        <v>28</v>
      </c>
      <c r="DK1" s="265"/>
      <c r="DL1" s="267"/>
      <c r="DM1" s="268"/>
      <c r="DN1" s="269"/>
      <c r="DO1" s="270"/>
      <c r="DP1" s="216" t="s">
        <v>1</v>
      </c>
      <c r="DQ1" s="217"/>
      <c r="DR1" s="218"/>
      <c r="DS1" s="219" t="s">
        <v>1</v>
      </c>
      <c r="DT1" s="220"/>
      <c r="DU1" s="221"/>
    </row>
    <row r="2" spans="1:125" ht="19.5" thickBot="1" x14ac:dyDescent="0.3">
      <c r="A2" s="6" t="s">
        <v>2</v>
      </c>
      <c r="B2" s="77" t="s">
        <v>3</v>
      </c>
      <c r="C2" s="271" t="s">
        <v>10</v>
      </c>
      <c r="D2" s="257"/>
      <c r="E2" s="272"/>
      <c r="F2" s="271" t="s">
        <v>11</v>
      </c>
      <c r="G2" s="257"/>
      <c r="H2" s="272"/>
      <c r="I2" s="271" t="s">
        <v>4</v>
      </c>
      <c r="J2" s="257"/>
      <c r="K2" s="258"/>
      <c r="L2" s="256" t="s">
        <v>5</v>
      </c>
      <c r="M2" s="257"/>
      <c r="N2" s="258"/>
      <c r="O2" s="256" t="s">
        <v>6</v>
      </c>
      <c r="P2" s="257"/>
      <c r="Q2" s="258"/>
      <c r="R2" s="256" t="s">
        <v>7</v>
      </c>
      <c r="S2" s="257"/>
      <c r="T2" s="258"/>
      <c r="U2" s="259" t="s">
        <v>10</v>
      </c>
      <c r="V2" s="260"/>
      <c r="W2" s="261"/>
      <c r="X2" s="262" t="s">
        <v>11</v>
      </c>
      <c r="Y2" s="260"/>
      <c r="Z2" s="263"/>
      <c r="AA2" s="259" t="s">
        <v>4</v>
      </c>
      <c r="AB2" s="260"/>
      <c r="AC2" s="263"/>
      <c r="AD2" s="259" t="s">
        <v>5</v>
      </c>
      <c r="AE2" s="260"/>
      <c r="AF2" s="263"/>
      <c r="AG2" s="259" t="s">
        <v>6</v>
      </c>
      <c r="AH2" s="260"/>
      <c r="AI2" s="263"/>
      <c r="AJ2" s="259" t="s">
        <v>7</v>
      </c>
      <c r="AK2" s="260"/>
      <c r="AL2" s="263"/>
      <c r="AM2" s="259" t="s">
        <v>8</v>
      </c>
      <c r="AN2" s="260"/>
      <c r="AO2" s="261"/>
      <c r="AP2" s="208" t="s">
        <v>9</v>
      </c>
      <c r="AQ2" s="209"/>
      <c r="AR2" s="210"/>
      <c r="AS2" s="255" t="s">
        <v>10</v>
      </c>
      <c r="AT2" s="251"/>
      <c r="AU2" s="253"/>
      <c r="AV2" s="255" t="s">
        <v>11</v>
      </c>
      <c r="AW2" s="251"/>
      <c r="AX2" s="252"/>
      <c r="AY2" s="250" t="s">
        <v>4</v>
      </c>
      <c r="AZ2" s="251"/>
      <c r="BA2" s="252"/>
      <c r="BB2" s="250" t="s">
        <v>5</v>
      </c>
      <c r="BC2" s="251"/>
      <c r="BD2" s="252"/>
      <c r="BE2" s="250" t="s">
        <v>6</v>
      </c>
      <c r="BF2" s="251"/>
      <c r="BG2" s="252"/>
      <c r="BH2" s="250" t="s">
        <v>7</v>
      </c>
      <c r="BI2" s="251"/>
      <c r="BJ2" s="252"/>
      <c r="BK2" s="250" t="s">
        <v>8</v>
      </c>
      <c r="BL2" s="251"/>
      <c r="BM2" s="253"/>
      <c r="BN2" s="208" t="s">
        <v>12</v>
      </c>
      <c r="BO2" s="209"/>
      <c r="BP2" s="210"/>
      <c r="BQ2" s="254" t="s">
        <v>10</v>
      </c>
      <c r="BR2" s="239"/>
      <c r="BS2" s="240"/>
      <c r="BT2" s="254" t="s">
        <v>11</v>
      </c>
      <c r="BU2" s="239"/>
      <c r="BV2" s="249"/>
      <c r="BW2" s="238" t="s">
        <v>4</v>
      </c>
      <c r="BX2" s="239"/>
      <c r="BY2" s="249"/>
      <c r="BZ2" s="238" t="s">
        <v>5</v>
      </c>
      <c r="CA2" s="239"/>
      <c r="CB2" s="249"/>
      <c r="CC2" s="238" t="s">
        <v>6</v>
      </c>
      <c r="CD2" s="239"/>
      <c r="CE2" s="249"/>
      <c r="CF2" s="238" t="s">
        <v>7</v>
      </c>
      <c r="CG2" s="239"/>
      <c r="CH2" s="249"/>
      <c r="CI2" s="238" t="s">
        <v>8</v>
      </c>
      <c r="CJ2" s="239"/>
      <c r="CK2" s="240"/>
      <c r="CL2" s="208" t="s">
        <v>13</v>
      </c>
      <c r="CM2" s="209"/>
      <c r="CN2" s="210"/>
      <c r="CO2" s="241" t="s">
        <v>10</v>
      </c>
      <c r="CP2" s="242"/>
      <c r="CQ2" s="243"/>
      <c r="CR2" s="208" t="s">
        <v>14</v>
      </c>
      <c r="CS2" s="209"/>
      <c r="CT2" s="210"/>
      <c r="CU2" s="241" t="s">
        <v>11</v>
      </c>
      <c r="CV2" s="242"/>
      <c r="CW2" s="244"/>
      <c r="CX2" s="245" t="s">
        <v>4</v>
      </c>
      <c r="CY2" s="242"/>
      <c r="CZ2" s="244"/>
      <c r="DA2" s="245" t="s">
        <v>5</v>
      </c>
      <c r="DB2" s="242"/>
      <c r="DC2" s="244"/>
      <c r="DD2" s="245" t="s">
        <v>6</v>
      </c>
      <c r="DE2" s="242"/>
      <c r="DF2" s="244"/>
      <c r="DG2" s="245" t="s">
        <v>7</v>
      </c>
      <c r="DH2" s="242"/>
      <c r="DI2" s="244"/>
      <c r="DJ2" s="245" t="s">
        <v>8</v>
      </c>
      <c r="DK2" s="242"/>
      <c r="DL2" s="243"/>
      <c r="DM2" s="246" t="s">
        <v>37</v>
      </c>
      <c r="DN2" s="247"/>
      <c r="DO2" s="248"/>
      <c r="DP2" s="208" t="s">
        <v>14</v>
      </c>
      <c r="DQ2" s="209"/>
      <c r="DR2" s="210"/>
      <c r="DS2" s="235" t="s">
        <v>16</v>
      </c>
      <c r="DT2" s="236"/>
      <c r="DU2" s="237"/>
    </row>
    <row r="3" spans="1:125" s="17" customFormat="1" ht="17.100000000000001" customHeight="1" thickBot="1" x14ac:dyDescent="0.2">
      <c r="A3" s="7" t="s">
        <v>17</v>
      </c>
      <c r="B3" s="78" t="s">
        <v>18</v>
      </c>
      <c r="C3" s="8" t="s">
        <v>19</v>
      </c>
      <c r="D3" s="9" t="s">
        <v>20</v>
      </c>
      <c r="E3" s="10" t="s">
        <v>21</v>
      </c>
      <c r="F3" s="8" t="s">
        <v>19</v>
      </c>
      <c r="G3" s="9" t="s">
        <v>20</v>
      </c>
      <c r="H3" s="10" t="s">
        <v>21</v>
      </c>
      <c r="I3" s="8" t="s">
        <v>19</v>
      </c>
      <c r="J3" s="9" t="s">
        <v>20</v>
      </c>
      <c r="K3" s="10" t="s">
        <v>21</v>
      </c>
      <c r="L3" s="11" t="s">
        <v>19</v>
      </c>
      <c r="M3" s="9" t="s">
        <v>20</v>
      </c>
      <c r="N3" s="10" t="s">
        <v>21</v>
      </c>
      <c r="O3" s="11" t="s">
        <v>19</v>
      </c>
      <c r="P3" s="9" t="s">
        <v>20</v>
      </c>
      <c r="Q3" s="10" t="s">
        <v>21</v>
      </c>
      <c r="R3" s="11" t="s">
        <v>19</v>
      </c>
      <c r="S3" s="9" t="s">
        <v>20</v>
      </c>
      <c r="T3" s="10" t="s">
        <v>21</v>
      </c>
      <c r="U3" s="147" t="s">
        <v>19</v>
      </c>
      <c r="V3" s="148" t="s">
        <v>20</v>
      </c>
      <c r="W3" s="135" t="s">
        <v>21</v>
      </c>
      <c r="X3" s="8" t="s">
        <v>19</v>
      </c>
      <c r="Y3" s="9" t="s">
        <v>20</v>
      </c>
      <c r="Z3" s="10" t="s">
        <v>21</v>
      </c>
      <c r="AA3" s="8" t="s">
        <v>19</v>
      </c>
      <c r="AB3" s="9" t="s">
        <v>20</v>
      </c>
      <c r="AC3" s="10" t="s">
        <v>21</v>
      </c>
      <c r="AD3" s="8" t="s">
        <v>19</v>
      </c>
      <c r="AE3" s="9" t="s">
        <v>20</v>
      </c>
      <c r="AF3" s="10" t="s">
        <v>21</v>
      </c>
      <c r="AG3" s="11" t="s">
        <v>19</v>
      </c>
      <c r="AH3" s="9" t="s">
        <v>20</v>
      </c>
      <c r="AI3" s="10" t="s">
        <v>21</v>
      </c>
      <c r="AJ3" s="11" t="s">
        <v>19</v>
      </c>
      <c r="AK3" s="9" t="s">
        <v>20</v>
      </c>
      <c r="AL3" s="10" t="s">
        <v>21</v>
      </c>
      <c r="AM3" s="11" t="s">
        <v>19</v>
      </c>
      <c r="AN3" s="9" t="s">
        <v>20</v>
      </c>
      <c r="AO3" s="10" t="s">
        <v>21</v>
      </c>
      <c r="AP3" s="8" t="s">
        <v>19</v>
      </c>
      <c r="AQ3" s="13" t="s">
        <v>20</v>
      </c>
      <c r="AR3" s="12" t="s">
        <v>21</v>
      </c>
      <c r="AS3" s="11" t="s">
        <v>19</v>
      </c>
      <c r="AT3" s="9" t="s">
        <v>20</v>
      </c>
      <c r="AU3" s="12" t="s">
        <v>21</v>
      </c>
      <c r="AV3" s="8" t="s">
        <v>19</v>
      </c>
      <c r="AW3" s="9" t="s">
        <v>20</v>
      </c>
      <c r="AX3" s="10" t="s">
        <v>21</v>
      </c>
      <c r="AY3" s="11" t="s">
        <v>19</v>
      </c>
      <c r="AZ3" s="9" t="s">
        <v>20</v>
      </c>
      <c r="BA3" s="10" t="s">
        <v>21</v>
      </c>
      <c r="BB3" s="11" t="s">
        <v>19</v>
      </c>
      <c r="BC3" s="9" t="s">
        <v>20</v>
      </c>
      <c r="BD3" s="10" t="s">
        <v>21</v>
      </c>
      <c r="BE3" s="11" t="s">
        <v>19</v>
      </c>
      <c r="BF3" s="9" t="s">
        <v>20</v>
      </c>
      <c r="BG3" s="10" t="s">
        <v>21</v>
      </c>
      <c r="BH3" s="11" t="s">
        <v>19</v>
      </c>
      <c r="BI3" s="9" t="s">
        <v>20</v>
      </c>
      <c r="BJ3" s="10" t="s">
        <v>21</v>
      </c>
      <c r="BK3" s="11" t="s">
        <v>19</v>
      </c>
      <c r="BL3" s="9" t="s">
        <v>20</v>
      </c>
      <c r="BM3" s="10" t="s">
        <v>21</v>
      </c>
      <c r="BN3" s="8" t="s">
        <v>19</v>
      </c>
      <c r="BO3" s="13" t="s">
        <v>20</v>
      </c>
      <c r="BP3" s="12" t="s">
        <v>21</v>
      </c>
      <c r="BQ3" s="11" t="s">
        <v>19</v>
      </c>
      <c r="BR3" s="9" t="s">
        <v>20</v>
      </c>
      <c r="BS3" s="12" t="s">
        <v>21</v>
      </c>
      <c r="BT3" s="8" t="s">
        <v>19</v>
      </c>
      <c r="BU3" s="9" t="s">
        <v>20</v>
      </c>
      <c r="BV3" s="10" t="s">
        <v>21</v>
      </c>
      <c r="BW3" s="11" t="s">
        <v>19</v>
      </c>
      <c r="BX3" s="9" t="s">
        <v>20</v>
      </c>
      <c r="BY3" s="10" t="s">
        <v>21</v>
      </c>
      <c r="BZ3" s="184" t="s">
        <v>19</v>
      </c>
      <c r="CA3" s="186" t="s">
        <v>20</v>
      </c>
      <c r="CB3" s="185" t="s">
        <v>21</v>
      </c>
      <c r="CC3" s="11" t="s">
        <v>19</v>
      </c>
      <c r="CD3" s="9" t="s">
        <v>20</v>
      </c>
      <c r="CE3" s="10" t="s">
        <v>21</v>
      </c>
      <c r="CF3" s="11" t="s">
        <v>19</v>
      </c>
      <c r="CG3" s="9" t="s">
        <v>20</v>
      </c>
      <c r="CH3" s="10" t="s">
        <v>21</v>
      </c>
      <c r="CI3" s="11" t="s">
        <v>19</v>
      </c>
      <c r="CJ3" s="9" t="s">
        <v>20</v>
      </c>
      <c r="CK3" s="10" t="s">
        <v>21</v>
      </c>
      <c r="CL3" s="8" t="s">
        <v>19</v>
      </c>
      <c r="CM3" s="13" t="s">
        <v>20</v>
      </c>
      <c r="CN3" s="12" t="s">
        <v>21</v>
      </c>
      <c r="CO3" s="11" t="s">
        <v>19</v>
      </c>
      <c r="CP3" s="9" t="s">
        <v>20</v>
      </c>
      <c r="CQ3" s="12" t="s">
        <v>21</v>
      </c>
      <c r="CR3" s="8" t="s">
        <v>19</v>
      </c>
      <c r="CS3" s="13" t="s">
        <v>20</v>
      </c>
      <c r="CT3" s="12" t="s">
        <v>21</v>
      </c>
      <c r="CU3" s="8" t="s">
        <v>19</v>
      </c>
      <c r="CV3" s="9" t="s">
        <v>20</v>
      </c>
      <c r="CW3" s="10" t="s">
        <v>21</v>
      </c>
      <c r="CX3" s="11" t="s">
        <v>19</v>
      </c>
      <c r="CY3" s="9" t="s">
        <v>20</v>
      </c>
      <c r="CZ3" s="10" t="s">
        <v>21</v>
      </c>
      <c r="DA3" s="11" t="s">
        <v>19</v>
      </c>
      <c r="DB3" s="9" t="s">
        <v>20</v>
      </c>
      <c r="DC3" s="10" t="s">
        <v>21</v>
      </c>
      <c r="DD3" s="11" t="s">
        <v>19</v>
      </c>
      <c r="DE3" s="9" t="s">
        <v>20</v>
      </c>
      <c r="DF3" s="10" t="s">
        <v>21</v>
      </c>
      <c r="DG3" s="11" t="s">
        <v>19</v>
      </c>
      <c r="DH3" s="9" t="s">
        <v>20</v>
      </c>
      <c r="DI3" s="12" t="s">
        <v>21</v>
      </c>
      <c r="DJ3" s="11" t="s">
        <v>19</v>
      </c>
      <c r="DK3" s="9" t="s">
        <v>20</v>
      </c>
      <c r="DL3" s="12" t="s">
        <v>21</v>
      </c>
      <c r="DM3" s="11" t="s">
        <v>19</v>
      </c>
      <c r="DN3" s="9" t="s">
        <v>20</v>
      </c>
      <c r="DO3" s="12" t="s">
        <v>21</v>
      </c>
      <c r="DP3" s="8" t="s">
        <v>19</v>
      </c>
      <c r="DQ3" s="13" t="s">
        <v>20</v>
      </c>
      <c r="DR3" s="12" t="s">
        <v>21</v>
      </c>
      <c r="DS3" s="14" t="s">
        <v>19</v>
      </c>
      <c r="DT3" s="15" t="s">
        <v>20</v>
      </c>
      <c r="DU3" s="16" t="s">
        <v>21</v>
      </c>
    </row>
    <row r="4" spans="1:125" s="26" customFormat="1" ht="17.100000000000001" customHeight="1" thickBot="1" x14ac:dyDescent="0.25">
      <c r="A4" s="122" t="s">
        <v>22</v>
      </c>
      <c r="B4" s="19">
        <v>8000</v>
      </c>
      <c r="C4" s="20"/>
      <c r="D4" s="21"/>
      <c r="E4" s="1">
        <f>$B4*D4</f>
        <v>0</v>
      </c>
      <c r="F4" s="20"/>
      <c r="G4" s="21"/>
      <c r="H4" s="1">
        <f>$B4*G4</f>
        <v>0</v>
      </c>
      <c r="I4" s="20"/>
      <c r="J4" s="21"/>
      <c r="K4" s="1">
        <f>$B4*J4</f>
        <v>0</v>
      </c>
      <c r="L4" s="22"/>
      <c r="M4" s="21"/>
      <c r="N4" s="1">
        <f>$B4*M4</f>
        <v>0</v>
      </c>
      <c r="O4" s="22"/>
      <c r="P4" s="21"/>
      <c r="Q4" s="1">
        <f>$B4*P4</f>
        <v>0</v>
      </c>
      <c r="R4" s="23"/>
      <c r="S4" s="21"/>
      <c r="T4" s="1">
        <f>$B4*S4</f>
        <v>0</v>
      </c>
      <c r="U4" s="33"/>
      <c r="V4" s="30"/>
      <c r="W4" s="2">
        <f>$B4*V4</f>
        <v>0</v>
      </c>
      <c r="X4" s="25"/>
      <c r="Y4" s="21"/>
      <c r="Z4" s="1">
        <f>$B4*Y4</f>
        <v>0</v>
      </c>
      <c r="AA4" s="24"/>
      <c r="AB4" s="21"/>
      <c r="AC4" s="1">
        <f>$B4*AB4</f>
        <v>0</v>
      </c>
      <c r="AD4" s="24"/>
      <c r="AE4" s="21"/>
      <c r="AF4" s="1">
        <f>$B4*AE4</f>
        <v>0</v>
      </c>
      <c r="AG4" s="24"/>
      <c r="AH4" s="21"/>
      <c r="AI4" s="1">
        <f>$B4*AH4</f>
        <v>0</v>
      </c>
      <c r="AJ4" s="24"/>
      <c r="AK4" s="21"/>
      <c r="AL4" s="1">
        <f>$B4*AK4</f>
        <v>0</v>
      </c>
      <c r="AM4" s="24"/>
      <c r="AN4" s="21"/>
      <c r="AO4" s="1">
        <f>$B4*AN4</f>
        <v>0</v>
      </c>
      <c r="AP4" s="69">
        <f t="shared" ref="AP4:AP27" si="0">C4+F4+I4+L4+O4+R4+U4</f>
        <v>0</v>
      </c>
      <c r="AQ4" s="66">
        <f t="shared" ref="AQ4:AQ27" si="1">D4+G4+J4+M4+P4+S4+V4</f>
        <v>0</v>
      </c>
      <c r="AR4" s="72">
        <f t="shared" ref="AR4:AR27" si="2">E4+H4+K4+N4+Q4+T4+W4</f>
        <v>0</v>
      </c>
      <c r="AS4" s="24"/>
      <c r="AT4" s="21"/>
      <c r="AU4" s="1">
        <f>$B4*AT4</f>
        <v>0</v>
      </c>
      <c r="AV4" s="24"/>
      <c r="AW4" s="21"/>
      <c r="AX4" s="1">
        <f>$B4*AW4</f>
        <v>0</v>
      </c>
      <c r="AY4" s="24"/>
      <c r="AZ4" s="21"/>
      <c r="BA4" s="1">
        <f>$B4*AZ4</f>
        <v>0</v>
      </c>
      <c r="BB4" s="24"/>
      <c r="BC4" s="21"/>
      <c r="BD4" s="1">
        <f>$B4*BC4</f>
        <v>0</v>
      </c>
      <c r="BE4" s="24"/>
      <c r="BF4" s="21"/>
      <c r="BG4" s="1">
        <f>$B4*BF4</f>
        <v>0</v>
      </c>
      <c r="BH4" s="24"/>
      <c r="BI4" s="21"/>
      <c r="BJ4" s="1">
        <f>$B4*BI4</f>
        <v>0</v>
      </c>
      <c r="BK4" s="24"/>
      <c r="BL4" s="21"/>
      <c r="BM4" s="1">
        <f>$B4*BL4</f>
        <v>0</v>
      </c>
      <c r="BN4" s="69">
        <f t="shared" ref="BN4:BN27" si="3">X4+AA4+AD4+AG4+AJ4+AM4+AS4</f>
        <v>0</v>
      </c>
      <c r="BO4" s="66">
        <f t="shared" ref="BO4:BO27" si="4">Y4+AB4+AE4+AH4+AK4+AN4+AT4</f>
        <v>0</v>
      </c>
      <c r="BP4" s="47">
        <f t="shared" ref="BP4:BP27" si="5">Z4+AC4+AF4+AI4+AL4+AO4+AU4</f>
        <v>0</v>
      </c>
      <c r="BQ4" s="24"/>
      <c r="BR4" s="21"/>
      <c r="BS4" s="1">
        <f>$B4*BR4</f>
        <v>0</v>
      </c>
      <c r="BT4" s="24"/>
      <c r="BU4" s="21"/>
      <c r="BV4" s="1">
        <f>$B4*BU4</f>
        <v>0</v>
      </c>
      <c r="BW4" s="24"/>
      <c r="BX4" s="21"/>
      <c r="BY4" s="1">
        <f>$B4*BX4</f>
        <v>0</v>
      </c>
      <c r="BZ4" s="181"/>
      <c r="CA4" s="183"/>
      <c r="CB4" s="182">
        <f t="shared" ref="CB4:CB27" si="6">$B4*CA4</f>
        <v>0</v>
      </c>
      <c r="CC4" s="24"/>
      <c r="CD4" s="21"/>
      <c r="CE4" s="1">
        <f>$B4*CD4</f>
        <v>0</v>
      </c>
      <c r="CF4" s="24"/>
      <c r="CG4" s="21"/>
      <c r="CH4" s="1">
        <f>$B4*CG4</f>
        <v>0</v>
      </c>
      <c r="CI4" s="24"/>
      <c r="CJ4" s="21"/>
      <c r="CK4" s="1">
        <f>$B4*CJ4</f>
        <v>0</v>
      </c>
      <c r="CL4" s="69">
        <f t="shared" ref="CL4:CL27" si="7">AV4+AY4+BB4+BE4+BH4+BK4+BQ4</f>
        <v>0</v>
      </c>
      <c r="CM4" s="66">
        <f t="shared" ref="CM4:CM27" si="8">AW4+AZ4+BC4+BF4+BI4+BL4+BR4</f>
        <v>0</v>
      </c>
      <c r="CN4" s="47">
        <f t="shared" ref="CN4:CN27" si="9">AX4+BA4+BD4+BG4+BJ4+BM4+BS4</f>
        <v>0</v>
      </c>
      <c r="CO4" s="24"/>
      <c r="CP4" s="21"/>
      <c r="CQ4" s="1">
        <f>$B4*CP4</f>
        <v>0</v>
      </c>
      <c r="CR4" s="69">
        <f t="shared" ref="CR4:CR27" si="10">BT4+BW4+BZ4+CC4+CF4+CI4+CO4</f>
        <v>0</v>
      </c>
      <c r="CS4" s="66">
        <f t="shared" ref="CS4:CS27" si="11">BU4+BX4+CA4+CD4+CG4+CJ4+CP4</f>
        <v>0</v>
      </c>
      <c r="CT4" s="47">
        <f t="shared" ref="CT4:CT27" si="12">BV4+BY4+CB4+CE4+CH4+CK4+CQ4</f>
        <v>0</v>
      </c>
      <c r="CU4" s="24"/>
      <c r="CV4" s="21"/>
      <c r="CW4" s="1">
        <f>$B4*CV4</f>
        <v>0</v>
      </c>
      <c r="CX4" s="24"/>
      <c r="CY4" s="21"/>
      <c r="CZ4" s="1">
        <f>$B4*CY4</f>
        <v>0</v>
      </c>
      <c r="DA4" s="24"/>
      <c r="DB4" s="21"/>
      <c r="DC4" s="1">
        <f>$B4*DB4</f>
        <v>0</v>
      </c>
      <c r="DD4" s="24"/>
      <c r="DE4" s="21"/>
      <c r="DF4" s="1">
        <f>$B4*DE4</f>
        <v>0</v>
      </c>
      <c r="DG4" s="24"/>
      <c r="DH4" s="21"/>
      <c r="DI4" s="1">
        <f>$B4*DH4</f>
        <v>0</v>
      </c>
      <c r="DJ4" s="24"/>
      <c r="DK4" s="21"/>
      <c r="DL4" s="1">
        <f>$B4*DK4</f>
        <v>0</v>
      </c>
      <c r="DM4" s="24"/>
      <c r="DN4" s="21"/>
      <c r="DO4" s="1">
        <f>$B4*DN4</f>
        <v>0</v>
      </c>
      <c r="DP4" s="69">
        <f t="shared" ref="DP4:DP27" si="13">CU4+CX4+DA4+DD4+DG4+DJ4+DM4</f>
        <v>0</v>
      </c>
      <c r="DQ4" s="66">
        <f t="shared" ref="DQ4:DQ27" si="14">CV4+CY4+DB4+DE4+DH4+DK4+DN4</f>
        <v>0</v>
      </c>
      <c r="DR4" s="47">
        <f t="shared" ref="DR4:DR27" si="15">CW4+CZ4+DC4+DF4+DI4+DL4+DO4</f>
        <v>0</v>
      </c>
      <c r="DS4" s="48">
        <f t="shared" ref="DS4:DS27" si="16">AP4+BN4+CR4+DP4</f>
        <v>0</v>
      </c>
      <c r="DT4" s="49">
        <f t="shared" ref="DT4:DT24" si="17">AQ4+BO4+CM4+CS4+DQ4</f>
        <v>0</v>
      </c>
      <c r="DU4" s="50">
        <f t="shared" ref="DU4:DU24" si="18">AR4+BP4+CN4+CT4+DR4</f>
        <v>0</v>
      </c>
    </row>
    <row r="5" spans="1:125" s="26" customFormat="1" ht="17.100000000000001" customHeight="1" thickBot="1" x14ac:dyDescent="0.25">
      <c r="A5" s="93" t="s">
        <v>23</v>
      </c>
      <c r="B5" s="19">
        <v>8000</v>
      </c>
      <c r="C5" s="29"/>
      <c r="D5" s="30"/>
      <c r="E5" s="2">
        <f t="shared" ref="E5:E27" si="19">$B5*D5</f>
        <v>0</v>
      </c>
      <c r="F5" s="29"/>
      <c r="G5" s="30"/>
      <c r="H5" s="2">
        <f t="shared" ref="H5:H27" si="20">$B5*G5</f>
        <v>0</v>
      </c>
      <c r="I5" s="29"/>
      <c r="J5" s="30"/>
      <c r="K5" s="2">
        <f t="shared" ref="K5:K27" si="21">$B5*J5</f>
        <v>0</v>
      </c>
      <c r="L5" s="31"/>
      <c r="M5" s="30"/>
      <c r="N5" s="2">
        <f t="shared" ref="N5:N27" si="22">$B5*M5</f>
        <v>0</v>
      </c>
      <c r="O5" s="31"/>
      <c r="P5" s="30"/>
      <c r="Q5" s="2">
        <f t="shared" ref="Q5:Q27" si="23">$B5*P5</f>
        <v>0</v>
      </c>
      <c r="R5" s="32"/>
      <c r="S5" s="30"/>
      <c r="T5" s="2">
        <f t="shared" ref="T5:T27" si="24">$B5*S5</f>
        <v>0</v>
      </c>
      <c r="U5" s="33"/>
      <c r="V5" s="30">
        <v>3</v>
      </c>
      <c r="W5" s="2">
        <f t="shared" ref="W5:W27" si="25">$B5*V5</f>
        <v>24000</v>
      </c>
      <c r="X5" s="35"/>
      <c r="Y5" s="30">
        <v>3</v>
      </c>
      <c r="Z5" s="2">
        <f t="shared" ref="Z5:Z27" si="26">$B5*Y5</f>
        <v>24000</v>
      </c>
      <c r="AA5" s="33"/>
      <c r="AB5" s="30">
        <v>3</v>
      </c>
      <c r="AC5" s="2">
        <f t="shared" ref="AC5:AC27" si="27">$B5*AB5</f>
        <v>24000</v>
      </c>
      <c r="AD5" s="33"/>
      <c r="AE5" s="30">
        <v>2</v>
      </c>
      <c r="AF5" s="2">
        <f t="shared" ref="AF5:AF27" si="28">$B5*AE5</f>
        <v>16000</v>
      </c>
      <c r="AG5" s="33">
        <v>10000</v>
      </c>
      <c r="AH5" s="30"/>
      <c r="AI5" s="2">
        <f t="shared" ref="AI5:AI27" si="29">$B5*AH5</f>
        <v>0</v>
      </c>
      <c r="AJ5" s="33"/>
      <c r="AK5" s="30"/>
      <c r="AL5" s="2">
        <f t="shared" ref="AL5:AL27" si="30">$B5*AK5</f>
        <v>0</v>
      </c>
      <c r="AM5" s="33"/>
      <c r="AN5" s="30">
        <v>4</v>
      </c>
      <c r="AO5" s="2">
        <f t="shared" ref="AO5:AO27" si="31">$B5*AN5</f>
        <v>32000</v>
      </c>
      <c r="AP5" s="70">
        <v>10000</v>
      </c>
      <c r="AQ5" s="67">
        <v>11</v>
      </c>
      <c r="AR5" s="73">
        <v>88000</v>
      </c>
      <c r="AS5" s="33"/>
      <c r="AT5" s="30">
        <v>2</v>
      </c>
      <c r="AU5" s="2">
        <f t="shared" ref="AU5:AU27" si="32">$B5*AT5</f>
        <v>16000</v>
      </c>
      <c r="AV5" s="33"/>
      <c r="AW5" s="30">
        <v>5</v>
      </c>
      <c r="AX5" s="2">
        <f t="shared" ref="AX5:AX27" si="33">$B5*AW5</f>
        <v>40000</v>
      </c>
      <c r="AY5" s="33"/>
      <c r="AZ5" s="30">
        <v>5</v>
      </c>
      <c r="BA5" s="2">
        <f t="shared" ref="BA5:BA27" si="34">$B5*AZ5</f>
        <v>40000</v>
      </c>
      <c r="BB5" s="33"/>
      <c r="BC5" s="30">
        <v>3</v>
      </c>
      <c r="BD5" s="2">
        <f t="shared" ref="BD5:BD27" si="35">$B5*BC5</f>
        <v>24000</v>
      </c>
      <c r="BE5" s="33"/>
      <c r="BF5" s="30"/>
      <c r="BG5" s="2">
        <f t="shared" ref="BG5:BG27" si="36">$B5*BF5</f>
        <v>0</v>
      </c>
      <c r="BH5" s="33"/>
      <c r="BI5" s="30">
        <v>2</v>
      </c>
      <c r="BJ5" s="2">
        <f t="shared" ref="BJ5:BJ27" si="37">$B5*BI5</f>
        <v>16000</v>
      </c>
      <c r="BK5" s="33"/>
      <c r="BL5" s="30">
        <v>2</v>
      </c>
      <c r="BM5" s="2">
        <f t="shared" ref="BM5:BM27" si="38">$B5*BL5</f>
        <v>16000</v>
      </c>
      <c r="BN5" s="70">
        <v>0</v>
      </c>
      <c r="BO5" s="67">
        <v>19</v>
      </c>
      <c r="BP5" s="51">
        <v>152000</v>
      </c>
      <c r="BQ5" s="33"/>
      <c r="BR5" s="30">
        <v>3</v>
      </c>
      <c r="BS5" s="2">
        <f t="shared" ref="BS5:BS27" si="39">$B5*BR5</f>
        <v>24000</v>
      </c>
      <c r="BT5" s="33"/>
      <c r="BU5" s="30">
        <v>5</v>
      </c>
      <c r="BV5" s="2">
        <f t="shared" ref="BV5:BV27" si="40">$B5*BU5</f>
        <v>40000</v>
      </c>
      <c r="BW5" s="33"/>
      <c r="BX5" s="30">
        <v>5</v>
      </c>
      <c r="BY5" s="2">
        <f t="shared" ref="BY5:BY27" si="41">$B5*BX5</f>
        <v>40000</v>
      </c>
      <c r="BZ5" s="33">
        <v>15000</v>
      </c>
      <c r="CA5" s="30">
        <v>5</v>
      </c>
      <c r="CB5" s="2">
        <f t="shared" si="6"/>
        <v>40000</v>
      </c>
      <c r="CC5" s="33"/>
      <c r="CD5" s="30">
        <v>5</v>
      </c>
      <c r="CE5" s="2">
        <f t="shared" ref="CE5:CE27" si="42">$B5*CD5</f>
        <v>40000</v>
      </c>
      <c r="CF5" s="33"/>
      <c r="CG5" s="30">
        <v>6</v>
      </c>
      <c r="CH5" s="2">
        <f t="shared" ref="CH5:CH27" si="43">$B5*CG5</f>
        <v>48000</v>
      </c>
      <c r="CI5" s="33"/>
      <c r="CJ5" s="30">
        <v>3</v>
      </c>
      <c r="CK5" s="2">
        <f t="shared" ref="CK5:CK27" si="44">$B5*CJ5</f>
        <v>24000</v>
      </c>
      <c r="CL5" s="70">
        <v>15000</v>
      </c>
      <c r="CM5" s="67">
        <v>32</v>
      </c>
      <c r="CN5" s="51">
        <v>256000</v>
      </c>
      <c r="CO5" s="33"/>
      <c r="CP5" s="30">
        <v>3</v>
      </c>
      <c r="CQ5" s="2">
        <f t="shared" ref="CQ5:CQ27" si="45">$B5*CP5</f>
        <v>24000</v>
      </c>
      <c r="CR5" s="70">
        <f t="shared" si="10"/>
        <v>15000</v>
      </c>
      <c r="CS5" s="67">
        <f t="shared" si="11"/>
        <v>32</v>
      </c>
      <c r="CT5" s="51">
        <f t="shared" si="12"/>
        <v>256000</v>
      </c>
      <c r="CU5" s="33"/>
      <c r="CV5" s="30">
        <v>3</v>
      </c>
      <c r="CW5" s="2">
        <f t="shared" ref="CW5:CW27" si="46">$B5*CV5</f>
        <v>24000</v>
      </c>
      <c r="CX5" s="33"/>
      <c r="CY5" s="30">
        <v>5</v>
      </c>
      <c r="CZ5" s="2">
        <f t="shared" ref="CZ5:CZ27" si="47">$B5*CY5</f>
        <v>40000</v>
      </c>
      <c r="DA5" s="33"/>
      <c r="DB5" s="30">
        <v>5</v>
      </c>
      <c r="DC5" s="2">
        <f t="shared" ref="DC5:DC27" si="48">$B5*DB5</f>
        <v>40000</v>
      </c>
      <c r="DD5" s="33"/>
      <c r="DE5" s="30">
        <v>5</v>
      </c>
      <c r="DF5" s="2">
        <f t="shared" ref="DF5:DF27" si="49">$B5*DE5</f>
        <v>40000</v>
      </c>
      <c r="DG5" s="33"/>
      <c r="DH5" s="30">
        <v>2</v>
      </c>
      <c r="DI5" s="2">
        <f t="shared" ref="DI5:DI27" si="50">$B5*DH5</f>
        <v>16000</v>
      </c>
      <c r="DJ5" s="33"/>
      <c r="DK5" s="30"/>
      <c r="DL5" s="2">
        <f t="shared" ref="DL5:DL27" si="51">$B5*DK5</f>
        <v>0</v>
      </c>
      <c r="DM5" s="33"/>
      <c r="DN5" s="30"/>
      <c r="DO5" s="2">
        <f t="shared" ref="DO5:DO27" si="52">$B5*DN5</f>
        <v>0</v>
      </c>
      <c r="DP5" s="70">
        <f t="shared" si="13"/>
        <v>0</v>
      </c>
      <c r="DQ5" s="67">
        <v>23</v>
      </c>
      <c r="DR5" s="51">
        <v>184000</v>
      </c>
      <c r="DS5" s="52">
        <f t="shared" si="16"/>
        <v>25000</v>
      </c>
      <c r="DT5" s="53">
        <v>85</v>
      </c>
      <c r="DU5" s="54">
        <v>680000</v>
      </c>
    </row>
    <row r="6" spans="1:125" s="26" customFormat="1" ht="17.100000000000001" customHeight="1" thickBot="1" x14ac:dyDescent="0.25">
      <c r="A6" s="93" t="s">
        <v>24</v>
      </c>
      <c r="B6" s="19">
        <v>8000</v>
      </c>
      <c r="C6" s="29"/>
      <c r="D6" s="30"/>
      <c r="E6" s="2">
        <f t="shared" si="19"/>
        <v>0</v>
      </c>
      <c r="F6" s="29"/>
      <c r="G6" s="30"/>
      <c r="H6" s="2">
        <f t="shared" si="20"/>
        <v>0</v>
      </c>
      <c r="I6" s="29"/>
      <c r="J6" s="30"/>
      <c r="K6" s="2">
        <f t="shared" si="21"/>
        <v>0</v>
      </c>
      <c r="L6" s="31"/>
      <c r="M6" s="30"/>
      <c r="N6" s="2">
        <f t="shared" si="22"/>
        <v>0</v>
      </c>
      <c r="O6" s="31"/>
      <c r="P6" s="30"/>
      <c r="Q6" s="2">
        <f t="shared" si="23"/>
        <v>0</v>
      </c>
      <c r="R6" s="32"/>
      <c r="S6" s="30"/>
      <c r="T6" s="2">
        <f t="shared" si="24"/>
        <v>0</v>
      </c>
      <c r="U6" s="33"/>
      <c r="V6" s="30"/>
      <c r="W6" s="2">
        <f t="shared" si="25"/>
        <v>0</v>
      </c>
      <c r="X6" s="35"/>
      <c r="Y6" s="30"/>
      <c r="Z6" s="2">
        <f t="shared" si="26"/>
        <v>0</v>
      </c>
      <c r="AA6" s="33"/>
      <c r="AB6" s="30"/>
      <c r="AC6" s="2">
        <f t="shared" si="27"/>
        <v>0</v>
      </c>
      <c r="AD6" s="33"/>
      <c r="AE6" s="30"/>
      <c r="AF6" s="2">
        <f t="shared" si="28"/>
        <v>0</v>
      </c>
      <c r="AG6" s="33"/>
      <c r="AH6" s="30"/>
      <c r="AI6" s="2">
        <f t="shared" si="29"/>
        <v>0</v>
      </c>
      <c r="AJ6" s="33"/>
      <c r="AK6" s="30"/>
      <c r="AL6" s="2">
        <f t="shared" si="30"/>
        <v>0</v>
      </c>
      <c r="AM6" s="33"/>
      <c r="AN6" s="30"/>
      <c r="AO6" s="2">
        <f t="shared" si="31"/>
        <v>0</v>
      </c>
      <c r="AP6" s="70">
        <f t="shared" si="0"/>
        <v>0</v>
      </c>
      <c r="AQ6" s="67">
        <f t="shared" si="1"/>
        <v>0</v>
      </c>
      <c r="AR6" s="73">
        <f t="shared" si="2"/>
        <v>0</v>
      </c>
      <c r="AS6" s="33"/>
      <c r="AT6" s="30"/>
      <c r="AU6" s="2">
        <f t="shared" si="32"/>
        <v>0</v>
      </c>
      <c r="AV6" s="33"/>
      <c r="AW6" s="30"/>
      <c r="AX6" s="2">
        <f t="shared" si="33"/>
        <v>0</v>
      </c>
      <c r="AY6" s="33"/>
      <c r="AZ6" s="30"/>
      <c r="BA6" s="2">
        <f t="shared" si="34"/>
        <v>0</v>
      </c>
      <c r="BB6" s="33"/>
      <c r="BC6" s="30"/>
      <c r="BD6" s="2">
        <f t="shared" si="35"/>
        <v>0</v>
      </c>
      <c r="BE6" s="33"/>
      <c r="BF6" s="30"/>
      <c r="BG6" s="2">
        <f t="shared" si="36"/>
        <v>0</v>
      </c>
      <c r="BH6" s="33"/>
      <c r="BI6" s="30"/>
      <c r="BJ6" s="2">
        <f t="shared" si="37"/>
        <v>0</v>
      </c>
      <c r="BK6" s="33"/>
      <c r="BL6" s="30"/>
      <c r="BM6" s="2">
        <f t="shared" si="38"/>
        <v>0</v>
      </c>
      <c r="BN6" s="70">
        <v>0</v>
      </c>
      <c r="BO6" s="67">
        <f t="shared" si="4"/>
        <v>0</v>
      </c>
      <c r="BP6" s="51">
        <f t="shared" si="5"/>
        <v>0</v>
      </c>
      <c r="BQ6" s="33"/>
      <c r="BR6" s="30"/>
      <c r="BS6" s="2">
        <f t="shared" si="39"/>
        <v>0</v>
      </c>
      <c r="BT6" s="33"/>
      <c r="BU6" s="30"/>
      <c r="BV6" s="2">
        <f t="shared" si="40"/>
        <v>0</v>
      </c>
      <c r="BW6" s="33"/>
      <c r="BX6" s="30"/>
      <c r="BY6" s="2">
        <f t="shared" si="41"/>
        <v>0</v>
      </c>
      <c r="BZ6" s="33"/>
      <c r="CA6" s="30"/>
      <c r="CB6" s="2">
        <f t="shared" si="6"/>
        <v>0</v>
      </c>
      <c r="CC6" s="33"/>
      <c r="CD6" s="30"/>
      <c r="CE6" s="2">
        <f t="shared" si="42"/>
        <v>0</v>
      </c>
      <c r="CF6" s="33"/>
      <c r="CG6" s="30">
        <v>5</v>
      </c>
      <c r="CH6" s="2">
        <f t="shared" si="43"/>
        <v>40000</v>
      </c>
      <c r="CI6" s="33"/>
      <c r="CJ6" s="30"/>
      <c r="CK6" s="2">
        <f t="shared" si="44"/>
        <v>0</v>
      </c>
      <c r="CL6" s="70">
        <f t="shared" si="7"/>
        <v>0</v>
      </c>
      <c r="CM6" s="67">
        <v>5</v>
      </c>
      <c r="CN6" s="51">
        <v>40000</v>
      </c>
      <c r="CO6" s="33"/>
      <c r="CP6" s="30"/>
      <c r="CQ6" s="2">
        <f t="shared" si="45"/>
        <v>0</v>
      </c>
      <c r="CR6" s="70">
        <f t="shared" si="10"/>
        <v>0</v>
      </c>
      <c r="CS6" s="67">
        <f t="shared" si="11"/>
        <v>5</v>
      </c>
      <c r="CT6" s="51">
        <f t="shared" si="12"/>
        <v>40000</v>
      </c>
      <c r="CU6" s="33"/>
      <c r="CV6" s="30"/>
      <c r="CW6" s="2">
        <f t="shared" si="46"/>
        <v>0</v>
      </c>
      <c r="CX6" s="33"/>
      <c r="CY6" s="30"/>
      <c r="CZ6" s="2">
        <f t="shared" si="47"/>
        <v>0</v>
      </c>
      <c r="DA6" s="33"/>
      <c r="DB6" s="99">
        <v>2.5</v>
      </c>
      <c r="DC6" s="2">
        <f t="shared" si="48"/>
        <v>20000</v>
      </c>
      <c r="DD6" s="33">
        <v>40000</v>
      </c>
      <c r="DE6" s="30"/>
      <c r="DF6" s="2">
        <f t="shared" si="49"/>
        <v>0</v>
      </c>
      <c r="DG6" s="33"/>
      <c r="DH6" s="30"/>
      <c r="DI6" s="2">
        <f t="shared" si="50"/>
        <v>0</v>
      </c>
      <c r="DJ6" s="33"/>
      <c r="DK6" s="30"/>
      <c r="DL6" s="2">
        <f t="shared" si="51"/>
        <v>0</v>
      </c>
      <c r="DM6" s="33"/>
      <c r="DN6" s="30"/>
      <c r="DO6" s="2">
        <f t="shared" si="52"/>
        <v>0</v>
      </c>
      <c r="DP6" s="70">
        <f t="shared" si="13"/>
        <v>40000</v>
      </c>
      <c r="DQ6" s="100">
        <f t="shared" si="14"/>
        <v>2.5</v>
      </c>
      <c r="DR6" s="51">
        <f t="shared" si="15"/>
        <v>20000</v>
      </c>
      <c r="DS6" s="52">
        <f t="shared" si="16"/>
        <v>40000</v>
      </c>
      <c r="DT6" s="107">
        <v>7.5</v>
      </c>
      <c r="DU6" s="54">
        <v>60000</v>
      </c>
    </row>
    <row r="7" spans="1:125" s="26" customFormat="1" ht="17.100000000000001" customHeight="1" thickBot="1" x14ac:dyDescent="0.25">
      <c r="A7" s="93" t="s">
        <v>25</v>
      </c>
      <c r="B7" s="19">
        <v>8000</v>
      </c>
      <c r="C7" s="29"/>
      <c r="D7" s="30"/>
      <c r="E7" s="2">
        <f t="shared" si="19"/>
        <v>0</v>
      </c>
      <c r="F7" s="29"/>
      <c r="G7" s="30"/>
      <c r="H7" s="2">
        <f t="shared" si="20"/>
        <v>0</v>
      </c>
      <c r="I7" s="29"/>
      <c r="J7" s="30"/>
      <c r="K7" s="2">
        <f t="shared" si="21"/>
        <v>0</v>
      </c>
      <c r="L7" s="31"/>
      <c r="M7" s="30"/>
      <c r="N7" s="2">
        <f t="shared" si="22"/>
        <v>0</v>
      </c>
      <c r="O7" s="31"/>
      <c r="P7" s="30"/>
      <c r="Q7" s="2">
        <f t="shared" si="23"/>
        <v>0</v>
      </c>
      <c r="R7" s="32"/>
      <c r="S7" s="30"/>
      <c r="T7" s="2">
        <f t="shared" si="24"/>
        <v>0</v>
      </c>
      <c r="U7" s="33"/>
      <c r="V7" s="30"/>
      <c r="W7" s="2">
        <f t="shared" si="25"/>
        <v>0</v>
      </c>
      <c r="X7" s="35"/>
      <c r="Y7" s="30"/>
      <c r="Z7" s="2">
        <f t="shared" si="26"/>
        <v>0</v>
      </c>
      <c r="AA7" s="33"/>
      <c r="AB7" s="30"/>
      <c r="AC7" s="2">
        <f t="shared" si="27"/>
        <v>0</v>
      </c>
      <c r="AD7" s="33"/>
      <c r="AE7" s="30"/>
      <c r="AF7" s="2">
        <f t="shared" si="28"/>
        <v>0</v>
      </c>
      <c r="AG7" s="33"/>
      <c r="AH7" s="30"/>
      <c r="AI7" s="2">
        <f t="shared" si="29"/>
        <v>0</v>
      </c>
      <c r="AJ7" s="33"/>
      <c r="AK7" s="30"/>
      <c r="AL7" s="2">
        <f t="shared" si="30"/>
        <v>0</v>
      </c>
      <c r="AM7" s="33"/>
      <c r="AN7" s="30"/>
      <c r="AO7" s="2">
        <f t="shared" si="31"/>
        <v>0</v>
      </c>
      <c r="AP7" s="70">
        <f t="shared" si="0"/>
        <v>0</v>
      </c>
      <c r="AQ7" s="67">
        <f t="shared" si="1"/>
        <v>0</v>
      </c>
      <c r="AR7" s="73">
        <f t="shared" si="2"/>
        <v>0</v>
      </c>
      <c r="AS7" s="33"/>
      <c r="AT7" s="30"/>
      <c r="AU7" s="2">
        <f t="shared" si="32"/>
        <v>0</v>
      </c>
      <c r="AV7" s="33"/>
      <c r="AW7" s="30"/>
      <c r="AX7" s="2">
        <f t="shared" si="33"/>
        <v>0</v>
      </c>
      <c r="AY7" s="33"/>
      <c r="AZ7" s="30"/>
      <c r="BA7" s="2">
        <f t="shared" si="34"/>
        <v>0</v>
      </c>
      <c r="BB7" s="33"/>
      <c r="BC7" s="30"/>
      <c r="BD7" s="2">
        <f t="shared" si="35"/>
        <v>0</v>
      </c>
      <c r="BE7" s="33"/>
      <c r="BF7" s="30"/>
      <c r="BG7" s="2">
        <f t="shared" si="36"/>
        <v>0</v>
      </c>
      <c r="BH7" s="33"/>
      <c r="BI7" s="30"/>
      <c r="BJ7" s="2">
        <f t="shared" si="37"/>
        <v>0</v>
      </c>
      <c r="BK7" s="33"/>
      <c r="BL7" s="30"/>
      <c r="BM7" s="2">
        <f t="shared" si="38"/>
        <v>0</v>
      </c>
      <c r="BN7" s="70">
        <v>0</v>
      </c>
      <c r="BO7" s="67">
        <f t="shared" si="4"/>
        <v>0</v>
      </c>
      <c r="BP7" s="51">
        <f t="shared" si="5"/>
        <v>0</v>
      </c>
      <c r="BQ7" s="33"/>
      <c r="BR7" s="30"/>
      <c r="BS7" s="2">
        <f t="shared" si="39"/>
        <v>0</v>
      </c>
      <c r="BT7" s="33">
        <v>50000</v>
      </c>
      <c r="BU7" s="30"/>
      <c r="BV7" s="2">
        <f t="shared" si="40"/>
        <v>0</v>
      </c>
      <c r="BW7" s="33"/>
      <c r="BX7" s="30"/>
      <c r="BY7" s="2">
        <f t="shared" si="41"/>
        <v>0</v>
      </c>
      <c r="BZ7" s="33"/>
      <c r="CA7" s="30"/>
      <c r="CB7" s="2">
        <f t="shared" si="6"/>
        <v>0</v>
      </c>
      <c r="CC7" s="31">
        <v>30000</v>
      </c>
      <c r="CD7" s="30"/>
      <c r="CE7" s="2">
        <f t="shared" si="42"/>
        <v>0</v>
      </c>
      <c r="CF7" s="31"/>
      <c r="CG7" s="30"/>
      <c r="CH7" s="2">
        <f t="shared" si="43"/>
        <v>0</v>
      </c>
      <c r="CI7" s="31"/>
      <c r="CJ7" s="30"/>
      <c r="CK7" s="2">
        <f t="shared" si="44"/>
        <v>0</v>
      </c>
      <c r="CL7" s="70">
        <v>80000</v>
      </c>
      <c r="CM7" s="67">
        <f t="shared" si="8"/>
        <v>0</v>
      </c>
      <c r="CN7" s="51">
        <f t="shared" si="9"/>
        <v>0</v>
      </c>
      <c r="CO7" s="31"/>
      <c r="CP7" s="30"/>
      <c r="CQ7" s="2">
        <f t="shared" si="45"/>
        <v>0</v>
      </c>
      <c r="CR7" s="127">
        <f t="shared" si="10"/>
        <v>80000</v>
      </c>
      <c r="CS7" s="67">
        <f t="shared" si="11"/>
        <v>0</v>
      </c>
      <c r="CT7" s="51">
        <f t="shared" si="12"/>
        <v>0</v>
      </c>
      <c r="CU7" s="31"/>
      <c r="CV7" s="30"/>
      <c r="CW7" s="2">
        <f t="shared" si="46"/>
        <v>0</v>
      </c>
      <c r="CX7" s="31"/>
      <c r="CY7" s="30"/>
      <c r="CZ7" s="2">
        <f t="shared" si="47"/>
        <v>0</v>
      </c>
      <c r="DA7" s="31"/>
      <c r="DB7" s="30"/>
      <c r="DC7" s="2">
        <f t="shared" si="48"/>
        <v>0</v>
      </c>
      <c r="DD7" s="31"/>
      <c r="DE7" s="30"/>
      <c r="DF7" s="2">
        <f t="shared" si="49"/>
        <v>0</v>
      </c>
      <c r="DG7" s="31"/>
      <c r="DH7" s="30"/>
      <c r="DI7" s="2">
        <f t="shared" si="50"/>
        <v>0</v>
      </c>
      <c r="DJ7" s="31"/>
      <c r="DK7" s="30"/>
      <c r="DL7" s="2">
        <f t="shared" si="51"/>
        <v>0</v>
      </c>
      <c r="DM7" s="33"/>
      <c r="DN7" s="30"/>
      <c r="DO7" s="2">
        <f t="shared" si="52"/>
        <v>0</v>
      </c>
      <c r="DP7" s="70">
        <f t="shared" si="13"/>
        <v>0</v>
      </c>
      <c r="DQ7" s="67">
        <f t="shared" si="14"/>
        <v>0</v>
      </c>
      <c r="DR7" s="51">
        <f t="shared" si="15"/>
        <v>0</v>
      </c>
      <c r="DS7" s="52">
        <f t="shared" si="16"/>
        <v>80000</v>
      </c>
      <c r="DT7" s="53">
        <f t="shared" si="17"/>
        <v>0</v>
      </c>
      <c r="DU7" s="54">
        <f t="shared" si="18"/>
        <v>0</v>
      </c>
    </row>
    <row r="8" spans="1:125" s="26" customFormat="1" ht="17.100000000000001" customHeight="1" thickBot="1" x14ac:dyDescent="0.25">
      <c r="A8" s="93" t="s">
        <v>26</v>
      </c>
      <c r="B8" s="19">
        <v>8000</v>
      </c>
      <c r="C8" s="29"/>
      <c r="D8" s="30"/>
      <c r="E8" s="2">
        <f t="shared" si="19"/>
        <v>0</v>
      </c>
      <c r="F8" s="29"/>
      <c r="G8" s="30"/>
      <c r="H8" s="2">
        <f t="shared" si="20"/>
        <v>0</v>
      </c>
      <c r="I8" s="29"/>
      <c r="J8" s="30"/>
      <c r="K8" s="2">
        <f t="shared" si="21"/>
        <v>0</v>
      </c>
      <c r="L8" s="31"/>
      <c r="M8" s="30"/>
      <c r="N8" s="2">
        <f t="shared" si="22"/>
        <v>0</v>
      </c>
      <c r="O8" s="33"/>
      <c r="P8" s="30"/>
      <c r="Q8" s="2">
        <f t="shared" si="23"/>
        <v>0</v>
      </c>
      <c r="R8" s="32"/>
      <c r="S8" s="30"/>
      <c r="T8" s="2">
        <f t="shared" si="24"/>
        <v>0</v>
      </c>
      <c r="U8" s="33"/>
      <c r="V8" s="30">
        <v>2</v>
      </c>
      <c r="W8" s="2">
        <f t="shared" si="25"/>
        <v>16000</v>
      </c>
      <c r="X8" s="35"/>
      <c r="Y8" s="30">
        <v>2</v>
      </c>
      <c r="Z8" s="2">
        <f t="shared" si="26"/>
        <v>16000</v>
      </c>
      <c r="AA8" s="33">
        <v>5000</v>
      </c>
      <c r="AB8" s="99">
        <v>2.5</v>
      </c>
      <c r="AC8" s="2">
        <f t="shared" si="27"/>
        <v>20000</v>
      </c>
      <c r="AD8" s="33"/>
      <c r="AE8" s="99">
        <v>2.5</v>
      </c>
      <c r="AF8" s="2">
        <f t="shared" si="28"/>
        <v>20000</v>
      </c>
      <c r="AG8" s="33"/>
      <c r="AH8" s="30"/>
      <c r="AI8" s="2">
        <f t="shared" si="29"/>
        <v>0</v>
      </c>
      <c r="AJ8" s="33"/>
      <c r="AK8" s="30">
        <v>2</v>
      </c>
      <c r="AL8" s="2">
        <f t="shared" si="30"/>
        <v>16000</v>
      </c>
      <c r="AM8" s="33"/>
      <c r="AN8" s="30">
        <v>2</v>
      </c>
      <c r="AO8" s="2">
        <f t="shared" si="31"/>
        <v>16000</v>
      </c>
      <c r="AP8" s="70">
        <v>5000</v>
      </c>
      <c r="AQ8" s="67">
        <v>13</v>
      </c>
      <c r="AR8" s="73">
        <v>104000</v>
      </c>
      <c r="AS8" s="33"/>
      <c r="AT8" s="99">
        <v>1.5</v>
      </c>
      <c r="AU8" s="2">
        <f t="shared" si="32"/>
        <v>12000</v>
      </c>
      <c r="AV8" s="33"/>
      <c r="AW8" s="30">
        <v>3</v>
      </c>
      <c r="AX8" s="2">
        <f t="shared" si="33"/>
        <v>24000</v>
      </c>
      <c r="AY8" s="33">
        <v>5000</v>
      </c>
      <c r="AZ8" s="30">
        <v>4</v>
      </c>
      <c r="BA8" s="2">
        <f t="shared" si="34"/>
        <v>32000</v>
      </c>
      <c r="BB8" s="33"/>
      <c r="BC8" s="99">
        <v>2.5</v>
      </c>
      <c r="BD8" s="2">
        <f t="shared" si="35"/>
        <v>20000</v>
      </c>
      <c r="BE8" s="33"/>
      <c r="BF8" s="99">
        <v>3.5</v>
      </c>
      <c r="BG8" s="2">
        <f t="shared" si="36"/>
        <v>28000</v>
      </c>
      <c r="BH8" s="33"/>
      <c r="BI8" s="30">
        <v>4</v>
      </c>
      <c r="BJ8" s="2">
        <f t="shared" si="37"/>
        <v>32000</v>
      </c>
      <c r="BK8" s="33"/>
      <c r="BL8" s="30">
        <v>3</v>
      </c>
      <c r="BM8" s="2">
        <f t="shared" si="38"/>
        <v>24000</v>
      </c>
      <c r="BN8" s="70">
        <v>5000</v>
      </c>
      <c r="BO8" s="100">
        <v>21.5</v>
      </c>
      <c r="BP8" s="51">
        <v>173000</v>
      </c>
      <c r="BQ8" s="33"/>
      <c r="BR8" s="30">
        <v>1</v>
      </c>
      <c r="BS8" s="2">
        <f t="shared" si="39"/>
        <v>8000</v>
      </c>
      <c r="BT8" s="33"/>
      <c r="BU8" s="99">
        <v>3.5</v>
      </c>
      <c r="BV8" s="2">
        <f t="shared" si="40"/>
        <v>28000</v>
      </c>
      <c r="BW8" s="33"/>
      <c r="BX8" s="30">
        <v>4</v>
      </c>
      <c r="BY8" s="2">
        <f t="shared" si="41"/>
        <v>32000</v>
      </c>
      <c r="BZ8" s="33">
        <v>5000</v>
      </c>
      <c r="CA8" s="99">
        <v>4.5</v>
      </c>
      <c r="CB8" s="2">
        <f t="shared" si="6"/>
        <v>36000</v>
      </c>
      <c r="CC8" s="33"/>
      <c r="CD8" s="99">
        <v>4.5</v>
      </c>
      <c r="CE8" s="2">
        <f t="shared" si="42"/>
        <v>36000</v>
      </c>
      <c r="CF8" s="33"/>
      <c r="CG8" s="99">
        <v>2.5</v>
      </c>
      <c r="CH8" s="2">
        <f t="shared" si="43"/>
        <v>20000</v>
      </c>
      <c r="CI8" s="33"/>
      <c r="CJ8" s="30">
        <v>3</v>
      </c>
      <c r="CK8" s="2">
        <f t="shared" si="44"/>
        <v>24000</v>
      </c>
      <c r="CL8" s="70">
        <v>5000</v>
      </c>
      <c r="CM8" s="67">
        <v>23</v>
      </c>
      <c r="CN8" s="51">
        <v>184000</v>
      </c>
      <c r="CO8" s="33"/>
      <c r="CP8" s="30">
        <v>1</v>
      </c>
      <c r="CQ8" s="2">
        <f t="shared" si="45"/>
        <v>8000</v>
      </c>
      <c r="CR8" s="70">
        <f t="shared" si="10"/>
        <v>5000</v>
      </c>
      <c r="CS8" s="67">
        <f t="shared" si="11"/>
        <v>23</v>
      </c>
      <c r="CT8" s="51">
        <f t="shared" si="12"/>
        <v>184000</v>
      </c>
      <c r="CU8" s="33"/>
      <c r="CV8" s="30">
        <v>3</v>
      </c>
      <c r="CW8" s="2">
        <f t="shared" si="46"/>
        <v>24000</v>
      </c>
      <c r="CX8" s="33"/>
      <c r="CY8" s="30"/>
      <c r="CZ8" s="2">
        <f t="shared" si="47"/>
        <v>0</v>
      </c>
      <c r="DA8" s="33"/>
      <c r="DB8" s="30">
        <v>3</v>
      </c>
      <c r="DC8" s="2">
        <f t="shared" si="48"/>
        <v>24000</v>
      </c>
      <c r="DD8" s="33"/>
      <c r="DE8" s="30">
        <v>2</v>
      </c>
      <c r="DF8" s="2">
        <f t="shared" si="49"/>
        <v>16000</v>
      </c>
      <c r="DG8" s="33"/>
      <c r="DH8" s="99">
        <v>1.5</v>
      </c>
      <c r="DI8" s="2">
        <f t="shared" si="50"/>
        <v>12000</v>
      </c>
      <c r="DJ8" s="33"/>
      <c r="DK8" s="30"/>
      <c r="DL8" s="2">
        <f t="shared" si="51"/>
        <v>0</v>
      </c>
      <c r="DM8" s="33"/>
      <c r="DN8" s="30"/>
      <c r="DO8" s="2">
        <f t="shared" si="52"/>
        <v>0</v>
      </c>
      <c r="DP8" s="70">
        <f t="shared" si="13"/>
        <v>0</v>
      </c>
      <c r="DQ8" s="100">
        <v>10.5</v>
      </c>
      <c r="DR8" s="51">
        <v>0</v>
      </c>
      <c r="DS8" s="52">
        <f t="shared" si="16"/>
        <v>15000</v>
      </c>
      <c r="DT8" s="53">
        <v>68</v>
      </c>
      <c r="DU8" s="54">
        <v>544000</v>
      </c>
    </row>
    <row r="9" spans="1:125" s="26" customFormat="1" ht="17.100000000000001" customHeight="1" thickBot="1" x14ac:dyDescent="0.25">
      <c r="A9" s="93" t="s">
        <v>27</v>
      </c>
      <c r="B9" s="19">
        <v>8000</v>
      </c>
      <c r="C9" s="29"/>
      <c r="D9" s="30"/>
      <c r="E9" s="2">
        <f t="shared" si="19"/>
        <v>0</v>
      </c>
      <c r="F9" s="29"/>
      <c r="G9" s="30"/>
      <c r="H9" s="2">
        <f t="shared" si="20"/>
        <v>0</v>
      </c>
      <c r="I9" s="29"/>
      <c r="J9" s="30"/>
      <c r="K9" s="2">
        <f t="shared" si="21"/>
        <v>0</v>
      </c>
      <c r="L9" s="31"/>
      <c r="M9" s="30"/>
      <c r="N9" s="2">
        <f t="shared" si="22"/>
        <v>0</v>
      </c>
      <c r="O9" s="31"/>
      <c r="P9" s="30"/>
      <c r="Q9" s="2">
        <f t="shared" si="23"/>
        <v>0</v>
      </c>
      <c r="R9" s="31"/>
      <c r="S9" s="30"/>
      <c r="T9" s="2">
        <f t="shared" si="24"/>
        <v>0</v>
      </c>
      <c r="U9" s="33"/>
      <c r="V9" s="30">
        <v>5</v>
      </c>
      <c r="W9" s="2">
        <f t="shared" si="25"/>
        <v>40000</v>
      </c>
      <c r="X9" s="35"/>
      <c r="Y9" s="30">
        <v>5</v>
      </c>
      <c r="Z9" s="2">
        <f t="shared" si="26"/>
        <v>40000</v>
      </c>
      <c r="AA9" s="33"/>
      <c r="AB9" s="30">
        <v>5</v>
      </c>
      <c r="AC9" s="2">
        <f t="shared" si="27"/>
        <v>40000</v>
      </c>
      <c r="AD9" s="33"/>
      <c r="AE9" s="30">
        <v>4</v>
      </c>
      <c r="AF9" s="2">
        <f t="shared" si="28"/>
        <v>32000</v>
      </c>
      <c r="AG9" s="33"/>
      <c r="AH9" s="30">
        <v>4</v>
      </c>
      <c r="AI9" s="2">
        <f t="shared" si="29"/>
        <v>32000</v>
      </c>
      <c r="AJ9" s="33"/>
      <c r="AK9" s="30">
        <v>4</v>
      </c>
      <c r="AL9" s="2">
        <f t="shared" si="30"/>
        <v>32000</v>
      </c>
      <c r="AM9" s="33"/>
      <c r="AN9" s="30">
        <v>4</v>
      </c>
      <c r="AO9" s="2">
        <f t="shared" si="31"/>
        <v>32000</v>
      </c>
      <c r="AP9" s="70">
        <f t="shared" si="0"/>
        <v>0</v>
      </c>
      <c r="AQ9" s="67">
        <v>31</v>
      </c>
      <c r="AR9" s="73">
        <v>248000</v>
      </c>
      <c r="AS9" s="33"/>
      <c r="AT9" s="30"/>
      <c r="AU9" s="2">
        <f t="shared" si="32"/>
        <v>0</v>
      </c>
      <c r="AV9" s="33"/>
      <c r="AW9" s="30">
        <v>5</v>
      </c>
      <c r="AX9" s="2">
        <f t="shared" si="33"/>
        <v>40000</v>
      </c>
      <c r="AY9" s="33"/>
      <c r="AZ9" s="30">
        <v>5</v>
      </c>
      <c r="BA9" s="2">
        <f t="shared" si="34"/>
        <v>40000</v>
      </c>
      <c r="BB9" s="33"/>
      <c r="BC9" s="30">
        <v>5</v>
      </c>
      <c r="BD9" s="2">
        <f t="shared" si="35"/>
        <v>40000</v>
      </c>
      <c r="BE9" s="33"/>
      <c r="BF9" s="30">
        <v>5</v>
      </c>
      <c r="BG9" s="2">
        <f t="shared" si="36"/>
        <v>40000</v>
      </c>
      <c r="BH9" s="33"/>
      <c r="BI9" s="30">
        <v>5</v>
      </c>
      <c r="BJ9" s="2">
        <f t="shared" si="37"/>
        <v>40000</v>
      </c>
      <c r="BK9" s="33"/>
      <c r="BL9" s="30">
        <v>5</v>
      </c>
      <c r="BM9" s="2">
        <f t="shared" si="38"/>
        <v>40000</v>
      </c>
      <c r="BN9" s="70">
        <v>0</v>
      </c>
      <c r="BO9" s="67">
        <v>30</v>
      </c>
      <c r="BP9" s="51">
        <v>240000</v>
      </c>
      <c r="BQ9" s="33"/>
      <c r="BR9" s="30">
        <v>5</v>
      </c>
      <c r="BS9" s="2">
        <f t="shared" si="39"/>
        <v>40000</v>
      </c>
      <c r="BT9" s="33"/>
      <c r="BU9" s="30">
        <v>5</v>
      </c>
      <c r="BV9" s="2">
        <f t="shared" si="40"/>
        <v>40000</v>
      </c>
      <c r="BW9" s="33"/>
      <c r="BX9" s="30">
        <v>5</v>
      </c>
      <c r="BY9" s="2">
        <f t="shared" si="41"/>
        <v>40000</v>
      </c>
      <c r="BZ9" s="33"/>
      <c r="CA9" s="30">
        <v>5</v>
      </c>
      <c r="CB9" s="2">
        <f t="shared" si="6"/>
        <v>40000</v>
      </c>
      <c r="CC9" s="33"/>
      <c r="CD9" s="30">
        <v>5</v>
      </c>
      <c r="CE9" s="2">
        <f t="shared" si="42"/>
        <v>40000</v>
      </c>
      <c r="CF9" s="33"/>
      <c r="CG9" s="30">
        <v>6</v>
      </c>
      <c r="CH9" s="2">
        <f t="shared" si="43"/>
        <v>48000</v>
      </c>
      <c r="CI9" s="33"/>
      <c r="CJ9" s="30">
        <v>5</v>
      </c>
      <c r="CK9" s="2">
        <f t="shared" si="44"/>
        <v>40000</v>
      </c>
      <c r="CL9" s="70">
        <f t="shared" si="7"/>
        <v>0</v>
      </c>
      <c r="CM9" s="67">
        <v>36</v>
      </c>
      <c r="CN9" s="51">
        <v>288000</v>
      </c>
      <c r="CO9" s="33"/>
      <c r="CP9" s="30">
        <v>5</v>
      </c>
      <c r="CQ9" s="2">
        <f t="shared" si="45"/>
        <v>40000</v>
      </c>
      <c r="CR9" s="70">
        <f t="shared" si="10"/>
        <v>0</v>
      </c>
      <c r="CS9" s="67">
        <f t="shared" si="11"/>
        <v>36</v>
      </c>
      <c r="CT9" s="51">
        <f t="shared" si="12"/>
        <v>288000</v>
      </c>
      <c r="CU9" s="33"/>
      <c r="CV9" s="30">
        <v>5</v>
      </c>
      <c r="CW9" s="2">
        <f t="shared" si="46"/>
        <v>40000</v>
      </c>
      <c r="CX9" s="33"/>
      <c r="CY9" s="30">
        <v>5</v>
      </c>
      <c r="CZ9" s="2">
        <f t="shared" si="47"/>
        <v>40000</v>
      </c>
      <c r="DA9" s="33"/>
      <c r="DB9" s="30">
        <v>5</v>
      </c>
      <c r="DC9" s="2">
        <f t="shared" si="48"/>
        <v>40000</v>
      </c>
      <c r="DD9" s="33"/>
      <c r="DE9" s="30">
        <v>5</v>
      </c>
      <c r="DF9" s="2">
        <f t="shared" si="49"/>
        <v>40000</v>
      </c>
      <c r="DG9" s="33"/>
      <c r="DH9" s="30">
        <v>4</v>
      </c>
      <c r="DI9" s="2">
        <f t="shared" si="50"/>
        <v>32000</v>
      </c>
      <c r="DJ9" s="33"/>
      <c r="DK9" s="30"/>
      <c r="DL9" s="2">
        <f t="shared" si="51"/>
        <v>0</v>
      </c>
      <c r="DM9" s="33"/>
      <c r="DN9" s="30"/>
      <c r="DO9" s="2">
        <f t="shared" si="52"/>
        <v>0</v>
      </c>
      <c r="DP9" s="70">
        <f t="shared" si="13"/>
        <v>0</v>
      </c>
      <c r="DQ9" s="67">
        <v>29</v>
      </c>
      <c r="DR9" s="51">
        <v>232000</v>
      </c>
      <c r="DS9" s="52">
        <f t="shared" si="16"/>
        <v>0</v>
      </c>
      <c r="DT9" s="53">
        <v>126</v>
      </c>
      <c r="DU9" s="54">
        <v>1008000</v>
      </c>
    </row>
    <row r="10" spans="1:125" s="26" customFormat="1" ht="17.100000000000001" customHeight="1" thickBot="1" x14ac:dyDescent="0.25">
      <c r="A10" s="93" t="s">
        <v>52</v>
      </c>
      <c r="B10" s="19">
        <v>8000</v>
      </c>
      <c r="C10" s="29"/>
      <c r="D10" s="30"/>
      <c r="E10" s="2">
        <f t="shared" si="19"/>
        <v>0</v>
      </c>
      <c r="F10" s="29"/>
      <c r="G10" s="30"/>
      <c r="H10" s="2">
        <f t="shared" si="20"/>
        <v>0</v>
      </c>
      <c r="I10" s="29"/>
      <c r="J10" s="30"/>
      <c r="K10" s="2">
        <f t="shared" si="21"/>
        <v>0</v>
      </c>
      <c r="L10" s="31"/>
      <c r="M10" s="30"/>
      <c r="N10" s="2">
        <f t="shared" si="22"/>
        <v>0</v>
      </c>
      <c r="O10" s="31"/>
      <c r="P10" s="30"/>
      <c r="Q10" s="2">
        <f t="shared" si="23"/>
        <v>0</v>
      </c>
      <c r="R10" s="31"/>
      <c r="S10" s="30"/>
      <c r="T10" s="2">
        <f t="shared" si="24"/>
        <v>0</v>
      </c>
      <c r="U10" s="33"/>
      <c r="V10" s="30"/>
      <c r="W10" s="2">
        <f t="shared" si="25"/>
        <v>0</v>
      </c>
      <c r="X10" s="35"/>
      <c r="Y10" s="30"/>
      <c r="Z10" s="2">
        <f t="shared" si="26"/>
        <v>0</v>
      </c>
      <c r="AA10" s="33"/>
      <c r="AB10" s="30"/>
      <c r="AC10" s="2">
        <f t="shared" si="27"/>
        <v>0</v>
      </c>
      <c r="AD10" s="33"/>
      <c r="AE10" s="30"/>
      <c r="AF10" s="2">
        <f t="shared" si="28"/>
        <v>0</v>
      </c>
      <c r="AG10" s="33"/>
      <c r="AH10" s="30"/>
      <c r="AI10" s="2">
        <f t="shared" si="29"/>
        <v>0</v>
      </c>
      <c r="AJ10" s="33"/>
      <c r="AK10" s="30"/>
      <c r="AL10" s="2">
        <f t="shared" si="30"/>
        <v>0</v>
      </c>
      <c r="AM10" s="33"/>
      <c r="AN10" s="30">
        <v>4</v>
      </c>
      <c r="AO10" s="2">
        <f t="shared" si="31"/>
        <v>32000</v>
      </c>
      <c r="AP10" s="70">
        <f t="shared" si="0"/>
        <v>0</v>
      </c>
      <c r="AQ10" s="67">
        <f t="shared" si="1"/>
        <v>0</v>
      </c>
      <c r="AR10" s="73">
        <f t="shared" si="2"/>
        <v>0</v>
      </c>
      <c r="AS10" s="33"/>
      <c r="AT10" s="30"/>
      <c r="AU10" s="2">
        <f t="shared" si="32"/>
        <v>0</v>
      </c>
      <c r="AV10" s="33"/>
      <c r="AW10" s="30"/>
      <c r="AX10" s="2">
        <f t="shared" si="33"/>
        <v>0</v>
      </c>
      <c r="AY10" s="33"/>
      <c r="AZ10" s="30"/>
      <c r="BA10" s="2">
        <f t="shared" si="34"/>
        <v>0</v>
      </c>
      <c r="BB10" s="33"/>
      <c r="BC10" s="30"/>
      <c r="BD10" s="2">
        <f t="shared" si="35"/>
        <v>0</v>
      </c>
      <c r="BE10" s="33"/>
      <c r="BF10" s="30"/>
      <c r="BG10" s="2">
        <f t="shared" si="36"/>
        <v>0</v>
      </c>
      <c r="BH10" s="33"/>
      <c r="BI10" s="30"/>
      <c r="BJ10" s="2">
        <f t="shared" si="37"/>
        <v>0</v>
      </c>
      <c r="BK10" s="33"/>
      <c r="BL10" s="30"/>
      <c r="BM10" s="2">
        <f t="shared" si="38"/>
        <v>0</v>
      </c>
      <c r="BN10" s="70">
        <v>0</v>
      </c>
      <c r="BO10" s="67">
        <v>0</v>
      </c>
      <c r="BP10" s="51">
        <v>0</v>
      </c>
      <c r="BQ10" s="33"/>
      <c r="BR10" s="30"/>
      <c r="BS10" s="2">
        <f t="shared" si="39"/>
        <v>0</v>
      </c>
      <c r="BT10" s="33"/>
      <c r="BU10" s="30"/>
      <c r="BV10" s="2">
        <f t="shared" si="40"/>
        <v>0</v>
      </c>
      <c r="BW10" s="33"/>
      <c r="BX10" s="30"/>
      <c r="BY10" s="2">
        <f t="shared" si="41"/>
        <v>0</v>
      </c>
      <c r="BZ10" s="33"/>
      <c r="CA10" s="30"/>
      <c r="CB10" s="2">
        <f t="shared" si="6"/>
        <v>0</v>
      </c>
      <c r="CC10" s="33"/>
      <c r="CD10" s="30"/>
      <c r="CE10" s="2">
        <f t="shared" si="42"/>
        <v>0</v>
      </c>
      <c r="CF10" s="33"/>
      <c r="CG10" s="30"/>
      <c r="CH10" s="2">
        <f t="shared" si="43"/>
        <v>0</v>
      </c>
      <c r="CI10" s="33"/>
      <c r="CJ10" s="30"/>
      <c r="CK10" s="2">
        <f t="shared" si="44"/>
        <v>0</v>
      </c>
      <c r="CL10" s="70">
        <f t="shared" si="7"/>
        <v>0</v>
      </c>
      <c r="CM10" s="67">
        <f t="shared" si="8"/>
        <v>0</v>
      </c>
      <c r="CN10" s="51">
        <f t="shared" si="9"/>
        <v>0</v>
      </c>
      <c r="CO10" s="33"/>
      <c r="CP10" s="30"/>
      <c r="CQ10" s="2">
        <f t="shared" si="45"/>
        <v>0</v>
      </c>
      <c r="CR10" s="70">
        <f t="shared" si="10"/>
        <v>0</v>
      </c>
      <c r="CS10" s="67">
        <f t="shared" si="11"/>
        <v>0</v>
      </c>
      <c r="CT10" s="51">
        <f t="shared" si="12"/>
        <v>0</v>
      </c>
      <c r="CU10" s="33"/>
      <c r="CV10" s="30"/>
      <c r="CW10" s="2">
        <f t="shared" si="46"/>
        <v>0</v>
      </c>
      <c r="CX10" s="33"/>
      <c r="CY10" s="30"/>
      <c r="CZ10" s="2">
        <f t="shared" si="47"/>
        <v>0</v>
      </c>
      <c r="DA10" s="33"/>
      <c r="DB10" s="30"/>
      <c r="DC10" s="2">
        <f t="shared" si="48"/>
        <v>0</v>
      </c>
      <c r="DD10" s="33"/>
      <c r="DE10" s="30"/>
      <c r="DF10" s="2">
        <f t="shared" si="49"/>
        <v>0</v>
      </c>
      <c r="DG10" s="33"/>
      <c r="DH10" s="30"/>
      <c r="DI10" s="2">
        <f t="shared" si="50"/>
        <v>0</v>
      </c>
      <c r="DJ10" s="33"/>
      <c r="DK10" s="30"/>
      <c r="DL10" s="2">
        <f t="shared" si="51"/>
        <v>0</v>
      </c>
      <c r="DM10" s="33"/>
      <c r="DN10" s="30"/>
      <c r="DO10" s="2">
        <f t="shared" si="52"/>
        <v>0</v>
      </c>
      <c r="DP10" s="70">
        <f t="shared" si="13"/>
        <v>0</v>
      </c>
      <c r="DQ10" s="67">
        <f t="shared" si="14"/>
        <v>0</v>
      </c>
      <c r="DR10" s="51">
        <f t="shared" si="15"/>
        <v>0</v>
      </c>
      <c r="DS10" s="52">
        <f t="shared" si="16"/>
        <v>0</v>
      </c>
      <c r="DT10" s="53">
        <f t="shared" si="17"/>
        <v>0</v>
      </c>
      <c r="DU10" s="54">
        <f t="shared" si="18"/>
        <v>0</v>
      </c>
    </row>
    <row r="11" spans="1:125" s="26" customFormat="1" ht="17.100000000000001" customHeight="1" thickBot="1" x14ac:dyDescent="0.25">
      <c r="A11" s="93" t="s">
        <v>29</v>
      </c>
      <c r="B11" s="19">
        <v>8000</v>
      </c>
      <c r="C11" s="29"/>
      <c r="D11" s="30"/>
      <c r="E11" s="2">
        <f t="shared" si="19"/>
        <v>0</v>
      </c>
      <c r="F11" s="29"/>
      <c r="G11" s="30"/>
      <c r="H11" s="2">
        <f t="shared" si="20"/>
        <v>0</v>
      </c>
      <c r="I11" s="29"/>
      <c r="J11" s="30"/>
      <c r="K11" s="2">
        <f t="shared" si="21"/>
        <v>0</v>
      </c>
      <c r="L11" s="31"/>
      <c r="M11" s="30"/>
      <c r="N11" s="2">
        <f t="shared" si="22"/>
        <v>0</v>
      </c>
      <c r="O11" s="31"/>
      <c r="P11" s="30"/>
      <c r="Q11" s="2">
        <f t="shared" si="23"/>
        <v>0</v>
      </c>
      <c r="R11" s="31"/>
      <c r="S11" s="30"/>
      <c r="T11" s="2">
        <f t="shared" si="24"/>
        <v>0</v>
      </c>
      <c r="U11" s="33"/>
      <c r="V11" s="30"/>
      <c r="W11" s="2">
        <f t="shared" si="25"/>
        <v>0</v>
      </c>
      <c r="X11" s="35">
        <v>10000</v>
      </c>
      <c r="Y11" s="30"/>
      <c r="Z11" s="2">
        <f t="shared" si="26"/>
        <v>0</v>
      </c>
      <c r="AA11" s="33"/>
      <c r="AB11" s="30">
        <v>6</v>
      </c>
      <c r="AC11" s="2">
        <f t="shared" si="27"/>
        <v>48000</v>
      </c>
      <c r="AD11" s="33"/>
      <c r="AE11" s="30"/>
      <c r="AF11" s="2">
        <f t="shared" si="28"/>
        <v>0</v>
      </c>
      <c r="AG11" s="33"/>
      <c r="AH11" s="30"/>
      <c r="AI11" s="2">
        <f t="shared" si="29"/>
        <v>0</v>
      </c>
      <c r="AJ11" s="33"/>
      <c r="AK11" s="30">
        <v>4</v>
      </c>
      <c r="AL11" s="2">
        <f t="shared" si="30"/>
        <v>32000</v>
      </c>
      <c r="AM11" s="33"/>
      <c r="AN11" s="30"/>
      <c r="AO11" s="2">
        <f t="shared" si="31"/>
        <v>0</v>
      </c>
      <c r="AP11" s="70">
        <v>10000</v>
      </c>
      <c r="AQ11" s="67">
        <v>10</v>
      </c>
      <c r="AR11" s="73">
        <v>80000</v>
      </c>
      <c r="AS11" s="33"/>
      <c r="AT11" s="30">
        <v>3</v>
      </c>
      <c r="AU11" s="2">
        <f t="shared" si="32"/>
        <v>24000</v>
      </c>
      <c r="AV11" s="33"/>
      <c r="AW11" s="30">
        <v>5</v>
      </c>
      <c r="AX11" s="2">
        <f t="shared" si="33"/>
        <v>40000</v>
      </c>
      <c r="AY11" s="33"/>
      <c r="AZ11" s="30"/>
      <c r="BA11" s="2">
        <f t="shared" si="34"/>
        <v>0</v>
      </c>
      <c r="BB11" s="33"/>
      <c r="BC11" s="30">
        <v>5</v>
      </c>
      <c r="BD11" s="2">
        <f t="shared" si="35"/>
        <v>40000</v>
      </c>
      <c r="BE11" s="33"/>
      <c r="BF11" s="30">
        <v>5</v>
      </c>
      <c r="BG11" s="2">
        <f t="shared" si="36"/>
        <v>40000</v>
      </c>
      <c r="BH11" s="33"/>
      <c r="BI11" s="30">
        <v>5</v>
      </c>
      <c r="BJ11" s="2">
        <f t="shared" si="37"/>
        <v>40000</v>
      </c>
      <c r="BK11" s="33"/>
      <c r="BL11" s="30"/>
      <c r="BM11" s="2">
        <f t="shared" si="38"/>
        <v>0</v>
      </c>
      <c r="BN11" s="70">
        <v>0</v>
      </c>
      <c r="BO11" s="67">
        <v>23</v>
      </c>
      <c r="BP11" s="51">
        <v>184000</v>
      </c>
      <c r="BQ11" s="33"/>
      <c r="BR11" s="30"/>
      <c r="BS11" s="2">
        <f t="shared" si="39"/>
        <v>0</v>
      </c>
      <c r="BT11" s="33"/>
      <c r="BU11" s="30">
        <v>5</v>
      </c>
      <c r="BV11" s="2">
        <f t="shared" si="40"/>
        <v>40000</v>
      </c>
      <c r="BW11" s="33"/>
      <c r="BX11" s="30">
        <v>5</v>
      </c>
      <c r="BY11" s="2">
        <f t="shared" si="41"/>
        <v>40000</v>
      </c>
      <c r="BZ11" s="33"/>
      <c r="CA11" s="30">
        <v>5</v>
      </c>
      <c r="CB11" s="2">
        <f t="shared" si="6"/>
        <v>40000</v>
      </c>
      <c r="CC11" s="33"/>
      <c r="CD11" s="30">
        <v>5</v>
      </c>
      <c r="CE11" s="2">
        <f t="shared" si="42"/>
        <v>40000</v>
      </c>
      <c r="CF11" s="33"/>
      <c r="CG11" s="30">
        <v>6</v>
      </c>
      <c r="CH11" s="2">
        <f t="shared" si="43"/>
        <v>48000</v>
      </c>
      <c r="CI11" s="33"/>
      <c r="CJ11" s="30">
        <v>5</v>
      </c>
      <c r="CK11" s="2">
        <f t="shared" si="44"/>
        <v>40000</v>
      </c>
      <c r="CL11" s="70">
        <f t="shared" si="7"/>
        <v>0</v>
      </c>
      <c r="CM11" s="67">
        <v>31</v>
      </c>
      <c r="CN11" s="51">
        <v>248000</v>
      </c>
      <c r="CO11" s="33"/>
      <c r="CP11" s="30"/>
      <c r="CQ11" s="2">
        <f t="shared" si="45"/>
        <v>0</v>
      </c>
      <c r="CR11" s="70">
        <f t="shared" si="10"/>
        <v>0</v>
      </c>
      <c r="CS11" s="67">
        <f t="shared" si="11"/>
        <v>31</v>
      </c>
      <c r="CT11" s="51">
        <f t="shared" si="12"/>
        <v>248000</v>
      </c>
      <c r="CU11" s="33"/>
      <c r="CV11" s="30"/>
      <c r="CW11" s="2">
        <f t="shared" si="46"/>
        <v>0</v>
      </c>
      <c r="CX11" s="33"/>
      <c r="CY11" s="30"/>
      <c r="CZ11" s="2">
        <f t="shared" si="47"/>
        <v>0</v>
      </c>
      <c r="DA11" s="33"/>
      <c r="DB11" s="30"/>
      <c r="DC11" s="2">
        <f t="shared" si="48"/>
        <v>0</v>
      </c>
      <c r="DD11" s="33"/>
      <c r="DE11" s="30"/>
      <c r="DF11" s="2">
        <f t="shared" si="49"/>
        <v>0</v>
      </c>
      <c r="DG11" s="33"/>
      <c r="DH11" s="30"/>
      <c r="DI11" s="2">
        <f t="shared" si="50"/>
        <v>0</v>
      </c>
      <c r="DJ11" s="33"/>
      <c r="DK11" s="30"/>
      <c r="DL11" s="2">
        <f t="shared" si="51"/>
        <v>0</v>
      </c>
      <c r="DM11" s="33"/>
      <c r="DN11" s="30"/>
      <c r="DO11" s="2">
        <f t="shared" si="52"/>
        <v>0</v>
      </c>
      <c r="DP11" s="70">
        <f t="shared" si="13"/>
        <v>0</v>
      </c>
      <c r="DQ11" s="67">
        <f t="shared" si="14"/>
        <v>0</v>
      </c>
      <c r="DR11" s="51">
        <f t="shared" si="15"/>
        <v>0</v>
      </c>
      <c r="DS11" s="52">
        <f t="shared" si="16"/>
        <v>10000</v>
      </c>
      <c r="DT11" s="53">
        <v>64</v>
      </c>
      <c r="DU11" s="54">
        <v>512000</v>
      </c>
    </row>
    <row r="12" spans="1:125" s="26" customFormat="1" ht="17.100000000000001" customHeight="1" thickBot="1" x14ac:dyDescent="0.25">
      <c r="A12" s="93" t="s">
        <v>31</v>
      </c>
      <c r="B12" s="19">
        <v>8000</v>
      </c>
      <c r="C12" s="29"/>
      <c r="D12" s="30"/>
      <c r="E12" s="2">
        <f t="shared" si="19"/>
        <v>0</v>
      </c>
      <c r="F12" s="29"/>
      <c r="G12" s="30"/>
      <c r="H12" s="2">
        <f t="shared" si="20"/>
        <v>0</v>
      </c>
      <c r="I12" s="29"/>
      <c r="J12" s="30"/>
      <c r="K12" s="2">
        <f t="shared" si="21"/>
        <v>0</v>
      </c>
      <c r="L12" s="31"/>
      <c r="M12" s="30"/>
      <c r="N12" s="2">
        <f t="shared" si="22"/>
        <v>0</v>
      </c>
      <c r="O12" s="31"/>
      <c r="P12" s="30"/>
      <c r="Q12" s="2">
        <f t="shared" si="23"/>
        <v>0</v>
      </c>
      <c r="R12" s="31"/>
      <c r="S12" s="30"/>
      <c r="T12" s="2">
        <f t="shared" si="24"/>
        <v>0</v>
      </c>
      <c r="U12" s="33"/>
      <c r="V12" s="30">
        <v>1</v>
      </c>
      <c r="W12" s="2">
        <f t="shared" si="25"/>
        <v>8000</v>
      </c>
      <c r="X12" s="35"/>
      <c r="Y12" s="30">
        <v>1</v>
      </c>
      <c r="Z12" s="2">
        <f t="shared" si="26"/>
        <v>8000</v>
      </c>
      <c r="AA12" s="33"/>
      <c r="AB12" s="30">
        <v>1</v>
      </c>
      <c r="AC12" s="2">
        <f t="shared" si="27"/>
        <v>8000</v>
      </c>
      <c r="AD12" s="33"/>
      <c r="AE12" s="30"/>
      <c r="AF12" s="2">
        <f t="shared" si="28"/>
        <v>0</v>
      </c>
      <c r="AG12" s="33"/>
      <c r="AH12" s="30">
        <v>1</v>
      </c>
      <c r="AI12" s="2">
        <f t="shared" si="29"/>
        <v>8000</v>
      </c>
      <c r="AJ12" s="33"/>
      <c r="AK12" s="30">
        <v>1</v>
      </c>
      <c r="AL12" s="2">
        <f t="shared" si="30"/>
        <v>8000</v>
      </c>
      <c r="AM12" s="33"/>
      <c r="AN12" s="30">
        <v>1</v>
      </c>
      <c r="AO12" s="2">
        <f t="shared" si="31"/>
        <v>8000</v>
      </c>
      <c r="AP12" s="70">
        <f t="shared" si="0"/>
        <v>0</v>
      </c>
      <c r="AQ12" s="67">
        <v>6</v>
      </c>
      <c r="AR12" s="73">
        <v>48000</v>
      </c>
      <c r="AS12" s="33"/>
      <c r="AT12" s="30">
        <v>1</v>
      </c>
      <c r="AU12" s="2">
        <f t="shared" si="32"/>
        <v>8000</v>
      </c>
      <c r="AV12" s="33"/>
      <c r="AW12" s="30"/>
      <c r="AX12" s="2">
        <f t="shared" si="33"/>
        <v>0</v>
      </c>
      <c r="AY12" s="33"/>
      <c r="AZ12" s="30">
        <v>2</v>
      </c>
      <c r="BA12" s="2">
        <f t="shared" si="34"/>
        <v>16000</v>
      </c>
      <c r="BB12" s="33"/>
      <c r="BC12" s="30">
        <v>1</v>
      </c>
      <c r="BD12" s="2">
        <f t="shared" si="35"/>
        <v>8000</v>
      </c>
      <c r="BE12" s="33"/>
      <c r="BF12" s="30"/>
      <c r="BG12" s="2">
        <f t="shared" si="36"/>
        <v>0</v>
      </c>
      <c r="BH12" s="33"/>
      <c r="BI12" s="30">
        <v>1</v>
      </c>
      <c r="BJ12" s="2">
        <f t="shared" si="37"/>
        <v>8000</v>
      </c>
      <c r="BK12" s="33"/>
      <c r="BL12" s="30">
        <v>2</v>
      </c>
      <c r="BM12" s="2">
        <f t="shared" si="38"/>
        <v>16000</v>
      </c>
      <c r="BN12" s="70">
        <v>0</v>
      </c>
      <c r="BO12" s="67">
        <v>7</v>
      </c>
      <c r="BP12" s="51">
        <v>56000</v>
      </c>
      <c r="BQ12" s="33"/>
      <c r="BR12" s="30">
        <v>2</v>
      </c>
      <c r="BS12" s="2">
        <f t="shared" si="39"/>
        <v>16000</v>
      </c>
      <c r="BT12" s="33"/>
      <c r="BU12" s="30">
        <v>1</v>
      </c>
      <c r="BV12" s="2">
        <f t="shared" si="40"/>
        <v>8000</v>
      </c>
      <c r="BW12" s="33"/>
      <c r="BX12" s="30">
        <v>2</v>
      </c>
      <c r="BY12" s="2">
        <f t="shared" si="41"/>
        <v>16000</v>
      </c>
      <c r="BZ12" s="33"/>
      <c r="CA12" s="30">
        <v>2</v>
      </c>
      <c r="CB12" s="2">
        <f t="shared" si="6"/>
        <v>16000</v>
      </c>
      <c r="CC12" s="33"/>
      <c r="CD12" s="30">
        <v>1</v>
      </c>
      <c r="CE12" s="2">
        <f t="shared" si="42"/>
        <v>8000</v>
      </c>
      <c r="CF12" s="33"/>
      <c r="CG12" s="30"/>
      <c r="CH12" s="2">
        <f t="shared" si="43"/>
        <v>0</v>
      </c>
      <c r="CI12" s="33"/>
      <c r="CJ12" s="30">
        <v>1</v>
      </c>
      <c r="CK12" s="2">
        <f t="shared" si="44"/>
        <v>8000</v>
      </c>
      <c r="CL12" s="70">
        <f t="shared" si="7"/>
        <v>0</v>
      </c>
      <c r="CM12" s="67">
        <v>9</v>
      </c>
      <c r="CN12" s="51">
        <v>72000</v>
      </c>
      <c r="CO12" s="33"/>
      <c r="CP12" s="30">
        <v>1</v>
      </c>
      <c r="CQ12" s="2">
        <f t="shared" si="45"/>
        <v>8000</v>
      </c>
      <c r="CR12" s="70">
        <f t="shared" si="10"/>
        <v>0</v>
      </c>
      <c r="CS12" s="67">
        <f t="shared" si="11"/>
        <v>8</v>
      </c>
      <c r="CT12" s="51">
        <f t="shared" si="12"/>
        <v>64000</v>
      </c>
      <c r="CU12" s="33"/>
      <c r="CV12" s="30">
        <v>1</v>
      </c>
      <c r="CW12" s="2">
        <f t="shared" si="46"/>
        <v>8000</v>
      </c>
      <c r="CX12" s="33"/>
      <c r="CY12" s="30">
        <v>1</v>
      </c>
      <c r="CZ12" s="2">
        <f t="shared" si="47"/>
        <v>8000</v>
      </c>
      <c r="DA12" s="33"/>
      <c r="DB12" s="30">
        <v>1</v>
      </c>
      <c r="DC12" s="2">
        <f t="shared" si="48"/>
        <v>8000</v>
      </c>
      <c r="DD12" s="33"/>
      <c r="DE12" s="30">
        <v>2</v>
      </c>
      <c r="DF12" s="2">
        <f t="shared" si="49"/>
        <v>16000</v>
      </c>
      <c r="DG12" s="33"/>
      <c r="DH12" s="30">
        <v>1</v>
      </c>
      <c r="DI12" s="2">
        <f t="shared" si="50"/>
        <v>8000</v>
      </c>
      <c r="DJ12" s="33"/>
      <c r="DK12" s="30"/>
      <c r="DL12" s="2">
        <f t="shared" si="51"/>
        <v>0</v>
      </c>
      <c r="DM12" s="33"/>
      <c r="DN12" s="30"/>
      <c r="DO12" s="2">
        <f t="shared" si="52"/>
        <v>0</v>
      </c>
      <c r="DP12" s="70">
        <f t="shared" si="13"/>
        <v>0</v>
      </c>
      <c r="DQ12" s="67">
        <v>7</v>
      </c>
      <c r="DR12" s="51">
        <v>56000</v>
      </c>
      <c r="DS12" s="52">
        <f t="shared" si="16"/>
        <v>0</v>
      </c>
      <c r="DT12" s="53">
        <v>29</v>
      </c>
      <c r="DU12" s="54">
        <v>232000</v>
      </c>
    </row>
    <row r="13" spans="1:125" s="26" customFormat="1" ht="17.100000000000001" customHeight="1" thickBot="1" x14ac:dyDescent="0.25">
      <c r="A13" s="93" t="s">
        <v>68</v>
      </c>
      <c r="B13" s="19">
        <v>7000</v>
      </c>
      <c r="C13" s="29"/>
      <c r="D13" s="30"/>
      <c r="E13" s="2">
        <f t="shared" si="19"/>
        <v>0</v>
      </c>
      <c r="F13" s="29"/>
      <c r="G13" s="30"/>
      <c r="H13" s="2">
        <f t="shared" si="20"/>
        <v>0</v>
      </c>
      <c r="I13" s="29"/>
      <c r="J13" s="30"/>
      <c r="K13" s="2">
        <f t="shared" si="21"/>
        <v>0</v>
      </c>
      <c r="L13" s="31"/>
      <c r="M13" s="30"/>
      <c r="N13" s="2">
        <f t="shared" si="22"/>
        <v>0</v>
      </c>
      <c r="O13" s="31"/>
      <c r="P13" s="30"/>
      <c r="Q13" s="2">
        <f t="shared" si="23"/>
        <v>0</v>
      </c>
      <c r="R13" s="31"/>
      <c r="S13" s="30"/>
      <c r="T13" s="2">
        <f t="shared" si="24"/>
        <v>0</v>
      </c>
      <c r="U13" s="33"/>
      <c r="V13" s="30"/>
      <c r="W13" s="2">
        <f t="shared" si="25"/>
        <v>0</v>
      </c>
      <c r="X13" s="35"/>
      <c r="Y13" s="30"/>
      <c r="Z13" s="2">
        <f t="shared" si="26"/>
        <v>0</v>
      </c>
      <c r="AA13" s="33"/>
      <c r="AB13" s="30"/>
      <c r="AC13" s="2">
        <f t="shared" si="27"/>
        <v>0</v>
      </c>
      <c r="AD13" s="33">
        <v>10000</v>
      </c>
      <c r="AE13" s="30"/>
      <c r="AF13" s="2">
        <f t="shared" si="28"/>
        <v>0</v>
      </c>
      <c r="AG13" s="33"/>
      <c r="AH13" s="30">
        <v>4</v>
      </c>
      <c r="AI13" s="2">
        <f t="shared" si="29"/>
        <v>28000</v>
      </c>
      <c r="AJ13" s="33"/>
      <c r="AK13" s="30"/>
      <c r="AL13" s="2">
        <f t="shared" si="30"/>
        <v>0</v>
      </c>
      <c r="AM13" s="33"/>
      <c r="AN13" s="30"/>
      <c r="AO13" s="2">
        <f t="shared" si="31"/>
        <v>0</v>
      </c>
      <c r="AP13" s="70">
        <v>10000</v>
      </c>
      <c r="AQ13" s="67">
        <v>4</v>
      </c>
      <c r="AR13" s="73">
        <v>28000</v>
      </c>
      <c r="AS13" s="33"/>
      <c r="AT13" s="30"/>
      <c r="AU13" s="2">
        <f t="shared" si="32"/>
        <v>0</v>
      </c>
      <c r="AV13" s="33"/>
      <c r="AW13" s="30">
        <v>2</v>
      </c>
      <c r="AX13" s="2">
        <f t="shared" si="33"/>
        <v>14000</v>
      </c>
      <c r="AY13" s="33"/>
      <c r="AZ13" s="30"/>
      <c r="BA13" s="2">
        <f t="shared" si="34"/>
        <v>0</v>
      </c>
      <c r="BB13" s="33"/>
      <c r="BC13" s="30">
        <v>1</v>
      </c>
      <c r="BD13" s="2">
        <f t="shared" si="35"/>
        <v>7000</v>
      </c>
      <c r="BE13" s="33"/>
      <c r="BF13" s="30"/>
      <c r="BG13" s="2">
        <f t="shared" si="36"/>
        <v>0</v>
      </c>
      <c r="BH13" s="33"/>
      <c r="BI13" s="30">
        <v>2</v>
      </c>
      <c r="BJ13" s="2">
        <f t="shared" si="37"/>
        <v>14000</v>
      </c>
      <c r="BK13" s="33"/>
      <c r="BL13" s="30"/>
      <c r="BM13" s="2">
        <f t="shared" si="38"/>
        <v>0</v>
      </c>
      <c r="BN13" s="70">
        <v>0</v>
      </c>
      <c r="BO13" s="67">
        <v>5</v>
      </c>
      <c r="BP13" s="51">
        <v>35000</v>
      </c>
      <c r="BQ13" s="33"/>
      <c r="BR13" s="30">
        <v>1</v>
      </c>
      <c r="BS13" s="2">
        <f t="shared" si="39"/>
        <v>7000</v>
      </c>
      <c r="BT13" s="33"/>
      <c r="BU13" s="30"/>
      <c r="BV13" s="2">
        <f t="shared" si="40"/>
        <v>0</v>
      </c>
      <c r="BW13" s="33">
        <v>20000</v>
      </c>
      <c r="BX13" s="30"/>
      <c r="BY13" s="2">
        <f t="shared" si="41"/>
        <v>0</v>
      </c>
      <c r="BZ13" s="33"/>
      <c r="CA13" s="30"/>
      <c r="CB13" s="2">
        <f t="shared" si="6"/>
        <v>0</v>
      </c>
      <c r="CC13" s="33">
        <v>10000</v>
      </c>
      <c r="CD13" s="30"/>
      <c r="CE13" s="2">
        <f t="shared" si="42"/>
        <v>0</v>
      </c>
      <c r="CF13" s="33"/>
      <c r="CG13" s="30"/>
      <c r="CH13" s="2">
        <f t="shared" si="43"/>
        <v>0</v>
      </c>
      <c r="CI13" s="33"/>
      <c r="CJ13" s="30"/>
      <c r="CK13" s="2">
        <f t="shared" si="44"/>
        <v>0</v>
      </c>
      <c r="CL13" s="70">
        <v>30000</v>
      </c>
      <c r="CM13" s="67">
        <v>1</v>
      </c>
      <c r="CN13" s="51">
        <v>7000</v>
      </c>
      <c r="CO13" s="33"/>
      <c r="CP13" s="30"/>
      <c r="CQ13" s="2">
        <f t="shared" si="45"/>
        <v>0</v>
      </c>
      <c r="CR13" s="70">
        <f t="shared" si="10"/>
        <v>30000</v>
      </c>
      <c r="CS13" s="67">
        <f t="shared" si="11"/>
        <v>0</v>
      </c>
      <c r="CT13" s="51">
        <f t="shared" si="12"/>
        <v>0</v>
      </c>
      <c r="CU13" s="33"/>
      <c r="CV13" s="30"/>
      <c r="CW13" s="2">
        <f t="shared" si="46"/>
        <v>0</v>
      </c>
      <c r="CX13" s="33"/>
      <c r="CY13" s="30">
        <v>2</v>
      </c>
      <c r="CZ13" s="2">
        <f t="shared" si="47"/>
        <v>14000</v>
      </c>
      <c r="DA13" s="33"/>
      <c r="DB13" s="30"/>
      <c r="DC13" s="2">
        <f t="shared" si="48"/>
        <v>0</v>
      </c>
      <c r="DD13" s="33"/>
      <c r="DE13" s="30"/>
      <c r="DF13" s="2">
        <f t="shared" si="49"/>
        <v>0</v>
      </c>
      <c r="DG13" s="33"/>
      <c r="DH13" s="30">
        <v>4</v>
      </c>
      <c r="DI13" s="2">
        <f t="shared" si="50"/>
        <v>28000</v>
      </c>
      <c r="DJ13" s="33"/>
      <c r="DK13" s="30"/>
      <c r="DL13" s="2">
        <f t="shared" si="51"/>
        <v>0</v>
      </c>
      <c r="DM13" s="33"/>
      <c r="DN13" s="30"/>
      <c r="DO13" s="2">
        <f t="shared" si="52"/>
        <v>0</v>
      </c>
      <c r="DP13" s="70">
        <f t="shared" si="13"/>
        <v>0</v>
      </c>
      <c r="DQ13" s="67">
        <f t="shared" si="14"/>
        <v>6</v>
      </c>
      <c r="DR13" s="51">
        <f t="shared" si="15"/>
        <v>42000</v>
      </c>
      <c r="DS13" s="52">
        <f t="shared" si="16"/>
        <v>40000</v>
      </c>
      <c r="DT13" s="53">
        <f t="shared" si="17"/>
        <v>16</v>
      </c>
      <c r="DU13" s="54">
        <f t="shared" si="18"/>
        <v>112000</v>
      </c>
    </row>
    <row r="14" spans="1:125" s="26" customFormat="1" ht="17.100000000000001" customHeight="1" thickBot="1" x14ac:dyDescent="0.25">
      <c r="A14" s="93" t="s">
        <v>70</v>
      </c>
      <c r="B14" s="19">
        <v>8000</v>
      </c>
      <c r="C14" s="29"/>
      <c r="D14" s="30"/>
      <c r="E14" s="2">
        <f t="shared" si="19"/>
        <v>0</v>
      </c>
      <c r="F14" s="29"/>
      <c r="G14" s="30"/>
      <c r="H14" s="2">
        <f t="shared" si="20"/>
        <v>0</v>
      </c>
      <c r="I14" s="29"/>
      <c r="J14" s="30"/>
      <c r="K14" s="2">
        <f t="shared" si="21"/>
        <v>0</v>
      </c>
      <c r="L14" s="31"/>
      <c r="M14" s="30"/>
      <c r="N14" s="2">
        <f t="shared" si="22"/>
        <v>0</v>
      </c>
      <c r="O14" s="31"/>
      <c r="P14" s="30"/>
      <c r="Q14" s="2">
        <f t="shared" si="23"/>
        <v>0</v>
      </c>
      <c r="R14" s="31"/>
      <c r="S14" s="30"/>
      <c r="T14" s="2">
        <f t="shared" si="24"/>
        <v>0</v>
      </c>
      <c r="U14" s="33"/>
      <c r="V14" s="30">
        <v>2</v>
      </c>
      <c r="W14" s="2">
        <f t="shared" si="25"/>
        <v>16000</v>
      </c>
      <c r="X14" s="35"/>
      <c r="Y14" s="30">
        <v>2</v>
      </c>
      <c r="Z14" s="2">
        <f t="shared" si="26"/>
        <v>16000</v>
      </c>
      <c r="AA14" s="33"/>
      <c r="AB14" s="30">
        <v>3</v>
      </c>
      <c r="AC14" s="2">
        <f t="shared" si="27"/>
        <v>24000</v>
      </c>
      <c r="AD14" s="33">
        <v>10000</v>
      </c>
      <c r="AE14" s="99">
        <v>2.5</v>
      </c>
      <c r="AF14" s="2">
        <f t="shared" si="28"/>
        <v>20000</v>
      </c>
      <c r="AG14" s="33"/>
      <c r="AH14" s="30">
        <v>5</v>
      </c>
      <c r="AI14" s="2">
        <f t="shared" si="29"/>
        <v>40000</v>
      </c>
      <c r="AJ14" s="33"/>
      <c r="AK14" s="99">
        <v>1.5</v>
      </c>
      <c r="AL14" s="2">
        <f t="shared" si="30"/>
        <v>12000</v>
      </c>
      <c r="AM14" s="33"/>
      <c r="AN14" s="30">
        <v>1</v>
      </c>
      <c r="AO14" s="2">
        <f t="shared" si="31"/>
        <v>8000</v>
      </c>
      <c r="AP14" s="70">
        <v>10000</v>
      </c>
      <c r="AQ14" s="67">
        <v>17</v>
      </c>
      <c r="AR14" s="73">
        <v>136000</v>
      </c>
      <c r="AS14" s="33"/>
      <c r="AT14" s="30">
        <v>1</v>
      </c>
      <c r="AU14" s="2">
        <f t="shared" si="32"/>
        <v>8000</v>
      </c>
      <c r="AV14" s="33"/>
      <c r="AW14" s="30">
        <v>2</v>
      </c>
      <c r="AX14" s="2">
        <f t="shared" si="33"/>
        <v>16000</v>
      </c>
      <c r="AY14" s="33"/>
      <c r="AZ14" s="99">
        <v>1.5</v>
      </c>
      <c r="BA14" s="2">
        <f t="shared" si="34"/>
        <v>12000</v>
      </c>
      <c r="BB14" s="33"/>
      <c r="BC14" s="99">
        <v>2.5</v>
      </c>
      <c r="BD14" s="2">
        <f t="shared" si="35"/>
        <v>20000</v>
      </c>
      <c r="BE14" s="33"/>
      <c r="BF14" s="30">
        <v>4</v>
      </c>
      <c r="BG14" s="2">
        <f t="shared" si="36"/>
        <v>32000</v>
      </c>
      <c r="BH14" s="33"/>
      <c r="BI14" s="30">
        <v>4</v>
      </c>
      <c r="BJ14" s="2">
        <f t="shared" si="37"/>
        <v>32000</v>
      </c>
      <c r="BK14" s="33"/>
      <c r="BL14" s="30">
        <v>3</v>
      </c>
      <c r="BM14" s="2">
        <f t="shared" si="38"/>
        <v>24000</v>
      </c>
      <c r="BN14" s="70">
        <v>0</v>
      </c>
      <c r="BO14" s="67">
        <v>18</v>
      </c>
      <c r="BP14" s="51">
        <v>144000</v>
      </c>
      <c r="BQ14" s="33"/>
      <c r="BR14" s="30"/>
      <c r="BS14" s="2">
        <f t="shared" si="39"/>
        <v>0</v>
      </c>
      <c r="BT14" s="33"/>
      <c r="BU14" s="30">
        <v>4</v>
      </c>
      <c r="BV14" s="2">
        <f t="shared" si="40"/>
        <v>32000</v>
      </c>
      <c r="BW14" s="33"/>
      <c r="BX14" s="30">
        <v>4</v>
      </c>
      <c r="BY14" s="2">
        <f t="shared" si="41"/>
        <v>32000</v>
      </c>
      <c r="BZ14" s="33"/>
      <c r="CA14" s="99">
        <v>3.5</v>
      </c>
      <c r="CB14" s="2">
        <f t="shared" si="6"/>
        <v>28000</v>
      </c>
      <c r="CC14" s="33"/>
      <c r="CD14" s="99">
        <v>4.5</v>
      </c>
      <c r="CE14" s="2">
        <f t="shared" si="42"/>
        <v>36000</v>
      </c>
      <c r="CF14" s="33"/>
      <c r="CG14" s="30">
        <v>5</v>
      </c>
      <c r="CH14" s="2">
        <f t="shared" si="43"/>
        <v>40000</v>
      </c>
      <c r="CI14" s="33"/>
      <c r="CJ14" s="30">
        <v>3</v>
      </c>
      <c r="CK14" s="2">
        <f t="shared" si="44"/>
        <v>24000</v>
      </c>
      <c r="CL14" s="70">
        <f t="shared" ref="CL14" si="53">AV14+AY14+BB14+BE14+BH14+BK14+BQ14</f>
        <v>0</v>
      </c>
      <c r="CM14" s="67">
        <v>24</v>
      </c>
      <c r="CN14" s="51">
        <v>192000</v>
      </c>
      <c r="CO14" s="33"/>
      <c r="CP14" s="30">
        <v>1</v>
      </c>
      <c r="CQ14" s="2">
        <f t="shared" si="45"/>
        <v>8000</v>
      </c>
      <c r="CR14" s="70"/>
      <c r="CS14" s="67"/>
      <c r="CT14" s="51">
        <f t="shared" si="12"/>
        <v>200000</v>
      </c>
      <c r="CU14" s="33"/>
      <c r="CV14" s="30">
        <v>4</v>
      </c>
      <c r="CW14" s="2">
        <f t="shared" si="46"/>
        <v>32000</v>
      </c>
      <c r="CX14" s="33"/>
      <c r="CY14" s="30">
        <v>4</v>
      </c>
      <c r="CZ14" s="2">
        <f t="shared" si="47"/>
        <v>32000</v>
      </c>
      <c r="DA14" s="33"/>
      <c r="DB14" s="30">
        <v>3</v>
      </c>
      <c r="DC14" s="2">
        <f t="shared" si="48"/>
        <v>24000</v>
      </c>
      <c r="DD14" s="33">
        <v>10000</v>
      </c>
      <c r="DE14" s="30">
        <v>1</v>
      </c>
      <c r="DF14" s="2">
        <f t="shared" si="49"/>
        <v>8000</v>
      </c>
      <c r="DG14" s="33"/>
      <c r="DH14" s="99">
        <v>1.5</v>
      </c>
      <c r="DI14" s="2">
        <f t="shared" si="50"/>
        <v>12000</v>
      </c>
      <c r="DJ14" s="33"/>
      <c r="DK14" s="30"/>
      <c r="DL14" s="2">
        <f t="shared" si="51"/>
        <v>0</v>
      </c>
      <c r="DM14" s="33"/>
      <c r="DN14" s="30"/>
      <c r="DO14" s="2">
        <f t="shared" si="52"/>
        <v>0</v>
      </c>
      <c r="DP14" s="70">
        <f t="shared" ref="DP14" si="54">CU14+CX14+DA14+DD14+DG14+DJ14+DM14</f>
        <v>10000</v>
      </c>
      <c r="DQ14" s="100">
        <v>14.5</v>
      </c>
      <c r="DR14" s="51">
        <v>0</v>
      </c>
      <c r="DS14" s="52">
        <f t="shared" ref="DS14" si="55">AP14+BN14+CR14+DP14</f>
        <v>20000</v>
      </c>
      <c r="DT14" s="107">
        <f t="shared" ref="DT14" si="56">AQ14+BO14+CM14+CS14+DQ14</f>
        <v>73.5</v>
      </c>
      <c r="DU14" s="54">
        <v>588000</v>
      </c>
    </row>
    <row r="15" spans="1:125" s="26" customFormat="1" ht="17.100000000000001" customHeight="1" thickBot="1" x14ac:dyDescent="0.25">
      <c r="A15" s="93" t="s">
        <v>64</v>
      </c>
      <c r="B15" s="19">
        <v>7000</v>
      </c>
      <c r="C15" s="29"/>
      <c r="D15" s="30"/>
      <c r="E15" s="2">
        <f t="shared" si="19"/>
        <v>0</v>
      </c>
      <c r="F15" s="29"/>
      <c r="G15" s="30"/>
      <c r="H15" s="2">
        <f t="shared" si="20"/>
        <v>0</v>
      </c>
      <c r="I15" s="29"/>
      <c r="J15" s="30"/>
      <c r="K15" s="2">
        <f t="shared" si="21"/>
        <v>0</v>
      </c>
      <c r="L15" s="31"/>
      <c r="M15" s="30"/>
      <c r="N15" s="2">
        <f t="shared" si="22"/>
        <v>0</v>
      </c>
      <c r="O15" s="31"/>
      <c r="P15" s="30"/>
      <c r="Q15" s="2">
        <f t="shared" si="23"/>
        <v>0</v>
      </c>
      <c r="R15" s="31"/>
      <c r="S15" s="30"/>
      <c r="T15" s="2">
        <f t="shared" si="24"/>
        <v>0</v>
      </c>
      <c r="U15" s="33"/>
      <c r="V15" s="30"/>
      <c r="W15" s="2">
        <f t="shared" si="25"/>
        <v>0</v>
      </c>
      <c r="X15" s="35">
        <v>30000</v>
      </c>
      <c r="Y15" s="30">
        <v>2</v>
      </c>
      <c r="Z15" s="2">
        <f t="shared" si="26"/>
        <v>14000</v>
      </c>
      <c r="AA15" s="33"/>
      <c r="AB15" s="30"/>
      <c r="AC15" s="2">
        <f t="shared" si="27"/>
        <v>0</v>
      </c>
      <c r="AD15" s="33"/>
      <c r="AE15" s="30"/>
      <c r="AF15" s="2">
        <f t="shared" si="28"/>
        <v>0</v>
      </c>
      <c r="AG15" s="33"/>
      <c r="AH15" s="30"/>
      <c r="AI15" s="2">
        <f t="shared" si="29"/>
        <v>0</v>
      </c>
      <c r="AJ15" s="33"/>
      <c r="AK15" s="30"/>
      <c r="AL15" s="2">
        <f t="shared" si="30"/>
        <v>0</v>
      </c>
      <c r="AM15" s="33"/>
      <c r="AN15" s="30"/>
      <c r="AO15" s="2">
        <f t="shared" si="31"/>
        <v>0</v>
      </c>
      <c r="AP15" s="70">
        <v>30000</v>
      </c>
      <c r="AQ15" s="67">
        <v>2</v>
      </c>
      <c r="AR15" s="73">
        <v>14000</v>
      </c>
      <c r="AS15" s="33"/>
      <c r="AT15" s="30"/>
      <c r="AU15" s="2">
        <f t="shared" si="32"/>
        <v>0</v>
      </c>
      <c r="AV15" s="33"/>
      <c r="AW15" s="30"/>
      <c r="AX15" s="2">
        <f t="shared" si="33"/>
        <v>0</v>
      </c>
      <c r="AY15" s="33"/>
      <c r="AZ15" s="30"/>
      <c r="BA15" s="2">
        <f t="shared" si="34"/>
        <v>0</v>
      </c>
      <c r="BB15" s="33"/>
      <c r="BC15" s="30"/>
      <c r="BD15" s="2">
        <f t="shared" si="35"/>
        <v>0</v>
      </c>
      <c r="BE15" s="33"/>
      <c r="BF15" s="30"/>
      <c r="BG15" s="2">
        <f t="shared" si="36"/>
        <v>0</v>
      </c>
      <c r="BH15" s="33"/>
      <c r="BI15" s="30"/>
      <c r="BJ15" s="2">
        <f t="shared" si="37"/>
        <v>0</v>
      </c>
      <c r="BK15" s="33"/>
      <c r="BL15" s="30"/>
      <c r="BM15" s="2">
        <f t="shared" si="38"/>
        <v>0</v>
      </c>
      <c r="BN15" s="70">
        <v>0</v>
      </c>
      <c r="BO15" s="67">
        <v>0</v>
      </c>
      <c r="BP15" s="51">
        <v>0</v>
      </c>
      <c r="BQ15" s="33"/>
      <c r="BR15" s="30"/>
      <c r="BS15" s="2">
        <f t="shared" si="39"/>
        <v>0</v>
      </c>
      <c r="BT15" s="33"/>
      <c r="BU15" s="30"/>
      <c r="BV15" s="2">
        <f t="shared" si="40"/>
        <v>0</v>
      </c>
      <c r="BW15" s="33"/>
      <c r="BX15" s="30"/>
      <c r="BY15" s="2">
        <f t="shared" si="41"/>
        <v>0</v>
      </c>
      <c r="BZ15" s="33"/>
      <c r="CA15" s="30"/>
      <c r="CB15" s="2">
        <f t="shared" si="6"/>
        <v>0</v>
      </c>
      <c r="CC15" s="33"/>
      <c r="CD15" s="30"/>
      <c r="CE15" s="2">
        <f t="shared" si="42"/>
        <v>0</v>
      </c>
      <c r="CF15" s="33"/>
      <c r="CG15" s="30"/>
      <c r="CH15" s="2">
        <f t="shared" si="43"/>
        <v>0</v>
      </c>
      <c r="CI15" s="33"/>
      <c r="CJ15" s="30"/>
      <c r="CK15" s="2">
        <f t="shared" si="44"/>
        <v>0</v>
      </c>
      <c r="CL15" s="70">
        <f t="shared" si="7"/>
        <v>0</v>
      </c>
      <c r="CM15" s="67">
        <f t="shared" si="8"/>
        <v>0</v>
      </c>
      <c r="CN15" s="51">
        <f t="shared" si="9"/>
        <v>0</v>
      </c>
      <c r="CO15" s="33"/>
      <c r="CP15" s="30"/>
      <c r="CQ15" s="2">
        <f t="shared" si="45"/>
        <v>0</v>
      </c>
      <c r="CR15" s="70">
        <f t="shared" si="10"/>
        <v>0</v>
      </c>
      <c r="CS15" s="67">
        <f t="shared" si="11"/>
        <v>0</v>
      </c>
      <c r="CT15" s="51">
        <f t="shared" si="12"/>
        <v>0</v>
      </c>
      <c r="CU15" s="33"/>
      <c r="CV15" s="30"/>
      <c r="CW15" s="2">
        <f t="shared" si="46"/>
        <v>0</v>
      </c>
      <c r="CX15" s="33"/>
      <c r="CY15" s="30"/>
      <c r="CZ15" s="2">
        <f t="shared" si="47"/>
        <v>0</v>
      </c>
      <c r="DA15" s="33"/>
      <c r="DB15" s="30"/>
      <c r="DC15" s="2">
        <f t="shared" si="48"/>
        <v>0</v>
      </c>
      <c r="DD15" s="33"/>
      <c r="DE15" s="30"/>
      <c r="DF15" s="2">
        <f t="shared" si="49"/>
        <v>0</v>
      </c>
      <c r="DG15" s="33"/>
      <c r="DH15" s="30"/>
      <c r="DI15" s="2">
        <f t="shared" si="50"/>
        <v>0</v>
      </c>
      <c r="DJ15" s="33"/>
      <c r="DK15" s="30"/>
      <c r="DL15" s="2">
        <f t="shared" si="51"/>
        <v>0</v>
      </c>
      <c r="DM15" s="33"/>
      <c r="DN15" s="30"/>
      <c r="DO15" s="2">
        <f t="shared" si="52"/>
        <v>0</v>
      </c>
      <c r="DP15" s="70">
        <f t="shared" si="13"/>
        <v>0</v>
      </c>
      <c r="DQ15" s="67">
        <f t="shared" si="14"/>
        <v>0</v>
      </c>
      <c r="DR15" s="51">
        <f t="shared" si="15"/>
        <v>0</v>
      </c>
      <c r="DS15" s="52">
        <f t="shared" si="16"/>
        <v>30000</v>
      </c>
      <c r="DT15" s="53">
        <f t="shared" si="17"/>
        <v>2</v>
      </c>
      <c r="DU15" s="54">
        <f t="shared" si="18"/>
        <v>14000</v>
      </c>
    </row>
    <row r="16" spans="1:125" s="26" customFormat="1" ht="17.100000000000001" customHeight="1" thickBot="1" x14ac:dyDescent="0.25">
      <c r="A16" s="93" t="s">
        <v>58</v>
      </c>
      <c r="B16" s="19">
        <v>7000</v>
      </c>
      <c r="C16" s="29"/>
      <c r="D16" s="30"/>
      <c r="E16" s="2">
        <f t="shared" si="19"/>
        <v>0</v>
      </c>
      <c r="F16" s="29"/>
      <c r="G16" s="30"/>
      <c r="H16" s="2">
        <f t="shared" si="20"/>
        <v>0</v>
      </c>
      <c r="I16" s="29"/>
      <c r="J16" s="30"/>
      <c r="K16" s="2">
        <f t="shared" si="21"/>
        <v>0</v>
      </c>
      <c r="L16" s="31"/>
      <c r="M16" s="30"/>
      <c r="N16" s="2">
        <f t="shared" si="22"/>
        <v>0</v>
      </c>
      <c r="O16" s="31"/>
      <c r="P16" s="30"/>
      <c r="Q16" s="2">
        <f t="shared" si="23"/>
        <v>0</v>
      </c>
      <c r="R16" s="31"/>
      <c r="S16" s="30"/>
      <c r="T16" s="2">
        <f t="shared" si="24"/>
        <v>0</v>
      </c>
      <c r="U16" s="33"/>
      <c r="V16" s="30"/>
      <c r="W16" s="2">
        <f t="shared" si="25"/>
        <v>0</v>
      </c>
      <c r="X16" s="35"/>
      <c r="Y16" s="30"/>
      <c r="Z16" s="2">
        <f t="shared" si="26"/>
        <v>0</v>
      </c>
      <c r="AA16" s="33"/>
      <c r="AB16" s="30"/>
      <c r="AC16" s="2">
        <f t="shared" si="27"/>
        <v>0</v>
      </c>
      <c r="AD16" s="33"/>
      <c r="AE16" s="30"/>
      <c r="AF16" s="2">
        <f t="shared" si="28"/>
        <v>0</v>
      </c>
      <c r="AG16" s="33"/>
      <c r="AH16" s="30"/>
      <c r="AI16" s="2">
        <f t="shared" si="29"/>
        <v>0</v>
      </c>
      <c r="AJ16" s="33"/>
      <c r="AK16" s="30"/>
      <c r="AL16" s="2">
        <f t="shared" si="30"/>
        <v>0</v>
      </c>
      <c r="AM16" s="33"/>
      <c r="AN16" s="30"/>
      <c r="AO16" s="2">
        <f t="shared" si="31"/>
        <v>0</v>
      </c>
      <c r="AP16" s="70">
        <f t="shared" si="0"/>
        <v>0</v>
      </c>
      <c r="AQ16" s="67">
        <f t="shared" si="1"/>
        <v>0</v>
      </c>
      <c r="AR16" s="73">
        <f t="shared" si="2"/>
        <v>0</v>
      </c>
      <c r="AS16" s="33"/>
      <c r="AT16" s="30"/>
      <c r="AU16" s="2">
        <f t="shared" si="32"/>
        <v>0</v>
      </c>
      <c r="AV16" s="33"/>
      <c r="AW16" s="30"/>
      <c r="AX16" s="2">
        <f t="shared" si="33"/>
        <v>0</v>
      </c>
      <c r="AY16" s="33"/>
      <c r="AZ16" s="30"/>
      <c r="BA16" s="2">
        <f t="shared" si="34"/>
        <v>0</v>
      </c>
      <c r="BB16" s="33"/>
      <c r="BC16" s="30"/>
      <c r="BD16" s="2">
        <f t="shared" si="35"/>
        <v>0</v>
      </c>
      <c r="BE16" s="33"/>
      <c r="BF16" s="30"/>
      <c r="BG16" s="2">
        <f t="shared" si="36"/>
        <v>0</v>
      </c>
      <c r="BH16" s="31"/>
      <c r="BI16" s="30"/>
      <c r="BJ16" s="2">
        <f t="shared" si="37"/>
        <v>0</v>
      </c>
      <c r="BK16" s="31"/>
      <c r="BL16" s="30"/>
      <c r="BM16" s="2">
        <f t="shared" si="38"/>
        <v>0</v>
      </c>
      <c r="BN16" s="70">
        <f t="shared" si="3"/>
        <v>0</v>
      </c>
      <c r="BO16" s="67">
        <f t="shared" si="4"/>
        <v>0</v>
      </c>
      <c r="BP16" s="51">
        <f t="shared" si="5"/>
        <v>0</v>
      </c>
      <c r="BQ16" s="31"/>
      <c r="BR16" s="30"/>
      <c r="BS16" s="2">
        <f t="shared" si="39"/>
        <v>0</v>
      </c>
      <c r="BT16" s="31"/>
      <c r="BU16" s="30"/>
      <c r="BV16" s="2">
        <f t="shared" si="40"/>
        <v>0</v>
      </c>
      <c r="BW16" s="31"/>
      <c r="BX16" s="30"/>
      <c r="BY16" s="2">
        <f t="shared" si="41"/>
        <v>0</v>
      </c>
      <c r="BZ16" s="31">
        <v>30000</v>
      </c>
      <c r="CA16" s="30"/>
      <c r="CB16" s="2">
        <f t="shared" si="6"/>
        <v>0</v>
      </c>
      <c r="CC16" s="31"/>
      <c r="CD16" s="30"/>
      <c r="CE16" s="2">
        <f t="shared" si="42"/>
        <v>0</v>
      </c>
      <c r="CF16" s="31"/>
      <c r="CG16" s="30">
        <v>2</v>
      </c>
      <c r="CH16" s="2">
        <f t="shared" si="43"/>
        <v>14000</v>
      </c>
      <c r="CI16" s="31"/>
      <c r="CJ16" s="30"/>
      <c r="CK16" s="2">
        <f t="shared" si="44"/>
        <v>0</v>
      </c>
      <c r="CL16" s="70">
        <v>30000</v>
      </c>
      <c r="CM16" s="67">
        <v>2</v>
      </c>
      <c r="CN16" s="51">
        <v>14000</v>
      </c>
      <c r="CO16" s="31"/>
      <c r="CP16" s="30"/>
      <c r="CQ16" s="2">
        <f t="shared" si="45"/>
        <v>0</v>
      </c>
      <c r="CR16" s="127">
        <f t="shared" si="10"/>
        <v>30000</v>
      </c>
      <c r="CS16" s="67">
        <f t="shared" si="11"/>
        <v>2</v>
      </c>
      <c r="CT16" s="51">
        <f t="shared" si="12"/>
        <v>14000</v>
      </c>
      <c r="CU16" s="31"/>
      <c r="CV16" s="30"/>
      <c r="CW16" s="2">
        <f t="shared" si="46"/>
        <v>0</v>
      </c>
      <c r="CX16" s="31"/>
      <c r="CY16" s="30"/>
      <c r="CZ16" s="2">
        <f t="shared" si="47"/>
        <v>0</v>
      </c>
      <c r="DA16" s="31">
        <v>40000</v>
      </c>
      <c r="DB16" s="30"/>
      <c r="DC16" s="2">
        <f t="shared" si="48"/>
        <v>0</v>
      </c>
      <c r="DD16" s="31"/>
      <c r="DE16" s="30"/>
      <c r="DF16" s="2">
        <f t="shared" si="49"/>
        <v>0</v>
      </c>
      <c r="DG16" s="31"/>
      <c r="DH16" s="30"/>
      <c r="DI16" s="2">
        <f t="shared" si="50"/>
        <v>0</v>
      </c>
      <c r="DJ16" s="31"/>
      <c r="DK16" s="30"/>
      <c r="DL16" s="2">
        <f t="shared" si="51"/>
        <v>0</v>
      </c>
      <c r="DM16" s="31"/>
      <c r="DN16" s="125"/>
      <c r="DO16" s="126">
        <f t="shared" si="52"/>
        <v>0</v>
      </c>
      <c r="DP16" s="127">
        <f t="shared" si="13"/>
        <v>40000</v>
      </c>
      <c r="DQ16" s="67">
        <f t="shared" si="14"/>
        <v>0</v>
      </c>
      <c r="DR16" s="51">
        <f t="shared" si="15"/>
        <v>0</v>
      </c>
      <c r="DS16" s="52">
        <f t="shared" si="16"/>
        <v>70000</v>
      </c>
      <c r="DT16" s="53">
        <v>2</v>
      </c>
      <c r="DU16" s="54">
        <v>14000</v>
      </c>
    </row>
    <row r="17" spans="1:125" s="26" customFormat="1" ht="17.100000000000001" customHeight="1" thickBot="1" x14ac:dyDescent="0.25">
      <c r="A17" s="93" t="s">
        <v>32</v>
      </c>
      <c r="B17" s="19">
        <v>8000</v>
      </c>
      <c r="C17" s="29"/>
      <c r="D17" s="30"/>
      <c r="E17" s="2">
        <f t="shared" si="19"/>
        <v>0</v>
      </c>
      <c r="F17" s="29"/>
      <c r="G17" s="30"/>
      <c r="H17" s="2">
        <f t="shared" si="20"/>
        <v>0</v>
      </c>
      <c r="I17" s="29"/>
      <c r="J17" s="30"/>
      <c r="K17" s="2">
        <f t="shared" si="21"/>
        <v>0</v>
      </c>
      <c r="L17" s="31"/>
      <c r="M17" s="30"/>
      <c r="N17" s="2">
        <f t="shared" si="22"/>
        <v>0</v>
      </c>
      <c r="O17" s="31"/>
      <c r="P17" s="30"/>
      <c r="Q17" s="2">
        <f t="shared" si="23"/>
        <v>0</v>
      </c>
      <c r="R17" s="31"/>
      <c r="S17" s="30"/>
      <c r="T17" s="2">
        <f t="shared" si="24"/>
        <v>0</v>
      </c>
      <c r="U17" s="33"/>
      <c r="V17" s="30">
        <v>5</v>
      </c>
      <c r="W17" s="2">
        <f t="shared" si="25"/>
        <v>40000</v>
      </c>
      <c r="X17" s="35"/>
      <c r="Y17" s="30"/>
      <c r="Z17" s="2">
        <f t="shared" si="26"/>
        <v>0</v>
      </c>
      <c r="AA17" s="33"/>
      <c r="AB17" s="30">
        <v>5</v>
      </c>
      <c r="AC17" s="2">
        <f t="shared" si="27"/>
        <v>40000</v>
      </c>
      <c r="AD17" s="33"/>
      <c r="AE17" s="30">
        <v>4</v>
      </c>
      <c r="AF17" s="2">
        <f t="shared" si="28"/>
        <v>32000</v>
      </c>
      <c r="AG17" s="33"/>
      <c r="AH17" s="30">
        <v>5</v>
      </c>
      <c r="AI17" s="2">
        <f t="shared" si="29"/>
        <v>40000</v>
      </c>
      <c r="AJ17" s="33"/>
      <c r="AK17" s="30"/>
      <c r="AL17" s="2">
        <f t="shared" si="30"/>
        <v>0</v>
      </c>
      <c r="AM17" s="33"/>
      <c r="AN17" s="30"/>
      <c r="AO17" s="2">
        <f t="shared" si="31"/>
        <v>0</v>
      </c>
      <c r="AP17" s="70">
        <f t="shared" si="0"/>
        <v>0</v>
      </c>
      <c r="AQ17" s="67">
        <v>19</v>
      </c>
      <c r="AR17" s="73">
        <v>152000</v>
      </c>
      <c r="AS17" s="33"/>
      <c r="AT17" s="30">
        <v>4</v>
      </c>
      <c r="AU17" s="2">
        <f t="shared" si="32"/>
        <v>32000</v>
      </c>
      <c r="AV17" s="33"/>
      <c r="AW17" s="30"/>
      <c r="AX17" s="2">
        <f t="shared" si="33"/>
        <v>0</v>
      </c>
      <c r="AY17" s="33"/>
      <c r="AZ17" s="30">
        <v>5</v>
      </c>
      <c r="BA17" s="2">
        <f t="shared" si="34"/>
        <v>40000</v>
      </c>
      <c r="BB17" s="33"/>
      <c r="BC17" s="30">
        <v>5</v>
      </c>
      <c r="BD17" s="2">
        <f t="shared" si="35"/>
        <v>40000</v>
      </c>
      <c r="BE17" s="33"/>
      <c r="BF17" s="30">
        <v>5</v>
      </c>
      <c r="BG17" s="2">
        <f t="shared" si="36"/>
        <v>40000</v>
      </c>
      <c r="BH17" s="33"/>
      <c r="BI17" s="30">
        <v>5</v>
      </c>
      <c r="BJ17" s="2">
        <f t="shared" si="37"/>
        <v>40000</v>
      </c>
      <c r="BK17" s="33"/>
      <c r="BL17" s="30">
        <v>5</v>
      </c>
      <c r="BM17" s="2">
        <f t="shared" si="38"/>
        <v>40000</v>
      </c>
      <c r="BN17" s="70">
        <f t="shared" si="3"/>
        <v>0</v>
      </c>
      <c r="BO17" s="67">
        <v>29</v>
      </c>
      <c r="BP17" s="51">
        <v>232000</v>
      </c>
      <c r="BQ17" s="33"/>
      <c r="BR17" s="30">
        <v>5</v>
      </c>
      <c r="BS17" s="2">
        <f t="shared" si="39"/>
        <v>40000</v>
      </c>
      <c r="BT17" s="33"/>
      <c r="BU17" s="30">
        <v>5</v>
      </c>
      <c r="BV17" s="2">
        <f t="shared" si="40"/>
        <v>40000</v>
      </c>
      <c r="BW17" s="33"/>
      <c r="BX17" s="30">
        <v>5</v>
      </c>
      <c r="BY17" s="2">
        <f t="shared" si="41"/>
        <v>40000</v>
      </c>
      <c r="BZ17" s="33"/>
      <c r="CA17" s="99">
        <v>2.5</v>
      </c>
      <c r="CB17" s="2">
        <f t="shared" si="6"/>
        <v>20000</v>
      </c>
      <c r="CC17" s="33"/>
      <c r="CD17" s="30">
        <v>5</v>
      </c>
      <c r="CE17" s="2">
        <f t="shared" si="42"/>
        <v>40000</v>
      </c>
      <c r="CF17" s="33"/>
      <c r="CG17" s="30">
        <v>6</v>
      </c>
      <c r="CH17" s="2">
        <f t="shared" si="43"/>
        <v>48000</v>
      </c>
      <c r="CI17" s="33"/>
      <c r="CJ17" s="30">
        <v>5</v>
      </c>
      <c r="CK17" s="2">
        <f t="shared" si="44"/>
        <v>40000</v>
      </c>
      <c r="CL17" s="70">
        <f t="shared" si="7"/>
        <v>0</v>
      </c>
      <c r="CM17" s="100">
        <v>33.5</v>
      </c>
      <c r="CN17" s="51">
        <v>268000</v>
      </c>
      <c r="CO17" s="33"/>
      <c r="CP17" s="30">
        <v>5</v>
      </c>
      <c r="CQ17" s="2">
        <f t="shared" si="45"/>
        <v>40000</v>
      </c>
      <c r="CR17" s="70">
        <f t="shared" si="10"/>
        <v>0</v>
      </c>
      <c r="CS17" s="67">
        <f t="shared" si="11"/>
        <v>33.5</v>
      </c>
      <c r="CT17" s="51">
        <f t="shared" si="12"/>
        <v>268000</v>
      </c>
      <c r="CU17" s="33"/>
      <c r="CV17" s="30">
        <v>5</v>
      </c>
      <c r="CW17" s="2">
        <f t="shared" si="46"/>
        <v>40000</v>
      </c>
      <c r="CX17" s="33"/>
      <c r="CY17" s="30">
        <v>5</v>
      </c>
      <c r="CZ17" s="2">
        <f t="shared" si="47"/>
        <v>40000</v>
      </c>
      <c r="DA17" s="33"/>
      <c r="DB17" s="30">
        <v>5</v>
      </c>
      <c r="DC17" s="2">
        <f t="shared" si="48"/>
        <v>40000</v>
      </c>
      <c r="DD17" s="33"/>
      <c r="DE17" s="30">
        <v>5</v>
      </c>
      <c r="DF17" s="2">
        <f t="shared" si="49"/>
        <v>40000</v>
      </c>
      <c r="DG17" s="33"/>
      <c r="DH17" s="30">
        <v>4</v>
      </c>
      <c r="DI17" s="2">
        <f t="shared" si="50"/>
        <v>32000</v>
      </c>
      <c r="DJ17" s="33"/>
      <c r="DK17" s="30"/>
      <c r="DL17" s="2">
        <f t="shared" si="51"/>
        <v>0</v>
      </c>
      <c r="DM17" s="33"/>
      <c r="DN17" s="30"/>
      <c r="DO17" s="2">
        <f t="shared" si="52"/>
        <v>0</v>
      </c>
      <c r="DP17" s="70">
        <f t="shared" si="13"/>
        <v>0</v>
      </c>
      <c r="DQ17" s="67">
        <v>29</v>
      </c>
      <c r="DR17" s="51">
        <v>232000</v>
      </c>
      <c r="DS17" s="52">
        <f t="shared" si="16"/>
        <v>0</v>
      </c>
      <c r="DT17" s="53">
        <v>110</v>
      </c>
      <c r="DU17" s="54">
        <v>884000</v>
      </c>
    </row>
    <row r="18" spans="1:125" s="26" customFormat="1" ht="17.100000000000001" customHeight="1" thickBot="1" x14ac:dyDescent="0.25">
      <c r="A18" s="93" t="s">
        <v>36</v>
      </c>
      <c r="B18" s="19">
        <v>8000</v>
      </c>
      <c r="C18" s="29"/>
      <c r="D18" s="30"/>
      <c r="E18" s="2">
        <f t="shared" si="19"/>
        <v>0</v>
      </c>
      <c r="F18" s="29"/>
      <c r="G18" s="30"/>
      <c r="H18" s="2">
        <f t="shared" si="20"/>
        <v>0</v>
      </c>
      <c r="I18" s="29"/>
      <c r="J18" s="30"/>
      <c r="K18" s="2">
        <f t="shared" si="21"/>
        <v>0</v>
      </c>
      <c r="L18" s="31"/>
      <c r="M18" s="30"/>
      <c r="N18" s="2">
        <f t="shared" si="22"/>
        <v>0</v>
      </c>
      <c r="O18" s="31"/>
      <c r="P18" s="30"/>
      <c r="Q18" s="2">
        <f t="shared" si="23"/>
        <v>0</v>
      </c>
      <c r="R18" s="31"/>
      <c r="S18" s="30"/>
      <c r="T18" s="2">
        <f t="shared" si="24"/>
        <v>0</v>
      </c>
      <c r="U18" s="33"/>
      <c r="V18" s="30"/>
      <c r="W18" s="2">
        <f t="shared" si="25"/>
        <v>0</v>
      </c>
      <c r="X18" s="35"/>
      <c r="Y18" s="30"/>
      <c r="Z18" s="2">
        <f t="shared" si="26"/>
        <v>0</v>
      </c>
      <c r="AA18" s="33"/>
      <c r="AB18" s="30"/>
      <c r="AC18" s="2">
        <f t="shared" si="27"/>
        <v>0</v>
      </c>
      <c r="AD18" s="33"/>
      <c r="AE18" s="30"/>
      <c r="AF18" s="2">
        <f t="shared" si="28"/>
        <v>0</v>
      </c>
      <c r="AG18" s="33"/>
      <c r="AH18" s="30"/>
      <c r="AI18" s="2">
        <f t="shared" si="29"/>
        <v>0</v>
      </c>
      <c r="AJ18" s="33"/>
      <c r="AK18" s="30"/>
      <c r="AL18" s="2">
        <f t="shared" si="30"/>
        <v>0</v>
      </c>
      <c r="AM18" s="33"/>
      <c r="AN18" s="30">
        <v>2</v>
      </c>
      <c r="AO18" s="2">
        <f t="shared" si="31"/>
        <v>16000</v>
      </c>
      <c r="AP18" s="70">
        <f t="shared" si="0"/>
        <v>0</v>
      </c>
      <c r="AQ18" s="67">
        <v>2</v>
      </c>
      <c r="AR18" s="73">
        <v>16000</v>
      </c>
      <c r="AS18" s="33"/>
      <c r="AT18" s="30"/>
      <c r="AU18" s="2">
        <f t="shared" si="32"/>
        <v>0</v>
      </c>
      <c r="AV18" s="33"/>
      <c r="AW18" s="30"/>
      <c r="AX18" s="2">
        <f t="shared" si="33"/>
        <v>0</v>
      </c>
      <c r="AY18" s="33"/>
      <c r="AZ18" s="30"/>
      <c r="BA18" s="2">
        <f t="shared" si="34"/>
        <v>0</v>
      </c>
      <c r="BB18" s="33"/>
      <c r="BC18" s="30"/>
      <c r="BD18" s="2">
        <f t="shared" si="35"/>
        <v>0</v>
      </c>
      <c r="BE18" s="33"/>
      <c r="BF18" s="30"/>
      <c r="BG18" s="2">
        <f t="shared" si="36"/>
        <v>0</v>
      </c>
      <c r="BH18" s="33"/>
      <c r="BI18" s="30"/>
      <c r="BJ18" s="2">
        <f t="shared" si="37"/>
        <v>0</v>
      </c>
      <c r="BK18" s="33"/>
      <c r="BL18" s="30"/>
      <c r="BM18" s="2">
        <f t="shared" si="38"/>
        <v>0</v>
      </c>
      <c r="BN18" s="70">
        <f t="shared" si="3"/>
        <v>0</v>
      </c>
      <c r="BO18" s="67">
        <v>0</v>
      </c>
      <c r="BP18" s="51">
        <v>0</v>
      </c>
      <c r="BQ18" s="33"/>
      <c r="BR18" s="30"/>
      <c r="BS18" s="2">
        <f t="shared" si="39"/>
        <v>0</v>
      </c>
      <c r="BT18" s="33"/>
      <c r="BU18" s="30"/>
      <c r="BV18" s="2">
        <f t="shared" si="40"/>
        <v>0</v>
      </c>
      <c r="BW18" s="33"/>
      <c r="BX18" s="30"/>
      <c r="BY18" s="2">
        <f t="shared" si="41"/>
        <v>0</v>
      </c>
      <c r="BZ18" s="33"/>
      <c r="CA18" s="99"/>
      <c r="CB18" s="2">
        <f t="shared" si="6"/>
        <v>0</v>
      </c>
      <c r="CC18" s="33"/>
      <c r="CD18" s="30"/>
      <c r="CE18" s="2">
        <f t="shared" si="42"/>
        <v>0</v>
      </c>
      <c r="CF18" s="33"/>
      <c r="CG18" s="30"/>
      <c r="CH18" s="2">
        <f t="shared" si="43"/>
        <v>0</v>
      </c>
      <c r="CI18" s="33"/>
      <c r="CJ18" s="30"/>
      <c r="CK18" s="2">
        <f t="shared" si="44"/>
        <v>0</v>
      </c>
      <c r="CL18" s="70">
        <f t="shared" si="7"/>
        <v>0</v>
      </c>
      <c r="CM18" s="67">
        <f t="shared" si="8"/>
        <v>0</v>
      </c>
      <c r="CN18" s="51">
        <f t="shared" si="9"/>
        <v>0</v>
      </c>
      <c r="CO18" s="33"/>
      <c r="CP18" s="30"/>
      <c r="CQ18" s="2">
        <f t="shared" si="45"/>
        <v>0</v>
      </c>
      <c r="CR18" s="70">
        <f t="shared" si="10"/>
        <v>0</v>
      </c>
      <c r="CS18" s="67">
        <f t="shared" si="11"/>
        <v>0</v>
      </c>
      <c r="CT18" s="51">
        <f t="shared" si="12"/>
        <v>0</v>
      </c>
      <c r="CU18" s="33"/>
      <c r="CV18" s="30"/>
      <c r="CW18" s="2">
        <f t="shared" si="46"/>
        <v>0</v>
      </c>
      <c r="CX18" s="33"/>
      <c r="CY18" s="30"/>
      <c r="CZ18" s="2">
        <f t="shared" si="47"/>
        <v>0</v>
      </c>
      <c r="DA18" s="33"/>
      <c r="DB18" s="30"/>
      <c r="DC18" s="2">
        <f t="shared" si="48"/>
        <v>0</v>
      </c>
      <c r="DD18" s="33"/>
      <c r="DE18" s="30"/>
      <c r="DF18" s="2">
        <f t="shared" si="49"/>
        <v>0</v>
      </c>
      <c r="DG18" s="33"/>
      <c r="DH18" s="30"/>
      <c r="DI18" s="2">
        <f t="shared" si="50"/>
        <v>0</v>
      </c>
      <c r="DJ18" s="33"/>
      <c r="DK18" s="30"/>
      <c r="DL18" s="2">
        <f t="shared" si="51"/>
        <v>0</v>
      </c>
      <c r="DM18" s="33"/>
      <c r="DN18" s="30"/>
      <c r="DO18" s="2">
        <f t="shared" si="52"/>
        <v>0</v>
      </c>
      <c r="DP18" s="70">
        <f t="shared" si="13"/>
        <v>0</v>
      </c>
      <c r="DQ18" s="67">
        <f t="shared" si="14"/>
        <v>0</v>
      </c>
      <c r="DR18" s="51">
        <f t="shared" si="15"/>
        <v>0</v>
      </c>
      <c r="DS18" s="52">
        <f t="shared" si="16"/>
        <v>0</v>
      </c>
      <c r="DT18" s="53">
        <f t="shared" si="17"/>
        <v>2</v>
      </c>
      <c r="DU18" s="54">
        <f t="shared" si="18"/>
        <v>16000</v>
      </c>
    </row>
    <row r="19" spans="1:125" s="26" customFormat="1" ht="17.100000000000001" customHeight="1" thickBot="1" x14ac:dyDescent="0.25">
      <c r="A19" s="93" t="s">
        <v>33</v>
      </c>
      <c r="B19" s="19">
        <v>8000</v>
      </c>
      <c r="C19" s="29"/>
      <c r="D19" s="30"/>
      <c r="E19" s="2">
        <f t="shared" si="19"/>
        <v>0</v>
      </c>
      <c r="F19" s="29"/>
      <c r="G19" s="30"/>
      <c r="H19" s="2">
        <f t="shared" si="20"/>
        <v>0</v>
      </c>
      <c r="I19" s="29"/>
      <c r="J19" s="30"/>
      <c r="K19" s="2">
        <f t="shared" si="21"/>
        <v>0</v>
      </c>
      <c r="L19" s="31"/>
      <c r="M19" s="30"/>
      <c r="N19" s="2">
        <f t="shared" si="22"/>
        <v>0</v>
      </c>
      <c r="O19" s="31"/>
      <c r="P19" s="30"/>
      <c r="Q19" s="2">
        <f t="shared" si="23"/>
        <v>0</v>
      </c>
      <c r="R19" s="31"/>
      <c r="S19" s="30"/>
      <c r="T19" s="2">
        <f t="shared" si="24"/>
        <v>0</v>
      </c>
      <c r="U19" s="33"/>
      <c r="V19" s="30"/>
      <c r="W19" s="2">
        <f t="shared" si="25"/>
        <v>0</v>
      </c>
      <c r="X19" s="35"/>
      <c r="Y19" s="30"/>
      <c r="Z19" s="2">
        <f t="shared" si="26"/>
        <v>0</v>
      </c>
      <c r="AA19" s="33"/>
      <c r="AB19" s="99"/>
      <c r="AC19" s="2">
        <f t="shared" si="27"/>
        <v>0</v>
      </c>
      <c r="AD19" s="33"/>
      <c r="AE19" s="30"/>
      <c r="AF19" s="2">
        <f t="shared" si="28"/>
        <v>0</v>
      </c>
      <c r="AG19" s="33"/>
      <c r="AH19" s="30"/>
      <c r="AI19" s="2">
        <f t="shared" si="29"/>
        <v>0</v>
      </c>
      <c r="AJ19" s="33"/>
      <c r="AK19" s="30"/>
      <c r="AL19" s="2">
        <f t="shared" si="30"/>
        <v>0</v>
      </c>
      <c r="AM19" s="33"/>
      <c r="AN19" s="30"/>
      <c r="AO19" s="2">
        <f t="shared" si="31"/>
        <v>0</v>
      </c>
      <c r="AP19" s="70">
        <f t="shared" si="0"/>
        <v>0</v>
      </c>
      <c r="AQ19" s="67">
        <f t="shared" si="1"/>
        <v>0</v>
      </c>
      <c r="AR19" s="73">
        <f t="shared" si="2"/>
        <v>0</v>
      </c>
      <c r="AS19" s="33"/>
      <c r="AT19" s="30"/>
      <c r="AU19" s="2">
        <f t="shared" si="32"/>
        <v>0</v>
      </c>
      <c r="AV19" s="33"/>
      <c r="AW19" s="30"/>
      <c r="AX19" s="2">
        <f t="shared" si="33"/>
        <v>0</v>
      </c>
      <c r="AY19" s="33"/>
      <c r="AZ19" s="30"/>
      <c r="BA19" s="2">
        <f t="shared" si="34"/>
        <v>0</v>
      </c>
      <c r="BB19" s="33"/>
      <c r="BC19" s="30"/>
      <c r="BD19" s="2">
        <f t="shared" si="35"/>
        <v>0</v>
      </c>
      <c r="BE19" s="33"/>
      <c r="BF19" s="30"/>
      <c r="BG19" s="2">
        <f t="shared" si="36"/>
        <v>0</v>
      </c>
      <c r="BH19" s="33"/>
      <c r="BI19" s="30"/>
      <c r="BJ19" s="2">
        <f t="shared" si="37"/>
        <v>0</v>
      </c>
      <c r="BK19" s="33"/>
      <c r="BL19" s="30"/>
      <c r="BM19" s="2">
        <f t="shared" si="38"/>
        <v>0</v>
      </c>
      <c r="BN19" s="70">
        <f t="shared" si="3"/>
        <v>0</v>
      </c>
      <c r="BO19" s="67">
        <f t="shared" si="4"/>
        <v>0</v>
      </c>
      <c r="BP19" s="51">
        <f t="shared" si="5"/>
        <v>0</v>
      </c>
      <c r="BQ19" s="33"/>
      <c r="BR19" s="30"/>
      <c r="BS19" s="2">
        <f t="shared" si="39"/>
        <v>0</v>
      </c>
      <c r="BT19" s="33"/>
      <c r="BU19" s="30"/>
      <c r="BV19" s="2">
        <f t="shared" si="40"/>
        <v>0</v>
      </c>
      <c r="BW19" s="33"/>
      <c r="BX19" s="30"/>
      <c r="BY19" s="2">
        <f t="shared" si="41"/>
        <v>0</v>
      </c>
      <c r="BZ19" s="33"/>
      <c r="CA19" s="30"/>
      <c r="CB19" s="2">
        <f t="shared" si="6"/>
        <v>0</v>
      </c>
      <c r="CC19" s="33"/>
      <c r="CD19" s="30"/>
      <c r="CE19" s="2">
        <f t="shared" si="42"/>
        <v>0</v>
      </c>
      <c r="CF19" s="33"/>
      <c r="CG19" s="30"/>
      <c r="CH19" s="2">
        <f t="shared" si="43"/>
        <v>0</v>
      </c>
      <c r="CI19" s="33"/>
      <c r="CJ19" s="30"/>
      <c r="CK19" s="2">
        <f t="shared" si="44"/>
        <v>0</v>
      </c>
      <c r="CL19" s="70">
        <f t="shared" si="7"/>
        <v>0</v>
      </c>
      <c r="CM19" s="67">
        <f t="shared" si="8"/>
        <v>0</v>
      </c>
      <c r="CN19" s="51">
        <f t="shared" si="9"/>
        <v>0</v>
      </c>
      <c r="CO19" s="33"/>
      <c r="CP19" s="30"/>
      <c r="CQ19" s="2">
        <f t="shared" si="45"/>
        <v>0</v>
      </c>
      <c r="CR19" s="70">
        <f t="shared" si="10"/>
        <v>0</v>
      </c>
      <c r="CS19" s="67">
        <f t="shared" si="11"/>
        <v>0</v>
      </c>
      <c r="CT19" s="51">
        <f t="shared" si="12"/>
        <v>0</v>
      </c>
      <c r="CU19" s="33"/>
      <c r="CV19" s="30"/>
      <c r="CW19" s="2">
        <f t="shared" si="46"/>
        <v>0</v>
      </c>
      <c r="CX19" s="33"/>
      <c r="CY19" s="30"/>
      <c r="CZ19" s="2">
        <f t="shared" si="47"/>
        <v>0</v>
      </c>
      <c r="DA19" s="33"/>
      <c r="DB19" s="30"/>
      <c r="DC19" s="2">
        <f t="shared" si="48"/>
        <v>0</v>
      </c>
      <c r="DD19" s="33"/>
      <c r="DE19" s="30"/>
      <c r="DF19" s="2">
        <f t="shared" si="49"/>
        <v>0</v>
      </c>
      <c r="DG19" s="33"/>
      <c r="DH19" s="99"/>
      <c r="DI19" s="2">
        <f t="shared" si="50"/>
        <v>0</v>
      </c>
      <c r="DJ19" s="33"/>
      <c r="DK19" s="30"/>
      <c r="DL19" s="2">
        <f t="shared" si="51"/>
        <v>0</v>
      </c>
      <c r="DM19" s="33"/>
      <c r="DN19" s="30"/>
      <c r="DO19" s="2">
        <f t="shared" si="52"/>
        <v>0</v>
      </c>
      <c r="DP19" s="70">
        <f t="shared" si="13"/>
        <v>0</v>
      </c>
      <c r="DQ19" s="67">
        <f t="shared" si="14"/>
        <v>0</v>
      </c>
      <c r="DR19" s="51">
        <f t="shared" si="15"/>
        <v>0</v>
      </c>
      <c r="DS19" s="52">
        <f t="shared" si="16"/>
        <v>0</v>
      </c>
      <c r="DT19" s="53">
        <f t="shared" si="17"/>
        <v>0</v>
      </c>
      <c r="DU19" s="54">
        <f t="shared" si="18"/>
        <v>0</v>
      </c>
    </row>
    <row r="20" spans="1:125" s="26" customFormat="1" ht="17.100000000000001" customHeight="1" thickBot="1" x14ac:dyDescent="0.25">
      <c r="A20" s="93" t="s">
        <v>66</v>
      </c>
      <c r="B20" s="19">
        <v>7000</v>
      </c>
      <c r="C20" s="29"/>
      <c r="D20" s="30"/>
      <c r="E20" s="2">
        <f t="shared" si="19"/>
        <v>0</v>
      </c>
      <c r="F20" s="29"/>
      <c r="G20" s="30"/>
      <c r="H20" s="2">
        <f t="shared" si="20"/>
        <v>0</v>
      </c>
      <c r="I20" s="29"/>
      <c r="J20" s="30"/>
      <c r="K20" s="2">
        <f t="shared" si="21"/>
        <v>0</v>
      </c>
      <c r="L20" s="31"/>
      <c r="M20" s="30"/>
      <c r="N20" s="2">
        <f t="shared" si="22"/>
        <v>0</v>
      </c>
      <c r="O20" s="31"/>
      <c r="P20" s="30"/>
      <c r="Q20" s="2">
        <f t="shared" si="23"/>
        <v>0</v>
      </c>
      <c r="R20" s="31"/>
      <c r="S20" s="30"/>
      <c r="T20" s="2">
        <f t="shared" si="24"/>
        <v>0</v>
      </c>
      <c r="U20" s="31"/>
      <c r="V20" s="30"/>
      <c r="W20" s="2">
        <f t="shared" si="25"/>
        <v>0</v>
      </c>
      <c r="X20" s="35"/>
      <c r="Y20" s="30"/>
      <c r="Z20" s="2">
        <f t="shared" si="26"/>
        <v>0</v>
      </c>
      <c r="AA20" s="33"/>
      <c r="AB20" s="99"/>
      <c r="AC20" s="2">
        <f t="shared" si="27"/>
        <v>0</v>
      </c>
      <c r="AD20" s="33"/>
      <c r="AE20" s="30"/>
      <c r="AF20" s="2">
        <f t="shared" si="28"/>
        <v>0</v>
      </c>
      <c r="AG20" s="33"/>
      <c r="AH20" s="30"/>
      <c r="AI20" s="2">
        <f t="shared" si="29"/>
        <v>0</v>
      </c>
      <c r="AJ20" s="33"/>
      <c r="AK20" s="30"/>
      <c r="AL20" s="2">
        <f t="shared" si="30"/>
        <v>0</v>
      </c>
      <c r="AM20" s="33"/>
      <c r="AN20" s="30">
        <v>4</v>
      </c>
      <c r="AO20" s="2">
        <f t="shared" si="31"/>
        <v>28000</v>
      </c>
      <c r="AP20" s="70">
        <f t="shared" si="0"/>
        <v>0</v>
      </c>
      <c r="AQ20" s="67">
        <v>4</v>
      </c>
      <c r="AR20" s="73">
        <v>28000</v>
      </c>
      <c r="AS20" s="33"/>
      <c r="AT20" s="30"/>
      <c r="AU20" s="2">
        <f t="shared" si="32"/>
        <v>0</v>
      </c>
      <c r="AV20" s="33"/>
      <c r="AW20" s="30"/>
      <c r="AX20" s="2">
        <f t="shared" si="33"/>
        <v>0</v>
      </c>
      <c r="AY20" s="33"/>
      <c r="AZ20" s="30"/>
      <c r="BA20" s="2">
        <f t="shared" si="34"/>
        <v>0</v>
      </c>
      <c r="BB20" s="33"/>
      <c r="BC20" s="30"/>
      <c r="BD20" s="2">
        <f t="shared" si="35"/>
        <v>0</v>
      </c>
      <c r="BE20" s="33"/>
      <c r="BF20" s="30"/>
      <c r="BG20" s="2">
        <f t="shared" si="36"/>
        <v>0</v>
      </c>
      <c r="BH20" s="33"/>
      <c r="BI20" s="30"/>
      <c r="BJ20" s="2">
        <f t="shared" si="37"/>
        <v>0</v>
      </c>
      <c r="BK20" s="33"/>
      <c r="BL20" s="30"/>
      <c r="BM20" s="2">
        <f t="shared" si="38"/>
        <v>0</v>
      </c>
      <c r="BN20" s="70">
        <f t="shared" si="3"/>
        <v>0</v>
      </c>
      <c r="BO20" s="67">
        <v>0</v>
      </c>
      <c r="BP20" s="51">
        <v>0</v>
      </c>
      <c r="BQ20" s="33"/>
      <c r="BR20" s="30"/>
      <c r="BS20" s="2">
        <f t="shared" si="39"/>
        <v>0</v>
      </c>
      <c r="BT20" s="33"/>
      <c r="BU20" s="30"/>
      <c r="BV20" s="2">
        <f t="shared" si="40"/>
        <v>0</v>
      </c>
      <c r="BW20" s="33"/>
      <c r="BX20" s="30"/>
      <c r="BY20" s="2">
        <f t="shared" si="41"/>
        <v>0</v>
      </c>
      <c r="BZ20" s="33"/>
      <c r="CA20" s="30"/>
      <c r="CB20" s="2">
        <f t="shared" si="6"/>
        <v>0</v>
      </c>
      <c r="CC20" s="33"/>
      <c r="CD20" s="30"/>
      <c r="CE20" s="2">
        <f t="shared" si="42"/>
        <v>0</v>
      </c>
      <c r="CF20" s="33"/>
      <c r="CG20" s="30"/>
      <c r="CH20" s="2">
        <f t="shared" si="43"/>
        <v>0</v>
      </c>
      <c r="CI20" s="33"/>
      <c r="CJ20" s="30"/>
      <c r="CK20" s="2">
        <f t="shared" si="44"/>
        <v>0</v>
      </c>
      <c r="CL20" s="70">
        <f t="shared" si="7"/>
        <v>0</v>
      </c>
      <c r="CM20" s="67">
        <f t="shared" si="8"/>
        <v>0</v>
      </c>
      <c r="CN20" s="51">
        <f t="shared" si="9"/>
        <v>0</v>
      </c>
      <c r="CO20" s="33"/>
      <c r="CP20" s="30"/>
      <c r="CQ20" s="2">
        <f t="shared" si="45"/>
        <v>0</v>
      </c>
      <c r="CR20" s="70">
        <f t="shared" si="10"/>
        <v>0</v>
      </c>
      <c r="CS20" s="67">
        <f t="shared" si="11"/>
        <v>0</v>
      </c>
      <c r="CT20" s="51">
        <f t="shared" si="12"/>
        <v>0</v>
      </c>
      <c r="CU20" s="33"/>
      <c r="CV20" s="30"/>
      <c r="CW20" s="2">
        <f t="shared" si="46"/>
        <v>0</v>
      </c>
      <c r="CX20" s="33"/>
      <c r="CY20" s="30">
        <v>5</v>
      </c>
      <c r="CZ20" s="2">
        <f t="shared" si="47"/>
        <v>35000</v>
      </c>
      <c r="DA20" s="33"/>
      <c r="DB20" s="30"/>
      <c r="DC20" s="2">
        <f t="shared" si="48"/>
        <v>0</v>
      </c>
      <c r="DD20" s="33"/>
      <c r="DE20" s="30"/>
      <c r="DF20" s="2">
        <f t="shared" si="49"/>
        <v>0</v>
      </c>
      <c r="DG20" s="33"/>
      <c r="DH20" s="30"/>
      <c r="DI20" s="2">
        <f t="shared" si="50"/>
        <v>0</v>
      </c>
      <c r="DJ20" s="33"/>
      <c r="DK20" s="30"/>
      <c r="DL20" s="2">
        <f t="shared" si="51"/>
        <v>0</v>
      </c>
      <c r="DM20" s="33"/>
      <c r="DN20" s="30"/>
      <c r="DO20" s="2">
        <f t="shared" si="52"/>
        <v>0</v>
      </c>
      <c r="DP20" s="70">
        <f t="shared" si="13"/>
        <v>0</v>
      </c>
      <c r="DQ20" s="67">
        <f t="shared" si="14"/>
        <v>5</v>
      </c>
      <c r="DR20" s="51">
        <f t="shared" si="15"/>
        <v>35000</v>
      </c>
      <c r="DS20" s="52">
        <f t="shared" si="16"/>
        <v>0</v>
      </c>
      <c r="DT20" s="53">
        <f t="shared" si="17"/>
        <v>9</v>
      </c>
      <c r="DU20" s="54">
        <f t="shared" si="18"/>
        <v>63000</v>
      </c>
    </row>
    <row r="21" spans="1:125" s="26" customFormat="1" ht="17.100000000000001" customHeight="1" thickBot="1" x14ac:dyDescent="0.25">
      <c r="A21" s="27" t="s">
        <v>48</v>
      </c>
      <c r="B21" s="19">
        <v>8000</v>
      </c>
      <c r="C21" s="29"/>
      <c r="D21" s="30"/>
      <c r="E21" s="2">
        <f t="shared" si="19"/>
        <v>0</v>
      </c>
      <c r="F21" s="29"/>
      <c r="G21" s="30"/>
      <c r="H21" s="2">
        <f t="shared" si="20"/>
        <v>0</v>
      </c>
      <c r="I21" s="29"/>
      <c r="J21" s="30"/>
      <c r="K21" s="2">
        <f t="shared" si="21"/>
        <v>0</v>
      </c>
      <c r="L21" s="31"/>
      <c r="M21" s="30"/>
      <c r="N21" s="2">
        <f t="shared" si="22"/>
        <v>0</v>
      </c>
      <c r="O21" s="31"/>
      <c r="P21" s="30"/>
      <c r="Q21" s="2">
        <f t="shared" si="23"/>
        <v>0</v>
      </c>
      <c r="R21" s="31"/>
      <c r="S21" s="30"/>
      <c r="T21" s="2">
        <f t="shared" si="24"/>
        <v>0</v>
      </c>
      <c r="U21" s="31"/>
      <c r="V21" s="30"/>
      <c r="W21" s="2">
        <f t="shared" ref="W21" si="57">$B21*V21</f>
        <v>0</v>
      </c>
      <c r="X21" s="128"/>
      <c r="Y21" s="30"/>
      <c r="Z21" s="2">
        <f t="shared" si="26"/>
        <v>0</v>
      </c>
      <c r="AA21" s="31"/>
      <c r="AB21" s="99"/>
      <c r="AC21" s="2">
        <f t="shared" si="27"/>
        <v>0</v>
      </c>
      <c r="AD21" s="31"/>
      <c r="AE21" s="30"/>
      <c r="AF21" s="2">
        <f t="shared" si="28"/>
        <v>0</v>
      </c>
      <c r="AG21" s="31"/>
      <c r="AH21" s="30"/>
      <c r="AI21" s="2">
        <f t="shared" si="29"/>
        <v>0</v>
      </c>
      <c r="AJ21" s="31"/>
      <c r="AK21" s="30"/>
      <c r="AL21" s="2">
        <f t="shared" si="30"/>
        <v>0</v>
      </c>
      <c r="AM21" s="31"/>
      <c r="AN21" s="30"/>
      <c r="AO21" s="2">
        <f t="shared" si="31"/>
        <v>0</v>
      </c>
      <c r="AP21" s="70">
        <f t="shared" si="0"/>
        <v>0</v>
      </c>
      <c r="AQ21" s="67">
        <f t="shared" si="1"/>
        <v>0</v>
      </c>
      <c r="AR21" s="73">
        <f t="shared" si="2"/>
        <v>0</v>
      </c>
      <c r="AS21" s="31"/>
      <c r="AT21" s="30"/>
      <c r="AU21" s="2">
        <f t="shared" si="32"/>
        <v>0</v>
      </c>
      <c r="AV21" s="29"/>
      <c r="AW21" s="30">
        <v>5</v>
      </c>
      <c r="AX21" s="2">
        <f t="shared" si="33"/>
        <v>40000</v>
      </c>
      <c r="AY21" s="31"/>
      <c r="AZ21" s="30"/>
      <c r="BA21" s="2">
        <f t="shared" si="34"/>
        <v>0</v>
      </c>
      <c r="BB21" s="31"/>
      <c r="BC21" s="30"/>
      <c r="BD21" s="2">
        <f t="shared" si="35"/>
        <v>0</v>
      </c>
      <c r="BE21" s="31"/>
      <c r="BF21" s="30"/>
      <c r="BG21" s="2">
        <f t="shared" si="36"/>
        <v>0</v>
      </c>
      <c r="BH21" s="31"/>
      <c r="BI21" s="30"/>
      <c r="BJ21" s="2">
        <f t="shared" si="37"/>
        <v>0</v>
      </c>
      <c r="BK21" s="33"/>
      <c r="BL21" s="30"/>
      <c r="BM21" s="2">
        <f t="shared" si="38"/>
        <v>0</v>
      </c>
      <c r="BN21" s="127">
        <f t="shared" si="3"/>
        <v>0</v>
      </c>
      <c r="BO21" s="67">
        <v>5</v>
      </c>
      <c r="BP21" s="51">
        <v>40000</v>
      </c>
      <c r="BQ21" s="33"/>
      <c r="BR21" s="30"/>
      <c r="BS21" s="2">
        <f t="shared" si="39"/>
        <v>0</v>
      </c>
      <c r="BT21" s="33"/>
      <c r="BU21" s="30"/>
      <c r="BV21" s="2">
        <f t="shared" si="40"/>
        <v>0</v>
      </c>
      <c r="BW21" s="33"/>
      <c r="BX21" s="30"/>
      <c r="BY21" s="2">
        <f t="shared" si="41"/>
        <v>0</v>
      </c>
      <c r="BZ21" s="33"/>
      <c r="CA21" s="30"/>
      <c r="CB21" s="2">
        <f t="shared" si="6"/>
        <v>0</v>
      </c>
      <c r="CC21" s="33"/>
      <c r="CD21" s="30"/>
      <c r="CE21" s="2">
        <f t="shared" si="42"/>
        <v>0</v>
      </c>
      <c r="CF21" s="33"/>
      <c r="CG21" s="30">
        <v>2</v>
      </c>
      <c r="CH21" s="2">
        <f t="shared" si="43"/>
        <v>16000</v>
      </c>
      <c r="CI21" s="33"/>
      <c r="CJ21" s="30"/>
      <c r="CK21" s="2">
        <f t="shared" si="44"/>
        <v>0</v>
      </c>
      <c r="CL21" s="70">
        <f t="shared" si="7"/>
        <v>0</v>
      </c>
      <c r="CM21" s="67">
        <v>2</v>
      </c>
      <c r="CN21" s="51">
        <v>16000</v>
      </c>
      <c r="CO21" s="33"/>
      <c r="CP21" s="30"/>
      <c r="CQ21" s="2">
        <f t="shared" si="45"/>
        <v>0</v>
      </c>
      <c r="CR21" s="70">
        <f t="shared" si="10"/>
        <v>0</v>
      </c>
      <c r="CS21" s="67">
        <f t="shared" si="11"/>
        <v>2</v>
      </c>
      <c r="CT21" s="51">
        <f t="shared" si="12"/>
        <v>16000</v>
      </c>
      <c r="CU21" s="33"/>
      <c r="CV21" s="30"/>
      <c r="CW21" s="2">
        <f t="shared" si="46"/>
        <v>0</v>
      </c>
      <c r="CX21" s="33"/>
      <c r="CY21" s="30"/>
      <c r="CZ21" s="2">
        <f t="shared" si="47"/>
        <v>0</v>
      </c>
      <c r="DA21" s="33"/>
      <c r="DB21" s="30"/>
      <c r="DC21" s="2">
        <f t="shared" si="48"/>
        <v>0</v>
      </c>
      <c r="DD21" s="33"/>
      <c r="DE21" s="30">
        <v>5</v>
      </c>
      <c r="DF21" s="2">
        <f t="shared" si="49"/>
        <v>40000</v>
      </c>
      <c r="DG21" s="33"/>
      <c r="DH21" s="30">
        <v>4</v>
      </c>
      <c r="DI21" s="2">
        <f t="shared" si="50"/>
        <v>32000</v>
      </c>
      <c r="DJ21" s="33"/>
      <c r="DK21" s="30"/>
      <c r="DL21" s="2">
        <f t="shared" si="51"/>
        <v>0</v>
      </c>
      <c r="DM21" s="33"/>
      <c r="DN21" s="30"/>
      <c r="DO21" s="2">
        <f t="shared" si="52"/>
        <v>0</v>
      </c>
      <c r="DP21" s="70">
        <f t="shared" si="13"/>
        <v>0</v>
      </c>
      <c r="DQ21" s="67">
        <f t="shared" si="14"/>
        <v>9</v>
      </c>
      <c r="DR21" s="51">
        <f t="shared" si="15"/>
        <v>72000</v>
      </c>
      <c r="DS21" s="52">
        <f t="shared" si="16"/>
        <v>0</v>
      </c>
      <c r="DT21" s="53">
        <v>16</v>
      </c>
      <c r="DU21" s="54">
        <v>128000</v>
      </c>
    </row>
    <row r="22" spans="1:125" s="26" customFormat="1" ht="17.100000000000001" customHeight="1" thickBot="1" x14ac:dyDescent="0.25">
      <c r="A22" s="124" t="s">
        <v>38</v>
      </c>
      <c r="B22" s="19">
        <v>8000</v>
      </c>
      <c r="C22" s="29"/>
      <c r="D22" s="125"/>
      <c r="E22" s="126">
        <f t="shared" si="19"/>
        <v>0</v>
      </c>
      <c r="F22" s="29"/>
      <c r="G22" s="125"/>
      <c r="H22" s="126">
        <f t="shared" si="20"/>
        <v>0</v>
      </c>
      <c r="I22" s="29"/>
      <c r="J22" s="125"/>
      <c r="K22" s="126">
        <f t="shared" si="21"/>
        <v>0</v>
      </c>
      <c r="L22" s="31"/>
      <c r="M22" s="125"/>
      <c r="N22" s="126">
        <f t="shared" si="22"/>
        <v>0</v>
      </c>
      <c r="O22" s="31"/>
      <c r="P22" s="125"/>
      <c r="Q22" s="126">
        <f t="shared" si="23"/>
        <v>0</v>
      </c>
      <c r="R22" s="31"/>
      <c r="S22" s="125"/>
      <c r="T22" s="126">
        <f t="shared" si="24"/>
        <v>0</v>
      </c>
      <c r="U22" s="31"/>
      <c r="V22" s="30">
        <v>1</v>
      </c>
      <c r="W22" s="2">
        <f t="shared" ref="W22" si="58">$B22*V22</f>
        <v>8000</v>
      </c>
      <c r="X22" s="128"/>
      <c r="Y22" s="30"/>
      <c r="Z22" s="2">
        <f t="shared" ref="Z22" si="59">$B22*Y22</f>
        <v>0</v>
      </c>
      <c r="AA22" s="31"/>
      <c r="AB22" s="99"/>
      <c r="AC22" s="2">
        <f t="shared" si="27"/>
        <v>0</v>
      </c>
      <c r="AD22" s="31"/>
      <c r="AE22" s="30"/>
      <c r="AF22" s="2">
        <f t="shared" ref="AF22" si="60">$B22*AE22</f>
        <v>0</v>
      </c>
      <c r="AG22" s="31"/>
      <c r="AH22" s="30">
        <v>3</v>
      </c>
      <c r="AI22" s="2">
        <f t="shared" ref="AI22" si="61">$B22*AH22</f>
        <v>24000</v>
      </c>
      <c r="AJ22" s="31"/>
      <c r="AK22" s="30">
        <v>1</v>
      </c>
      <c r="AL22" s="2">
        <f t="shared" ref="AL22" si="62">$B22*AK22</f>
        <v>8000</v>
      </c>
      <c r="AM22" s="31"/>
      <c r="AN22" s="30">
        <v>3</v>
      </c>
      <c r="AO22" s="2">
        <f t="shared" ref="AO22" si="63">$B22*AN22</f>
        <v>24000</v>
      </c>
      <c r="AP22" s="70">
        <f t="shared" si="0"/>
        <v>0</v>
      </c>
      <c r="AQ22" s="67">
        <v>8</v>
      </c>
      <c r="AR22" s="73">
        <v>64000</v>
      </c>
      <c r="AS22" s="31"/>
      <c r="AT22" s="30"/>
      <c r="AU22" s="2">
        <f t="shared" ref="AU22" si="64">$B22*AT22</f>
        <v>0</v>
      </c>
      <c r="AV22" s="29"/>
      <c r="AW22" s="30"/>
      <c r="AX22" s="2">
        <f t="shared" ref="AX22" si="65">$B22*AW22</f>
        <v>0</v>
      </c>
      <c r="AY22" s="31"/>
      <c r="AZ22" s="30">
        <v>2</v>
      </c>
      <c r="BA22" s="2">
        <f t="shared" ref="BA22" si="66">$B22*AZ22</f>
        <v>16000</v>
      </c>
      <c r="BB22" s="31"/>
      <c r="BC22" s="99">
        <v>1.5</v>
      </c>
      <c r="BD22" s="2">
        <f t="shared" ref="BD22" si="67">$B22*BC22</f>
        <v>12000</v>
      </c>
      <c r="BE22" s="31"/>
      <c r="BF22" s="30">
        <v>3</v>
      </c>
      <c r="BG22" s="2">
        <f t="shared" ref="BG22" si="68">$B22*BF22</f>
        <v>24000</v>
      </c>
      <c r="BH22" s="31"/>
      <c r="BI22" s="30">
        <v>1</v>
      </c>
      <c r="BJ22" s="2">
        <f t="shared" ref="BJ22" si="69">$B22*BI22</f>
        <v>8000</v>
      </c>
      <c r="BK22" s="33"/>
      <c r="BL22" s="30">
        <v>2</v>
      </c>
      <c r="BM22" s="2">
        <f t="shared" ref="BM22" si="70">$B22*BL22</f>
        <v>16000</v>
      </c>
      <c r="BN22" s="127">
        <f t="shared" si="3"/>
        <v>0</v>
      </c>
      <c r="BO22" s="100">
        <v>9.5</v>
      </c>
      <c r="BP22" s="51">
        <v>76000</v>
      </c>
      <c r="BQ22" s="33"/>
      <c r="BR22" s="30"/>
      <c r="BS22" s="2">
        <f t="shared" ref="BS22" si="71">$B22*BR22</f>
        <v>0</v>
      </c>
      <c r="BT22" s="33"/>
      <c r="BU22" s="30">
        <v>2</v>
      </c>
      <c r="BV22" s="2">
        <f t="shared" ref="BV22" si="72">$B22*BU22</f>
        <v>16000</v>
      </c>
      <c r="BW22" s="33"/>
      <c r="BX22" s="30">
        <v>3</v>
      </c>
      <c r="BY22" s="2">
        <f t="shared" ref="BY22" si="73">$B22*BX22</f>
        <v>24000</v>
      </c>
      <c r="BZ22" s="33"/>
      <c r="CA22" s="30">
        <v>3</v>
      </c>
      <c r="CB22" s="2">
        <f t="shared" ref="CB22" si="74">$B22*CA22</f>
        <v>24000</v>
      </c>
      <c r="CC22" s="33"/>
      <c r="CD22" s="30"/>
      <c r="CE22" s="2">
        <f t="shared" ref="CE22" si="75">$B22*CD22</f>
        <v>0</v>
      </c>
      <c r="CF22" s="33"/>
      <c r="CG22" s="30">
        <v>2</v>
      </c>
      <c r="CH22" s="2">
        <f t="shared" ref="CH22" si="76">$B22*CG22</f>
        <v>16000</v>
      </c>
      <c r="CI22" s="33"/>
      <c r="CJ22" s="30">
        <v>2</v>
      </c>
      <c r="CK22" s="2">
        <f t="shared" ref="CK22" si="77">$B22*CJ22</f>
        <v>16000</v>
      </c>
      <c r="CL22" s="70">
        <f t="shared" si="7"/>
        <v>0</v>
      </c>
      <c r="CM22" s="67">
        <v>12</v>
      </c>
      <c r="CN22" s="51">
        <v>96000</v>
      </c>
      <c r="CO22" s="33"/>
      <c r="CP22" s="30"/>
      <c r="CQ22" s="2">
        <f t="shared" ref="CQ22" si="78">$B22*CP22</f>
        <v>0</v>
      </c>
      <c r="CR22" s="70">
        <f t="shared" si="10"/>
        <v>0</v>
      </c>
      <c r="CS22" s="67">
        <f t="shared" si="11"/>
        <v>12</v>
      </c>
      <c r="CT22" s="51">
        <f t="shared" si="12"/>
        <v>96000</v>
      </c>
      <c r="CU22" s="33"/>
      <c r="CV22" s="30">
        <v>2</v>
      </c>
      <c r="CW22" s="2">
        <f t="shared" ref="CW22" si="79">$B22*CV22</f>
        <v>16000</v>
      </c>
      <c r="CX22" s="33">
        <v>30000</v>
      </c>
      <c r="CY22" s="30">
        <v>2</v>
      </c>
      <c r="CZ22" s="2">
        <f t="shared" ref="CZ22" si="80">$B22*CY22</f>
        <v>16000</v>
      </c>
      <c r="DA22" s="33"/>
      <c r="DB22" s="30">
        <v>1</v>
      </c>
      <c r="DC22" s="2">
        <f t="shared" ref="DC22" si="81">$B22*DB22</f>
        <v>8000</v>
      </c>
      <c r="DD22" s="33"/>
      <c r="DE22" s="30"/>
      <c r="DF22" s="2">
        <f t="shared" ref="DF22" si="82">$B22*DE22</f>
        <v>0</v>
      </c>
      <c r="DG22" s="33"/>
      <c r="DH22" s="30"/>
      <c r="DI22" s="2">
        <f t="shared" ref="DI22" si="83">$B22*DH22</f>
        <v>0</v>
      </c>
      <c r="DJ22" s="33"/>
      <c r="DK22" s="30"/>
      <c r="DL22" s="2">
        <f t="shared" ref="DL22" si="84">$B22*DK22</f>
        <v>0</v>
      </c>
      <c r="DM22" s="33"/>
      <c r="DN22" s="30"/>
      <c r="DO22" s="2">
        <f t="shared" ref="DO22" si="85">$B22*DN22</f>
        <v>0</v>
      </c>
      <c r="DP22" s="70">
        <f t="shared" si="13"/>
        <v>30000</v>
      </c>
      <c r="DQ22" s="67">
        <f t="shared" si="14"/>
        <v>5</v>
      </c>
      <c r="DR22" s="51">
        <f t="shared" si="15"/>
        <v>40000</v>
      </c>
      <c r="DS22" s="52">
        <f t="shared" si="16"/>
        <v>30000</v>
      </c>
      <c r="DT22" s="53">
        <v>34</v>
      </c>
      <c r="DU22" s="54">
        <v>276000</v>
      </c>
    </row>
    <row r="23" spans="1:125" s="26" customFormat="1" ht="17.100000000000001" customHeight="1" thickBot="1" x14ac:dyDescent="0.25">
      <c r="A23" s="123" t="s">
        <v>40</v>
      </c>
      <c r="B23" s="19">
        <v>8000</v>
      </c>
      <c r="C23" s="29"/>
      <c r="D23" s="30"/>
      <c r="E23" s="2">
        <f t="shared" si="19"/>
        <v>0</v>
      </c>
      <c r="F23" s="29"/>
      <c r="G23" s="30"/>
      <c r="H23" s="2">
        <f t="shared" si="20"/>
        <v>0</v>
      </c>
      <c r="I23" s="29"/>
      <c r="J23" s="30"/>
      <c r="K23" s="2">
        <f t="shared" si="21"/>
        <v>0</v>
      </c>
      <c r="L23" s="31"/>
      <c r="M23" s="30"/>
      <c r="N23" s="2">
        <f t="shared" si="22"/>
        <v>0</v>
      </c>
      <c r="O23" s="31"/>
      <c r="P23" s="30"/>
      <c r="Q23" s="2">
        <f t="shared" si="23"/>
        <v>0</v>
      </c>
      <c r="R23" s="31"/>
      <c r="S23" s="30"/>
      <c r="T23" s="2">
        <f t="shared" si="24"/>
        <v>0</v>
      </c>
      <c r="U23" s="33"/>
      <c r="V23" s="30"/>
      <c r="W23" s="2">
        <f t="shared" si="25"/>
        <v>0</v>
      </c>
      <c r="X23" s="35"/>
      <c r="Y23" s="30"/>
      <c r="Z23" s="2">
        <f t="shared" si="26"/>
        <v>0</v>
      </c>
      <c r="AA23" s="33"/>
      <c r="AB23" s="30"/>
      <c r="AC23" s="2">
        <f t="shared" si="27"/>
        <v>0</v>
      </c>
      <c r="AD23" s="33"/>
      <c r="AE23" s="30"/>
      <c r="AF23" s="2">
        <f t="shared" si="28"/>
        <v>0</v>
      </c>
      <c r="AG23" s="33"/>
      <c r="AH23" s="30"/>
      <c r="AI23" s="2">
        <f t="shared" si="29"/>
        <v>0</v>
      </c>
      <c r="AJ23" s="33"/>
      <c r="AK23" s="30"/>
      <c r="AL23" s="2">
        <f t="shared" si="30"/>
        <v>0</v>
      </c>
      <c r="AM23" s="33"/>
      <c r="AN23" s="30"/>
      <c r="AO23" s="2">
        <f t="shared" si="31"/>
        <v>0</v>
      </c>
      <c r="AP23" s="70">
        <f t="shared" si="0"/>
        <v>0</v>
      </c>
      <c r="AQ23" s="67">
        <f t="shared" si="1"/>
        <v>0</v>
      </c>
      <c r="AR23" s="73">
        <f t="shared" si="2"/>
        <v>0</v>
      </c>
      <c r="AS23" s="33"/>
      <c r="AT23" s="30">
        <v>4</v>
      </c>
      <c r="AU23" s="2">
        <f t="shared" si="32"/>
        <v>32000</v>
      </c>
      <c r="AV23" s="33"/>
      <c r="AW23" s="30">
        <v>9</v>
      </c>
      <c r="AX23" s="2">
        <f t="shared" si="33"/>
        <v>72000</v>
      </c>
      <c r="AY23" s="33"/>
      <c r="AZ23" s="30"/>
      <c r="BA23" s="2">
        <f t="shared" si="34"/>
        <v>0</v>
      </c>
      <c r="BB23" s="33"/>
      <c r="BC23" s="30"/>
      <c r="BD23" s="2">
        <f t="shared" si="35"/>
        <v>0</v>
      </c>
      <c r="BE23" s="33"/>
      <c r="BF23" s="30"/>
      <c r="BG23" s="2">
        <f t="shared" si="36"/>
        <v>0</v>
      </c>
      <c r="BH23" s="33"/>
      <c r="BI23" s="30"/>
      <c r="BJ23" s="2">
        <f t="shared" si="37"/>
        <v>0</v>
      </c>
      <c r="BK23" s="33"/>
      <c r="BL23" s="30">
        <v>5</v>
      </c>
      <c r="BM23" s="2">
        <f t="shared" si="38"/>
        <v>40000</v>
      </c>
      <c r="BN23" s="70">
        <f t="shared" si="3"/>
        <v>0</v>
      </c>
      <c r="BO23" s="67">
        <v>18</v>
      </c>
      <c r="BP23" s="51">
        <v>144000</v>
      </c>
      <c r="BQ23" s="33"/>
      <c r="BR23" s="30"/>
      <c r="BS23" s="2">
        <f t="shared" si="39"/>
        <v>0</v>
      </c>
      <c r="BT23" s="33"/>
      <c r="BU23" s="30"/>
      <c r="BV23" s="2">
        <f t="shared" si="40"/>
        <v>0</v>
      </c>
      <c r="BW23" s="33"/>
      <c r="BX23" s="30"/>
      <c r="BY23" s="2">
        <f t="shared" si="41"/>
        <v>0</v>
      </c>
      <c r="BZ23" s="33"/>
      <c r="CA23" s="30">
        <v>5</v>
      </c>
      <c r="CB23" s="2">
        <f t="shared" si="6"/>
        <v>40000</v>
      </c>
      <c r="CC23" s="33"/>
      <c r="CD23" s="30"/>
      <c r="CE23" s="2">
        <f t="shared" si="42"/>
        <v>0</v>
      </c>
      <c r="CF23" s="33"/>
      <c r="CG23" s="30">
        <v>2</v>
      </c>
      <c r="CH23" s="2">
        <f t="shared" si="43"/>
        <v>16000</v>
      </c>
      <c r="CI23" s="33"/>
      <c r="CJ23" s="30"/>
      <c r="CK23" s="2">
        <f t="shared" si="44"/>
        <v>0</v>
      </c>
      <c r="CL23" s="70">
        <f t="shared" si="7"/>
        <v>0</v>
      </c>
      <c r="CM23" s="67">
        <v>7</v>
      </c>
      <c r="CN23" s="51">
        <v>56000</v>
      </c>
      <c r="CO23" s="33"/>
      <c r="CP23" s="30"/>
      <c r="CQ23" s="2">
        <f t="shared" si="45"/>
        <v>0</v>
      </c>
      <c r="CR23" s="70">
        <f t="shared" si="10"/>
        <v>0</v>
      </c>
      <c r="CS23" s="67">
        <f t="shared" si="11"/>
        <v>7</v>
      </c>
      <c r="CT23" s="51">
        <f t="shared" si="12"/>
        <v>56000</v>
      </c>
      <c r="CU23" s="33"/>
      <c r="CV23" s="30"/>
      <c r="CW23" s="2">
        <f t="shared" si="46"/>
        <v>0</v>
      </c>
      <c r="CX23" s="33"/>
      <c r="CY23" s="30"/>
      <c r="CZ23" s="2">
        <f t="shared" si="47"/>
        <v>0</v>
      </c>
      <c r="DA23" s="33"/>
      <c r="DB23" s="30"/>
      <c r="DC23" s="2">
        <f t="shared" si="48"/>
        <v>0</v>
      </c>
      <c r="DD23" s="33"/>
      <c r="DE23" s="30"/>
      <c r="DF23" s="2">
        <f t="shared" si="49"/>
        <v>0</v>
      </c>
      <c r="DG23" s="33"/>
      <c r="DH23" s="30"/>
      <c r="DI23" s="2">
        <f t="shared" si="50"/>
        <v>0</v>
      </c>
      <c r="DJ23" s="33"/>
      <c r="DK23" s="30"/>
      <c r="DL23" s="2">
        <f t="shared" si="51"/>
        <v>0</v>
      </c>
      <c r="DM23" s="33"/>
      <c r="DN23" s="30"/>
      <c r="DO23" s="2">
        <f t="shared" si="52"/>
        <v>0</v>
      </c>
      <c r="DP23" s="70">
        <f t="shared" si="13"/>
        <v>0</v>
      </c>
      <c r="DQ23" s="67">
        <f t="shared" si="14"/>
        <v>0</v>
      </c>
      <c r="DR23" s="51">
        <f t="shared" si="15"/>
        <v>0</v>
      </c>
      <c r="DS23" s="52">
        <f t="shared" si="16"/>
        <v>0</v>
      </c>
      <c r="DT23" s="53">
        <v>25</v>
      </c>
      <c r="DU23" s="54">
        <v>200000</v>
      </c>
    </row>
    <row r="24" spans="1:125" s="26" customFormat="1" ht="17.100000000000001" customHeight="1" x14ac:dyDescent="0.2">
      <c r="A24" s="27" t="s">
        <v>35</v>
      </c>
      <c r="B24" s="19">
        <v>8000</v>
      </c>
      <c r="C24" s="29"/>
      <c r="D24" s="30"/>
      <c r="E24" s="2">
        <f t="shared" si="19"/>
        <v>0</v>
      </c>
      <c r="F24" s="29"/>
      <c r="G24" s="30"/>
      <c r="H24" s="2">
        <f t="shared" si="20"/>
        <v>0</v>
      </c>
      <c r="I24" s="29"/>
      <c r="J24" s="30"/>
      <c r="K24" s="2">
        <f t="shared" si="21"/>
        <v>0</v>
      </c>
      <c r="L24" s="31"/>
      <c r="M24" s="30"/>
      <c r="N24" s="2">
        <f t="shared" si="22"/>
        <v>0</v>
      </c>
      <c r="O24" s="31"/>
      <c r="P24" s="30"/>
      <c r="Q24" s="2">
        <f t="shared" si="23"/>
        <v>0</v>
      </c>
      <c r="R24" s="31"/>
      <c r="S24" s="30"/>
      <c r="T24" s="2">
        <f t="shared" si="24"/>
        <v>0</v>
      </c>
      <c r="U24" s="33"/>
      <c r="V24" s="30"/>
      <c r="W24" s="2">
        <f t="shared" si="25"/>
        <v>0</v>
      </c>
      <c r="X24" s="35"/>
      <c r="Y24" s="99"/>
      <c r="Z24" s="2">
        <f t="shared" si="26"/>
        <v>0</v>
      </c>
      <c r="AA24" s="33"/>
      <c r="AB24" s="30"/>
      <c r="AC24" s="2">
        <f t="shared" si="27"/>
        <v>0</v>
      </c>
      <c r="AD24" s="33"/>
      <c r="AE24" s="30"/>
      <c r="AF24" s="2">
        <f t="shared" si="28"/>
        <v>0</v>
      </c>
      <c r="AG24" s="33"/>
      <c r="AH24" s="30"/>
      <c r="AI24" s="2">
        <f t="shared" si="29"/>
        <v>0</v>
      </c>
      <c r="AJ24" s="33"/>
      <c r="AK24" s="30"/>
      <c r="AL24" s="2">
        <f t="shared" si="30"/>
        <v>0</v>
      </c>
      <c r="AM24" s="33"/>
      <c r="AN24" s="30"/>
      <c r="AO24" s="2">
        <f t="shared" si="31"/>
        <v>0</v>
      </c>
      <c r="AP24" s="70">
        <f t="shared" si="0"/>
        <v>0</v>
      </c>
      <c r="AQ24" s="67">
        <f t="shared" si="1"/>
        <v>0</v>
      </c>
      <c r="AR24" s="73">
        <f t="shared" si="2"/>
        <v>0</v>
      </c>
      <c r="AS24" s="33"/>
      <c r="AT24" s="30"/>
      <c r="AU24" s="2">
        <f t="shared" si="32"/>
        <v>0</v>
      </c>
      <c r="AV24" s="33"/>
      <c r="AW24" s="30"/>
      <c r="AX24" s="2">
        <f>$B24*AW24</f>
        <v>0</v>
      </c>
      <c r="AY24" s="33"/>
      <c r="AZ24" s="30"/>
      <c r="BA24" s="2">
        <f t="shared" si="34"/>
        <v>0</v>
      </c>
      <c r="BB24" s="33"/>
      <c r="BC24" s="30"/>
      <c r="BD24" s="2">
        <f t="shared" si="35"/>
        <v>0</v>
      </c>
      <c r="BE24" s="33"/>
      <c r="BF24" s="30"/>
      <c r="BG24" s="2">
        <f t="shared" si="36"/>
        <v>0</v>
      </c>
      <c r="BH24" s="33"/>
      <c r="BI24" s="30"/>
      <c r="BJ24" s="2">
        <f t="shared" si="37"/>
        <v>0</v>
      </c>
      <c r="BK24" s="33"/>
      <c r="BL24" s="30"/>
      <c r="BM24" s="2">
        <f t="shared" si="38"/>
        <v>0</v>
      </c>
      <c r="BN24" s="70">
        <f t="shared" si="3"/>
        <v>0</v>
      </c>
      <c r="BO24" s="67">
        <f t="shared" si="4"/>
        <v>0</v>
      </c>
      <c r="BP24" s="51">
        <f t="shared" si="5"/>
        <v>0</v>
      </c>
      <c r="BQ24" s="33"/>
      <c r="BR24" s="30"/>
      <c r="BS24" s="2">
        <f t="shared" si="39"/>
        <v>0</v>
      </c>
      <c r="BT24" s="33"/>
      <c r="BU24" s="30"/>
      <c r="BV24" s="2">
        <f t="shared" si="40"/>
        <v>0</v>
      </c>
      <c r="BW24" s="33"/>
      <c r="BX24" s="30"/>
      <c r="BY24" s="2">
        <f t="shared" si="41"/>
        <v>0</v>
      </c>
      <c r="BZ24" s="33"/>
      <c r="CA24" s="30"/>
      <c r="CB24" s="2">
        <f t="shared" si="6"/>
        <v>0</v>
      </c>
      <c r="CC24" s="33"/>
      <c r="CD24" s="30"/>
      <c r="CE24" s="2">
        <f t="shared" si="42"/>
        <v>0</v>
      </c>
      <c r="CF24" s="33"/>
      <c r="CG24" s="30"/>
      <c r="CH24" s="2">
        <f t="shared" si="43"/>
        <v>0</v>
      </c>
      <c r="CI24" s="33"/>
      <c r="CJ24" s="30"/>
      <c r="CK24" s="2">
        <f t="shared" si="44"/>
        <v>0</v>
      </c>
      <c r="CL24" s="70">
        <f t="shared" si="7"/>
        <v>0</v>
      </c>
      <c r="CM24" s="67">
        <f t="shared" si="8"/>
        <v>0</v>
      </c>
      <c r="CN24" s="51">
        <f t="shared" si="9"/>
        <v>0</v>
      </c>
      <c r="CO24" s="33"/>
      <c r="CP24" s="30"/>
      <c r="CQ24" s="2">
        <f t="shared" si="45"/>
        <v>0</v>
      </c>
      <c r="CR24" s="70">
        <f t="shared" si="10"/>
        <v>0</v>
      </c>
      <c r="CS24" s="67">
        <f t="shared" si="11"/>
        <v>0</v>
      </c>
      <c r="CT24" s="51">
        <f t="shared" si="12"/>
        <v>0</v>
      </c>
      <c r="CU24" s="33"/>
      <c r="CV24" s="30"/>
      <c r="CW24" s="2">
        <f t="shared" si="46"/>
        <v>0</v>
      </c>
      <c r="CX24" s="33"/>
      <c r="CY24" s="30"/>
      <c r="CZ24" s="2">
        <f t="shared" si="47"/>
        <v>0</v>
      </c>
      <c r="DA24" s="33"/>
      <c r="DB24" s="30"/>
      <c r="DC24" s="2">
        <f t="shared" si="48"/>
        <v>0</v>
      </c>
      <c r="DD24" s="33"/>
      <c r="DE24" s="30"/>
      <c r="DF24" s="2">
        <f t="shared" si="49"/>
        <v>0</v>
      </c>
      <c r="DG24" s="33"/>
      <c r="DH24" s="30"/>
      <c r="DI24" s="2">
        <f t="shared" si="50"/>
        <v>0</v>
      </c>
      <c r="DJ24" s="33"/>
      <c r="DK24" s="30"/>
      <c r="DL24" s="2">
        <f t="shared" si="51"/>
        <v>0</v>
      </c>
      <c r="DM24" s="33"/>
      <c r="DN24" s="30"/>
      <c r="DO24" s="2">
        <f t="shared" si="52"/>
        <v>0</v>
      </c>
      <c r="DP24" s="70">
        <f t="shared" si="13"/>
        <v>0</v>
      </c>
      <c r="DQ24" s="67">
        <f t="shared" si="14"/>
        <v>0</v>
      </c>
      <c r="DR24" s="51">
        <f t="shared" si="15"/>
        <v>0</v>
      </c>
      <c r="DS24" s="52">
        <f t="shared" si="16"/>
        <v>0</v>
      </c>
      <c r="DT24" s="53">
        <f t="shared" si="17"/>
        <v>0</v>
      </c>
      <c r="DU24" s="54">
        <f t="shared" si="18"/>
        <v>0</v>
      </c>
    </row>
    <row r="25" spans="1:125" s="26" customFormat="1" ht="17.100000000000001" customHeight="1" thickBot="1" x14ac:dyDescent="0.25">
      <c r="A25" s="36" t="s">
        <v>61</v>
      </c>
      <c r="B25" s="28">
        <v>8000</v>
      </c>
      <c r="C25" s="29"/>
      <c r="D25" s="30"/>
      <c r="E25" s="2">
        <f t="shared" si="19"/>
        <v>0</v>
      </c>
      <c r="F25" s="29"/>
      <c r="G25" s="30"/>
      <c r="H25" s="2">
        <f t="shared" si="20"/>
        <v>0</v>
      </c>
      <c r="I25" s="29"/>
      <c r="J25" s="30"/>
      <c r="K25" s="2">
        <f t="shared" si="21"/>
        <v>0</v>
      </c>
      <c r="L25" s="31"/>
      <c r="M25" s="30"/>
      <c r="N25" s="2">
        <f t="shared" si="22"/>
        <v>0</v>
      </c>
      <c r="O25" s="31"/>
      <c r="P25" s="30"/>
      <c r="Q25" s="2">
        <f t="shared" si="23"/>
        <v>0</v>
      </c>
      <c r="R25" s="31"/>
      <c r="S25" s="30"/>
      <c r="T25" s="2">
        <f t="shared" si="24"/>
        <v>0</v>
      </c>
      <c r="U25" s="33"/>
      <c r="V25" s="30"/>
      <c r="W25" s="2">
        <f t="shared" si="25"/>
        <v>0</v>
      </c>
      <c r="X25" s="35"/>
      <c r="Y25" s="30">
        <v>3</v>
      </c>
      <c r="Z25" s="2">
        <f t="shared" si="26"/>
        <v>24000</v>
      </c>
      <c r="AA25" s="33"/>
      <c r="AB25" s="30">
        <v>9</v>
      </c>
      <c r="AC25" s="2">
        <f t="shared" si="27"/>
        <v>72000</v>
      </c>
      <c r="AD25" s="33"/>
      <c r="AE25" s="30">
        <v>2</v>
      </c>
      <c r="AF25" s="2">
        <f t="shared" si="28"/>
        <v>16000</v>
      </c>
      <c r="AG25" s="33"/>
      <c r="AH25" s="30"/>
      <c r="AI25" s="2">
        <f t="shared" si="29"/>
        <v>0</v>
      </c>
      <c r="AJ25" s="33"/>
      <c r="AK25" s="30"/>
      <c r="AL25" s="2">
        <f t="shared" si="30"/>
        <v>0</v>
      </c>
      <c r="AM25" s="33"/>
      <c r="AN25" s="30"/>
      <c r="AO25" s="2">
        <f t="shared" si="31"/>
        <v>0</v>
      </c>
      <c r="AP25" s="70">
        <f t="shared" si="0"/>
        <v>0</v>
      </c>
      <c r="AQ25" s="67">
        <v>14</v>
      </c>
      <c r="AR25" s="73">
        <v>112000</v>
      </c>
      <c r="AS25" s="33"/>
      <c r="AT25" s="30"/>
      <c r="AU25" s="2">
        <f t="shared" si="32"/>
        <v>0</v>
      </c>
      <c r="AV25" s="33"/>
      <c r="AW25" s="30"/>
      <c r="AX25" s="2">
        <f t="shared" ref="AX25" si="86">$B25*AW25</f>
        <v>0</v>
      </c>
      <c r="AY25" s="33"/>
      <c r="AZ25" s="30"/>
      <c r="BA25" s="2">
        <f t="shared" si="34"/>
        <v>0</v>
      </c>
      <c r="BB25" s="33"/>
      <c r="BC25" s="30"/>
      <c r="BD25" s="2">
        <f t="shared" si="35"/>
        <v>0</v>
      </c>
      <c r="BE25" s="33"/>
      <c r="BF25" s="30"/>
      <c r="BG25" s="2">
        <f t="shared" si="36"/>
        <v>0</v>
      </c>
      <c r="BH25" s="33"/>
      <c r="BI25" s="30">
        <v>1</v>
      </c>
      <c r="BJ25" s="2">
        <f t="shared" si="37"/>
        <v>8000</v>
      </c>
      <c r="BK25" s="33"/>
      <c r="BL25" s="30"/>
      <c r="BM25" s="2">
        <f t="shared" si="38"/>
        <v>0</v>
      </c>
      <c r="BN25" s="70">
        <f t="shared" si="3"/>
        <v>0</v>
      </c>
      <c r="BO25" s="67">
        <v>0</v>
      </c>
      <c r="BP25" s="51">
        <v>0</v>
      </c>
      <c r="BQ25" s="33"/>
      <c r="BR25" s="30">
        <v>8</v>
      </c>
      <c r="BS25" s="2">
        <f t="shared" si="39"/>
        <v>64000</v>
      </c>
      <c r="BT25" s="33"/>
      <c r="BU25" s="30"/>
      <c r="BV25" s="2">
        <f t="shared" si="40"/>
        <v>0</v>
      </c>
      <c r="BW25" s="33"/>
      <c r="BX25" s="30">
        <v>3</v>
      </c>
      <c r="BY25" s="2">
        <f t="shared" si="41"/>
        <v>24000</v>
      </c>
      <c r="BZ25" s="33"/>
      <c r="CA25" s="30">
        <v>1</v>
      </c>
      <c r="CB25" s="2">
        <f t="shared" si="6"/>
        <v>8000</v>
      </c>
      <c r="CC25" s="33"/>
      <c r="CD25" s="30"/>
      <c r="CE25" s="2">
        <f t="shared" si="42"/>
        <v>0</v>
      </c>
      <c r="CF25" s="33"/>
      <c r="CG25" s="30"/>
      <c r="CH25" s="2">
        <f t="shared" si="43"/>
        <v>0</v>
      </c>
      <c r="CI25" s="33"/>
      <c r="CJ25" s="30"/>
      <c r="CK25" s="2">
        <f t="shared" si="44"/>
        <v>0</v>
      </c>
      <c r="CL25" s="70">
        <f t="shared" si="7"/>
        <v>0</v>
      </c>
      <c r="CM25" s="67">
        <v>12</v>
      </c>
      <c r="CN25" s="51">
        <v>96000</v>
      </c>
      <c r="CO25" s="33"/>
      <c r="CP25" s="30"/>
      <c r="CQ25" s="2">
        <f t="shared" si="45"/>
        <v>0</v>
      </c>
      <c r="CR25" s="70">
        <f t="shared" si="10"/>
        <v>0</v>
      </c>
      <c r="CS25" s="67">
        <f t="shared" si="11"/>
        <v>4</v>
      </c>
      <c r="CT25" s="51">
        <f t="shared" si="12"/>
        <v>32000</v>
      </c>
      <c r="CU25" s="33"/>
      <c r="CV25" s="30"/>
      <c r="CW25" s="2">
        <f t="shared" si="46"/>
        <v>0</v>
      </c>
      <c r="CX25" s="33"/>
      <c r="CY25" s="30"/>
      <c r="CZ25" s="2">
        <f t="shared" si="47"/>
        <v>0</v>
      </c>
      <c r="DA25" s="33"/>
      <c r="DB25" s="30"/>
      <c r="DC25" s="2">
        <f t="shared" si="48"/>
        <v>0</v>
      </c>
      <c r="DD25" s="33"/>
      <c r="DE25" s="30">
        <v>1</v>
      </c>
      <c r="DF25" s="2">
        <f t="shared" si="49"/>
        <v>8000</v>
      </c>
      <c r="DG25" s="33"/>
      <c r="DH25" s="30"/>
      <c r="DI25" s="2">
        <f t="shared" si="50"/>
        <v>0</v>
      </c>
      <c r="DJ25" s="33"/>
      <c r="DK25" s="30"/>
      <c r="DL25" s="2">
        <f t="shared" si="51"/>
        <v>0</v>
      </c>
      <c r="DM25" s="33"/>
      <c r="DN25" s="30"/>
      <c r="DO25" s="2">
        <f t="shared" si="52"/>
        <v>0</v>
      </c>
      <c r="DP25" s="70">
        <f t="shared" si="13"/>
        <v>0</v>
      </c>
      <c r="DQ25" s="67">
        <f t="shared" si="14"/>
        <v>1</v>
      </c>
      <c r="DR25" s="51">
        <f t="shared" si="15"/>
        <v>8000</v>
      </c>
      <c r="DS25" s="52">
        <f t="shared" si="16"/>
        <v>0</v>
      </c>
      <c r="DT25" s="53">
        <v>27</v>
      </c>
      <c r="DU25" s="54">
        <v>216000</v>
      </c>
    </row>
    <row r="26" spans="1:125" s="26" customFormat="1" ht="17.100000000000001" customHeight="1" thickBot="1" x14ac:dyDescent="0.3">
      <c r="A26" s="142" t="s">
        <v>34</v>
      </c>
      <c r="B26" s="179"/>
      <c r="C26" s="29"/>
      <c r="D26" s="125"/>
      <c r="E26" s="126">
        <f t="shared" si="19"/>
        <v>0</v>
      </c>
      <c r="F26" s="29"/>
      <c r="G26" s="125"/>
      <c r="H26" s="126">
        <f t="shared" si="20"/>
        <v>0</v>
      </c>
      <c r="I26" s="29"/>
      <c r="J26" s="125"/>
      <c r="K26" s="126">
        <f t="shared" si="21"/>
        <v>0</v>
      </c>
      <c r="L26" s="31"/>
      <c r="M26" s="125"/>
      <c r="N26" s="126">
        <f t="shared" si="22"/>
        <v>0</v>
      </c>
      <c r="O26" s="31"/>
      <c r="P26" s="125"/>
      <c r="Q26" s="126">
        <f t="shared" si="23"/>
        <v>0</v>
      </c>
      <c r="R26" s="31"/>
      <c r="S26" s="125"/>
      <c r="T26" s="126">
        <f t="shared" si="24"/>
        <v>0</v>
      </c>
      <c r="U26" s="31"/>
      <c r="V26" s="125"/>
      <c r="W26" s="126">
        <f t="shared" si="25"/>
        <v>0</v>
      </c>
      <c r="X26" s="180">
        <v>25000</v>
      </c>
      <c r="Y26" s="125"/>
      <c r="Z26" s="126">
        <f t="shared" si="26"/>
        <v>0</v>
      </c>
      <c r="AA26" s="31"/>
      <c r="AB26" s="125"/>
      <c r="AC26" s="126">
        <f t="shared" si="27"/>
        <v>0</v>
      </c>
      <c r="AD26" s="180">
        <v>25000</v>
      </c>
      <c r="AE26" s="125"/>
      <c r="AF26" s="126">
        <f t="shared" si="28"/>
        <v>0</v>
      </c>
      <c r="AG26" s="31"/>
      <c r="AH26" s="125"/>
      <c r="AI26" s="126">
        <f t="shared" si="29"/>
        <v>0</v>
      </c>
      <c r="AJ26" s="180">
        <v>25000</v>
      </c>
      <c r="AK26" s="125"/>
      <c r="AL26" s="126">
        <f t="shared" si="30"/>
        <v>0</v>
      </c>
      <c r="AM26" s="31"/>
      <c r="AN26" s="125"/>
      <c r="AO26" s="126">
        <f t="shared" si="31"/>
        <v>0</v>
      </c>
      <c r="AP26" s="127">
        <f t="shared" si="0"/>
        <v>0</v>
      </c>
      <c r="AQ26" s="174">
        <f t="shared" si="1"/>
        <v>0</v>
      </c>
      <c r="AR26" s="175">
        <f t="shared" si="2"/>
        <v>0</v>
      </c>
      <c r="AS26" s="31"/>
      <c r="AT26" s="125"/>
      <c r="AU26" s="126">
        <f t="shared" si="32"/>
        <v>0</v>
      </c>
      <c r="AV26" s="180">
        <v>25000</v>
      </c>
      <c r="AW26" s="125"/>
      <c r="AX26" s="126">
        <f t="shared" si="33"/>
        <v>0</v>
      </c>
      <c r="AY26" s="31"/>
      <c r="AZ26" s="125"/>
      <c r="BA26" s="126">
        <f t="shared" si="34"/>
        <v>0</v>
      </c>
      <c r="BB26" s="180">
        <v>25000</v>
      </c>
      <c r="BC26" s="125"/>
      <c r="BD26" s="126">
        <f t="shared" si="35"/>
        <v>0</v>
      </c>
      <c r="BE26" s="31"/>
      <c r="BF26" s="125"/>
      <c r="BG26" s="126">
        <f t="shared" si="36"/>
        <v>0</v>
      </c>
      <c r="BH26" s="180">
        <v>25000</v>
      </c>
      <c r="BI26" s="125"/>
      <c r="BJ26" s="126">
        <f t="shared" si="37"/>
        <v>0</v>
      </c>
      <c r="BK26" s="31"/>
      <c r="BL26" s="125"/>
      <c r="BM26" s="126">
        <f t="shared" si="38"/>
        <v>0</v>
      </c>
      <c r="BN26" s="127">
        <f t="shared" si="3"/>
        <v>75000</v>
      </c>
      <c r="BO26" s="174">
        <f t="shared" si="4"/>
        <v>0</v>
      </c>
      <c r="BP26" s="176">
        <f t="shared" si="5"/>
        <v>0</v>
      </c>
      <c r="BQ26" s="31"/>
      <c r="BR26" s="125"/>
      <c r="BS26" s="126">
        <f t="shared" si="39"/>
        <v>0</v>
      </c>
      <c r="BT26" s="180">
        <v>25000</v>
      </c>
      <c r="BU26" s="125"/>
      <c r="BV26" s="126">
        <f t="shared" si="40"/>
        <v>0</v>
      </c>
      <c r="BW26" s="31"/>
      <c r="BX26" s="125"/>
      <c r="BY26" s="126">
        <f t="shared" si="41"/>
        <v>0</v>
      </c>
      <c r="BZ26" s="180">
        <v>25000</v>
      </c>
      <c r="CA26" s="125"/>
      <c r="CB26" s="126">
        <f t="shared" si="6"/>
        <v>0</v>
      </c>
      <c r="CC26" s="31"/>
      <c r="CD26" s="125"/>
      <c r="CE26" s="126">
        <f t="shared" si="42"/>
        <v>0</v>
      </c>
      <c r="CF26" s="180">
        <v>25000</v>
      </c>
      <c r="CG26" s="125"/>
      <c r="CH26" s="126">
        <f t="shared" si="43"/>
        <v>0</v>
      </c>
      <c r="CI26" s="31"/>
      <c r="CJ26" s="125"/>
      <c r="CK26" s="126">
        <f t="shared" si="44"/>
        <v>0</v>
      </c>
      <c r="CL26" s="127">
        <f t="shared" si="7"/>
        <v>75000</v>
      </c>
      <c r="CM26" s="174">
        <f t="shared" si="8"/>
        <v>0</v>
      </c>
      <c r="CN26" s="176">
        <f t="shared" si="9"/>
        <v>0</v>
      </c>
      <c r="CO26" s="31"/>
      <c r="CP26" s="125"/>
      <c r="CQ26" s="126">
        <f t="shared" si="45"/>
        <v>0</v>
      </c>
      <c r="CR26" s="127">
        <f t="shared" si="10"/>
        <v>75000</v>
      </c>
      <c r="CS26" s="174">
        <f t="shared" si="11"/>
        <v>0</v>
      </c>
      <c r="CT26" s="176">
        <f t="shared" si="12"/>
        <v>0</v>
      </c>
      <c r="CU26" s="187">
        <v>90000</v>
      </c>
      <c r="CV26" s="125"/>
      <c r="CW26" s="126">
        <f t="shared" si="46"/>
        <v>0</v>
      </c>
      <c r="CX26" s="31"/>
      <c r="CY26" s="125"/>
      <c r="CZ26" s="126">
        <f t="shared" si="47"/>
        <v>0</v>
      </c>
      <c r="DA26" s="31"/>
      <c r="DB26" s="125"/>
      <c r="DC26" s="126">
        <f t="shared" si="48"/>
        <v>0</v>
      </c>
      <c r="DD26" s="31"/>
      <c r="DE26" s="125"/>
      <c r="DF26" s="126">
        <f t="shared" si="49"/>
        <v>0</v>
      </c>
      <c r="DG26" s="31"/>
      <c r="DH26" s="125"/>
      <c r="DI26" s="126">
        <f t="shared" si="50"/>
        <v>0</v>
      </c>
      <c r="DJ26" s="31"/>
      <c r="DK26" s="125"/>
      <c r="DL26" s="126">
        <f t="shared" si="51"/>
        <v>0</v>
      </c>
      <c r="DM26" s="31"/>
      <c r="DN26" s="125"/>
      <c r="DO26" s="126">
        <f t="shared" si="52"/>
        <v>0</v>
      </c>
      <c r="DP26" s="127">
        <f t="shared" si="13"/>
        <v>90000</v>
      </c>
      <c r="DQ26" s="174">
        <f t="shared" si="14"/>
        <v>0</v>
      </c>
      <c r="DR26" s="176">
        <f t="shared" si="15"/>
        <v>0</v>
      </c>
      <c r="DS26" s="177">
        <f t="shared" si="16"/>
        <v>240000</v>
      </c>
      <c r="DT26" s="178">
        <f>AQ26+BO26+CM26+CS26+DQ26</f>
        <v>0</v>
      </c>
      <c r="DU26" s="175">
        <f>AR26+BP26+CN26+CT26+DR26</f>
        <v>0</v>
      </c>
    </row>
    <row r="27" spans="1:125" s="26" customFormat="1" ht="17.100000000000001" customHeight="1" thickBot="1" x14ac:dyDescent="0.25">
      <c r="A27" s="36"/>
      <c r="B27" s="37"/>
      <c r="C27" s="38"/>
      <c r="D27" s="39"/>
      <c r="E27" s="3">
        <f t="shared" si="19"/>
        <v>0</v>
      </c>
      <c r="F27" s="38"/>
      <c r="G27" s="39"/>
      <c r="H27" s="3">
        <f t="shared" si="20"/>
        <v>0</v>
      </c>
      <c r="I27" s="38"/>
      <c r="J27" s="39"/>
      <c r="K27" s="3">
        <f t="shared" si="21"/>
        <v>0</v>
      </c>
      <c r="L27" s="40"/>
      <c r="M27" s="39"/>
      <c r="N27" s="3">
        <f t="shared" si="22"/>
        <v>0</v>
      </c>
      <c r="O27" s="40"/>
      <c r="P27" s="39"/>
      <c r="Q27" s="3">
        <f t="shared" si="23"/>
        <v>0</v>
      </c>
      <c r="R27" s="40"/>
      <c r="S27" s="39"/>
      <c r="T27" s="3">
        <f t="shared" si="24"/>
        <v>0</v>
      </c>
      <c r="U27" s="33"/>
      <c r="V27" s="30"/>
      <c r="W27" s="2">
        <f t="shared" si="25"/>
        <v>0</v>
      </c>
      <c r="X27" s="42"/>
      <c r="Y27" s="39"/>
      <c r="Z27" s="3">
        <f t="shared" si="26"/>
        <v>0</v>
      </c>
      <c r="AA27" s="101"/>
      <c r="AB27" s="39"/>
      <c r="AC27" s="3">
        <f t="shared" si="27"/>
        <v>0</v>
      </c>
      <c r="AD27" s="41"/>
      <c r="AE27" s="39"/>
      <c r="AF27" s="3">
        <f t="shared" si="28"/>
        <v>0</v>
      </c>
      <c r="AG27" s="101"/>
      <c r="AH27" s="39"/>
      <c r="AI27" s="3">
        <f t="shared" si="29"/>
        <v>0</v>
      </c>
      <c r="AJ27" s="41"/>
      <c r="AK27" s="39"/>
      <c r="AL27" s="3">
        <f t="shared" si="30"/>
        <v>0</v>
      </c>
      <c r="AM27" s="101"/>
      <c r="AN27" s="39"/>
      <c r="AO27" s="3">
        <f t="shared" si="31"/>
        <v>0</v>
      </c>
      <c r="AP27" s="71">
        <f t="shared" si="0"/>
        <v>0</v>
      </c>
      <c r="AQ27" s="68">
        <f t="shared" si="1"/>
        <v>0</v>
      </c>
      <c r="AR27" s="74">
        <f t="shared" si="2"/>
        <v>0</v>
      </c>
      <c r="AS27" s="41"/>
      <c r="AT27" s="39"/>
      <c r="AU27" s="3">
        <f t="shared" si="32"/>
        <v>0</v>
      </c>
      <c r="AV27" s="41"/>
      <c r="AW27" s="39"/>
      <c r="AX27" s="3">
        <f t="shared" si="33"/>
        <v>0</v>
      </c>
      <c r="AY27" s="101"/>
      <c r="AZ27" s="39"/>
      <c r="BA27" s="3">
        <f t="shared" si="34"/>
        <v>0</v>
      </c>
      <c r="BB27" s="41"/>
      <c r="BC27" s="39"/>
      <c r="BD27" s="3">
        <f t="shared" si="35"/>
        <v>0</v>
      </c>
      <c r="BE27" s="101"/>
      <c r="BF27" s="39"/>
      <c r="BG27" s="3">
        <f t="shared" si="36"/>
        <v>0</v>
      </c>
      <c r="BH27" s="41"/>
      <c r="BI27" s="39"/>
      <c r="BJ27" s="3">
        <f t="shared" si="37"/>
        <v>0</v>
      </c>
      <c r="BK27" s="101"/>
      <c r="BL27" s="39"/>
      <c r="BM27" s="3">
        <f t="shared" si="38"/>
        <v>0</v>
      </c>
      <c r="BN27" s="71">
        <f t="shared" si="3"/>
        <v>0</v>
      </c>
      <c r="BO27" s="68">
        <f t="shared" si="4"/>
        <v>0</v>
      </c>
      <c r="BP27" s="55">
        <f t="shared" si="5"/>
        <v>0</v>
      </c>
      <c r="BQ27" s="41"/>
      <c r="BR27" s="39"/>
      <c r="BS27" s="3">
        <f t="shared" si="39"/>
        <v>0</v>
      </c>
      <c r="BT27" s="41"/>
      <c r="BU27" s="39"/>
      <c r="BV27" s="3">
        <f t="shared" si="40"/>
        <v>0</v>
      </c>
      <c r="BW27" s="40"/>
      <c r="BX27" s="39"/>
      <c r="BY27" s="3">
        <f t="shared" si="41"/>
        <v>0</v>
      </c>
      <c r="BZ27" s="41"/>
      <c r="CA27" s="39"/>
      <c r="CB27" s="3">
        <f t="shared" si="6"/>
        <v>0</v>
      </c>
      <c r="CC27" s="40"/>
      <c r="CD27" s="39"/>
      <c r="CE27" s="3">
        <f t="shared" si="42"/>
        <v>0</v>
      </c>
      <c r="CF27" s="41"/>
      <c r="CG27" s="39"/>
      <c r="CH27" s="3">
        <f t="shared" si="43"/>
        <v>0</v>
      </c>
      <c r="CI27" s="40"/>
      <c r="CJ27" s="39"/>
      <c r="CK27" s="3">
        <f t="shared" si="44"/>
        <v>0</v>
      </c>
      <c r="CL27" s="71">
        <f t="shared" si="7"/>
        <v>0</v>
      </c>
      <c r="CM27" s="68">
        <f t="shared" si="8"/>
        <v>0</v>
      </c>
      <c r="CN27" s="55">
        <f t="shared" si="9"/>
        <v>0</v>
      </c>
      <c r="CO27" s="41"/>
      <c r="CP27" s="39"/>
      <c r="CQ27" s="3">
        <f t="shared" si="45"/>
        <v>0</v>
      </c>
      <c r="CR27" s="71">
        <f t="shared" si="10"/>
        <v>0</v>
      </c>
      <c r="CS27" s="68">
        <f t="shared" si="11"/>
        <v>0</v>
      </c>
      <c r="CT27" s="51">
        <f t="shared" si="12"/>
        <v>0</v>
      </c>
      <c r="CU27" s="41"/>
      <c r="CV27" s="39"/>
      <c r="CW27" s="3">
        <f t="shared" si="46"/>
        <v>0</v>
      </c>
      <c r="CX27" s="40"/>
      <c r="CY27" s="39"/>
      <c r="CZ27" s="3">
        <f t="shared" si="47"/>
        <v>0</v>
      </c>
      <c r="DA27" s="41"/>
      <c r="DB27" s="39"/>
      <c r="DC27" s="3">
        <f t="shared" si="48"/>
        <v>0</v>
      </c>
      <c r="DD27" s="40"/>
      <c r="DE27" s="39"/>
      <c r="DF27" s="3">
        <f t="shared" si="49"/>
        <v>0</v>
      </c>
      <c r="DG27" s="41"/>
      <c r="DH27" s="39"/>
      <c r="DI27" s="3">
        <f t="shared" si="50"/>
        <v>0</v>
      </c>
      <c r="DJ27" s="40"/>
      <c r="DK27" s="39"/>
      <c r="DL27" s="3">
        <f t="shared" si="51"/>
        <v>0</v>
      </c>
      <c r="DM27" s="41"/>
      <c r="DN27" s="39"/>
      <c r="DO27" s="3">
        <f t="shared" si="52"/>
        <v>0</v>
      </c>
      <c r="DP27" s="71">
        <f t="shared" si="13"/>
        <v>0</v>
      </c>
      <c r="DQ27" s="68">
        <f t="shared" si="14"/>
        <v>0</v>
      </c>
      <c r="DR27" s="55">
        <f t="shared" si="15"/>
        <v>0</v>
      </c>
      <c r="DS27" s="56">
        <f t="shared" si="16"/>
        <v>0</v>
      </c>
      <c r="DT27" s="57">
        <f>AQ27+BO27+CM27+CS27+DQ27</f>
        <v>0</v>
      </c>
      <c r="DU27" s="58">
        <f>AR27+BP27+CN27+CT27+DR27</f>
        <v>0</v>
      </c>
    </row>
    <row r="28" spans="1:125" ht="17.100000000000001" customHeight="1" thickBot="1" x14ac:dyDescent="0.3">
      <c r="Z28" s="5"/>
      <c r="AP28" s="59">
        <f>SUM(AP4:AP27)</f>
        <v>75000</v>
      </c>
      <c r="AR28" s="75">
        <f>SUM(AR4:AR27)</f>
        <v>1118000</v>
      </c>
      <c r="BN28" s="59">
        <f>SUM(BN4:BN27)</f>
        <v>80000</v>
      </c>
      <c r="BP28" s="59">
        <f>SUM(BP4:BP27)</f>
        <v>1476000</v>
      </c>
      <c r="CL28" s="59">
        <f>SUM(CL4:CL27)</f>
        <v>235000</v>
      </c>
      <c r="CN28" s="59">
        <f>SUM(CN4:CN27)</f>
        <v>1833000</v>
      </c>
      <c r="CR28" s="59">
        <f>SUM(CR4:CR27)</f>
        <v>235000</v>
      </c>
      <c r="CT28" s="59">
        <f>SUM(CT4:CT27)</f>
        <v>1762000</v>
      </c>
      <c r="DP28" s="59">
        <f>SUM(DP4:DP27)</f>
        <v>210000</v>
      </c>
      <c r="DR28" s="59">
        <f>SUM(DR4:DR27)</f>
        <v>921000</v>
      </c>
      <c r="DS28" s="60">
        <f>SUM(DS4:DS27)</f>
        <v>600000</v>
      </c>
      <c r="DT28" s="61">
        <f>SUM(DT4:DT27)</f>
        <v>696</v>
      </c>
      <c r="DU28" s="62">
        <f>SUM(DU4:DU27)</f>
        <v>5547000</v>
      </c>
    </row>
    <row r="29" spans="1:125" ht="17.100000000000001" customHeight="1" x14ac:dyDescent="0.25">
      <c r="DS29" s="44"/>
      <c r="DT29" s="46"/>
      <c r="DU29" s="44"/>
    </row>
    <row r="30" spans="1:125" ht="17.100000000000001" customHeight="1" x14ac:dyDescent="0.25"/>
    <row r="31" spans="1:125" ht="17.100000000000001" customHeight="1" x14ac:dyDescent="0.25"/>
    <row r="32" spans="1:125" ht="17.100000000000001" customHeight="1" x14ac:dyDescent="0.25"/>
    <row r="33" ht="17.100000000000001" customHeight="1" x14ac:dyDescent="0.25"/>
    <row r="34" ht="17.100000000000001" customHeight="1" x14ac:dyDescent="0.25"/>
    <row r="35" ht="17.100000000000001" customHeight="1" x14ac:dyDescent="0.25"/>
  </sheetData>
  <sheetProtection formatCells="0" formatColumns="0" formatRows="0" insertColumns="0" insertRows="0" insertHyperlinks="0" deleteColumns="0" deleteRows="0" sort="0" autoFilter="0" pivotTables="0"/>
  <mergeCells count="82">
    <mergeCell ref="BQ1:BS1"/>
    <mergeCell ref="AG1:AI1"/>
    <mergeCell ref="C1:E1"/>
    <mergeCell ref="F1:H1"/>
    <mergeCell ref="I1:K1"/>
    <mergeCell ref="L1:N1"/>
    <mergeCell ref="O1:Q1"/>
    <mergeCell ref="R1:T1"/>
    <mergeCell ref="U1:W1"/>
    <mergeCell ref="AP1:AR1"/>
    <mergeCell ref="X1:Z1"/>
    <mergeCell ref="AA1:AC1"/>
    <mergeCell ref="AD1:AF1"/>
    <mergeCell ref="AJ1:AL1"/>
    <mergeCell ref="AM1:AO1"/>
    <mergeCell ref="AS1:AU1"/>
    <mergeCell ref="BN1:BP1"/>
    <mergeCell ref="AV1:AX1"/>
    <mergeCell ref="AY1:BA1"/>
    <mergeCell ref="BB1:BD1"/>
    <mergeCell ref="BE1:BG1"/>
    <mergeCell ref="BH1:BJ1"/>
    <mergeCell ref="BK1:BM1"/>
    <mergeCell ref="DD1:DF1"/>
    <mergeCell ref="BT1:BV1"/>
    <mergeCell ref="BW1:BY1"/>
    <mergeCell ref="BZ1:CB1"/>
    <mergeCell ref="CC1:CE1"/>
    <mergeCell ref="CF1:CH1"/>
    <mergeCell ref="CI1:CK1"/>
    <mergeCell ref="CO1:CQ1"/>
    <mergeCell ref="CR1:CT1"/>
    <mergeCell ref="CU1:CW1"/>
    <mergeCell ref="CX1:CZ1"/>
    <mergeCell ref="DA1:DC1"/>
    <mergeCell ref="CL1:CN1"/>
    <mergeCell ref="C2:E2"/>
    <mergeCell ref="F2:H2"/>
    <mergeCell ref="I2:K2"/>
    <mergeCell ref="L2:N2"/>
    <mergeCell ref="O2:Q2"/>
    <mergeCell ref="DG1:DI1"/>
    <mergeCell ref="DJ1:DL1"/>
    <mergeCell ref="DM1:DO1"/>
    <mergeCell ref="DP1:DR1"/>
    <mergeCell ref="DS1:DU1"/>
    <mergeCell ref="AV2:AX2"/>
    <mergeCell ref="R2:T2"/>
    <mergeCell ref="U2:W2"/>
    <mergeCell ref="AP2:AR2"/>
    <mergeCell ref="X2:Z2"/>
    <mergeCell ref="AA2:AC2"/>
    <mergeCell ref="AD2:AF2"/>
    <mergeCell ref="AG2:AI2"/>
    <mergeCell ref="AJ2:AL2"/>
    <mergeCell ref="AM2:AO2"/>
    <mergeCell ref="AS2:AU2"/>
    <mergeCell ref="CF2:CH2"/>
    <mergeCell ref="AY2:BA2"/>
    <mergeCell ref="BB2:BD2"/>
    <mergeCell ref="BE2:BG2"/>
    <mergeCell ref="BH2:BJ2"/>
    <mergeCell ref="BK2:BM2"/>
    <mergeCell ref="BQ2:BS2"/>
    <mergeCell ref="BT2:BV2"/>
    <mergeCell ref="BW2:BY2"/>
    <mergeCell ref="BZ2:CB2"/>
    <mergeCell ref="CC2:CE2"/>
    <mergeCell ref="BN2:BP2"/>
    <mergeCell ref="DS2:DU2"/>
    <mergeCell ref="CI2:CK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  <mergeCell ref="CL2:CN2"/>
  </mergeCells>
  <printOptions horizontalCentered="1"/>
  <pageMargins left="0.19685039370078741" right="0.19685039370078741" top="0.19685039370078741" bottom="0.19685039370078741" header="0" footer="0"/>
  <pageSetup paperSize="9" scale="74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7A6D-6CF9-4EE4-B208-2874CDD3FF96}">
  <sheetPr>
    <pageSetUpPr fitToPage="1"/>
  </sheetPr>
  <dimension ref="A1:ED25"/>
  <sheetViews>
    <sheetView tabSelected="1" zoomScaleNormal="100" workbookViewId="0">
      <pane xSplit="1" topLeftCell="DP1" activePane="topRight" state="frozen"/>
      <selection pane="topRight" activeCell="EF7" sqref="EF7"/>
    </sheetView>
  </sheetViews>
  <sheetFormatPr baseColWidth="10" defaultRowHeight="15" x14ac:dyDescent="0.25"/>
  <cols>
    <col min="1" max="1" width="30.7109375" style="5" bestFit="1" customWidth="1"/>
    <col min="2" max="2" width="8" style="43" customWidth="1"/>
    <col min="3" max="3" width="8.7109375" style="5" hidden="1" customWidth="1"/>
    <col min="4" max="4" width="2.7109375" style="5" hidden="1" customWidth="1"/>
    <col min="5" max="6" width="8.7109375" style="5" hidden="1" customWidth="1"/>
    <col min="7" max="7" width="2.7109375" style="5" hidden="1" customWidth="1"/>
    <col min="8" max="9" width="8.7109375" style="5" hidden="1" customWidth="1"/>
    <col min="10" max="10" width="2.7109375" style="5" hidden="1" customWidth="1"/>
    <col min="11" max="12" width="8.7109375" style="5" hidden="1" customWidth="1"/>
    <col min="13" max="13" width="2.7109375" style="5" hidden="1" customWidth="1"/>
    <col min="14" max="15" width="8.7109375" style="5" hidden="1" customWidth="1"/>
    <col min="16" max="16" width="2.7109375" style="5" hidden="1" customWidth="1"/>
    <col min="17" max="18" width="8.7109375" style="5" hidden="1" customWidth="1"/>
    <col min="19" max="19" width="2.7109375" style="5" hidden="1" customWidth="1"/>
    <col min="20" max="21" width="8.7109375" style="5" hidden="1" customWidth="1"/>
    <col min="22" max="22" width="4.140625" style="5" hidden="1" customWidth="1"/>
    <col min="23" max="23" width="8.7109375" style="5" hidden="1" customWidth="1"/>
    <col min="24" max="24" width="9.42578125" style="5" hidden="1" customWidth="1"/>
    <col min="25" max="25" width="2.7109375" style="5" hidden="1" customWidth="1"/>
    <col min="26" max="26" width="10.42578125" style="45" hidden="1" customWidth="1"/>
    <col min="27" max="27" width="8.7109375" style="5" customWidth="1"/>
    <col min="28" max="28" width="4.140625" style="5" customWidth="1"/>
    <col min="29" max="29" width="8.7109375" style="5" customWidth="1"/>
    <col min="30" max="30" width="10.42578125" style="5" customWidth="1"/>
    <col min="31" max="31" width="2.7109375" style="5" customWidth="1"/>
    <col min="32" max="33" width="8.7109375" style="5" customWidth="1"/>
    <col min="34" max="34" width="2.7109375" style="5" customWidth="1"/>
    <col min="35" max="36" width="8.7109375" style="5" customWidth="1"/>
    <col min="37" max="37" width="3.7109375" style="5" customWidth="1"/>
    <col min="38" max="39" width="8.7109375" style="5" customWidth="1"/>
    <col min="40" max="40" width="4.28515625" style="5" customWidth="1"/>
    <col min="41" max="42" width="8.7109375" style="5" customWidth="1"/>
    <col min="43" max="43" width="2.7109375" style="5" customWidth="1"/>
    <col min="44" max="45" width="8.7109375" style="5" customWidth="1"/>
    <col min="46" max="46" width="4.42578125" style="5" customWidth="1"/>
    <col min="47" max="47" width="8.7109375" style="5" customWidth="1"/>
    <col min="48" max="48" width="10.42578125" style="5" customWidth="1"/>
    <col min="49" max="49" width="4.85546875" style="5" customWidth="1"/>
    <col min="50" max="50" width="10.42578125" style="5" bestFit="1" customWidth="1"/>
    <col min="51" max="51" width="8.7109375" style="5" customWidth="1"/>
    <col min="52" max="52" width="2.7109375" style="5" customWidth="1"/>
    <col min="53" max="53" width="8.7109375" style="5" customWidth="1"/>
    <col min="54" max="54" width="10.5703125" style="5" customWidth="1"/>
    <col min="55" max="55" width="2.7109375" style="5" customWidth="1"/>
    <col min="56" max="57" width="8.7109375" style="5" customWidth="1"/>
    <col min="58" max="58" width="2.7109375" style="5" customWidth="1"/>
    <col min="59" max="59" width="8.7109375" style="5" customWidth="1"/>
    <col min="60" max="60" width="9.85546875" style="5" customWidth="1"/>
    <col min="61" max="61" width="3.85546875" style="5" customWidth="1"/>
    <col min="62" max="63" width="8.7109375" style="5" customWidth="1"/>
    <col min="64" max="64" width="2.7109375" style="5" customWidth="1"/>
    <col min="65" max="66" width="8.7109375" style="5" customWidth="1"/>
    <col min="67" max="67" width="4" style="5" customWidth="1"/>
    <col min="68" max="68" width="8.7109375" style="5" customWidth="1"/>
    <col min="69" max="69" width="10.28515625" style="5" customWidth="1"/>
    <col min="70" max="70" width="2.7109375" style="5" customWidth="1"/>
    <col min="71" max="71" width="8.7109375" style="5" customWidth="1"/>
    <col min="72" max="72" width="10.42578125" style="5" bestFit="1" customWidth="1"/>
    <col min="73" max="73" width="3.5703125" style="5" customWidth="1"/>
    <col min="74" max="74" width="10.42578125" style="5" bestFit="1" customWidth="1"/>
    <col min="75" max="75" width="8.7109375" style="5" customWidth="1"/>
    <col min="76" max="76" width="2.7109375" style="5" customWidth="1"/>
    <col min="77" max="78" width="8.7109375" style="5" customWidth="1"/>
    <col min="79" max="79" width="3.85546875" style="5" customWidth="1"/>
    <col min="80" max="81" width="8.7109375" style="5" customWidth="1"/>
    <col min="82" max="82" width="4.140625" style="5" customWidth="1"/>
    <col min="83" max="84" width="8.7109375" style="5" customWidth="1"/>
    <col min="85" max="85" width="4.140625" style="5" customWidth="1"/>
    <col min="86" max="87" width="8.7109375" style="5" customWidth="1"/>
    <col min="88" max="88" width="3.28515625" style="5" customWidth="1"/>
    <col min="89" max="90" width="8.7109375" style="5" customWidth="1"/>
    <col min="91" max="91" width="4.28515625" style="5" customWidth="1"/>
    <col min="92" max="93" width="8.7109375" style="5" customWidth="1"/>
    <col min="94" max="94" width="2.7109375" style="5" customWidth="1"/>
    <col min="95" max="95" width="8.7109375" style="5" customWidth="1"/>
    <col min="96" max="96" width="10.42578125" style="5" bestFit="1" customWidth="1"/>
    <col min="97" max="97" width="4.28515625" style="5" customWidth="1"/>
    <col min="98" max="98" width="10.42578125" style="5" bestFit="1" customWidth="1"/>
    <col min="99" max="99" width="8.7109375" style="5" customWidth="1"/>
    <col min="100" max="100" width="3.5703125" style="5" customWidth="1"/>
    <col min="101" max="102" width="8.7109375" style="5" customWidth="1"/>
    <col min="103" max="103" width="3.7109375" style="5" customWidth="1"/>
    <col min="104" max="105" width="8.7109375" style="5" customWidth="1"/>
    <col min="106" max="106" width="3.85546875" style="5" customWidth="1"/>
    <col min="107" max="108" width="8.7109375" style="5" customWidth="1"/>
    <col min="109" max="109" width="2.7109375" style="5" customWidth="1"/>
    <col min="110" max="111" width="8.7109375" style="5" customWidth="1"/>
    <col min="112" max="112" width="4.140625" style="5" customWidth="1"/>
    <col min="113" max="114" width="8.7109375" style="5" customWidth="1"/>
    <col min="115" max="115" width="4.7109375" style="5" customWidth="1"/>
    <col min="116" max="117" width="8.7109375" style="5" customWidth="1"/>
    <col min="118" max="118" width="2.7109375" style="5" customWidth="1"/>
    <col min="119" max="119" width="8.7109375" style="5" customWidth="1"/>
    <col min="120" max="120" width="10.42578125" style="5" bestFit="1" customWidth="1"/>
    <col min="121" max="121" width="5" style="5" customWidth="1"/>
    <col min="122" max="122" width="10.42578125" style="5" bestFit="1" customWidth="1"/>
    <col min="123" max="123" width="9.28515625" style="5" customWidth="1"/>
    <col min="124" max="124" width="4.85546875" style="5" customWidth="1"/>
    <col min="125" max="125" width="10.7109375" style="5" customWidth="1"/>
    <col min="126" max="126" width="9.140625" style="5" customWidth="1"/>
    <col min="127" max="127" width="4.7109375" style="5" customWidth="1"/>
    <col min="128" max="128" width="11.42578125" style="5"/>
    <col min="129" max="129" width="9.140625" style="5" customWidth="1"/>
    <col min="130" max="130" width="4.7109375" style="5" customWidth="1"/>
    <col min="131" max="131" width="11.42578125" style="5"/>
    <col min="132" max="132" width="10.42578125" style="5" bestFit="1" customWidth="1"/>
    <col min="133" max="133" width="5" style="5" customWidth="1"/>
    <col min="134" max="134" width="10.42578125" style="5" bestFit="1" customWidth="1"/>
    <col min="135" max="16384" width="11.42578125" style="5"/>
  </cols>
  <sheetData>
    <row r="1" spans="1:134" ht="26.25" x14ac:dyDescent="0.4">
      <c r="A1" s="4" t="s">
        <v>72</v>
      </c>
      <c r="B1" s="76" t="s">
        <v>0</v>
      </c>
      <c r="C1" s="232">
        <v>1</v>
      </c>
      <c r="D1" s="233"/>
      <c r="E1" s="233"/>
      <c r="F1" s="232">
        <v>2</v>
      </c>
      <c r="G1" s="233"/>
      <c r="H1" s="233"/>
      <c r="I1" s="232">
        <v>3</v>
      </c>
      <c r="J1" s="233"/>
      <c r="K1" s="233"/>
      <c r="L1" s="233">
        <v>4</v>
      </c>
      <c r="M1" s="233"/>
      <c r="N1" s="233"/>
      <c r="O1" s="233">
        <v>5</v>
      </c>
      <c r="P1" s="233"/>
      <c r="Q1" s="233"/>
      <c r="R1" s="233">
        <v>6</v>
      </c>
      <c r="S1" s="233"/>
      <c r="T1" s="233"/>
      <c r="U1" s="233">
        <v>1</v>
      </c>
      <c r="V1" s="233"/>
      <c r="W1" s="300"/>
      <c r="X1" s="216" t="s">
        <v>1</v>
      </c>
      <c r="Y1" s="217"/>
      <c r="Z1" s="218"/>
      <c r="AA1" s="234">
        <v>1</v>
      </c>
      <c r="AB1" s="227"/>
      <c r="AC1" s="227"/>
      <c r="AD1" s="227">
        <v>2</v>
      </c>
      <c r="AE1" s="227"/>
      <c r="AF1" s="227"/>
      <c r="AG1" s="227">
        <v>3</v>
      </c>
      <c r="AH1" s="227"/>
      <c r="AI1" s="227"/>
      <c r="AJ1" s="227">
        <v>4</v>
      </c>
      <c r="AK1" s="227"/>
      <c r="AL1" s="227"/>
      <c r="AM1" s="227">
        <v>5</v>
      </c>
      <c r="AN1" s="227"/>
      <c r="AO1" s="227"/>
      <c r="AP1" s="227">
        <v>6</v>
      </c>
      <c r="AQ1" s="227"/>
      <c r="AR1" s="227"/>
      <c r="AS1" s="227">
        <v>7</v>
      </c>
      <c r="AT1" s="227"/>
      <c r="AU1" s="228"/>
      <c r="AV1" s="216" t="s">
        <v>1</v>
      </c>
      <c r="AW1" s="217"/>
      <c r="AX1" s="218"/>
      <c r="AY1" s="229">
        <v>8</v>
      </c>
      <c r="AZ1" s="230"/>
      <c r="BA1" s="230"/>
      <c r="BB1" s="230">
        <v>9</v>
      </c>
      <c r="BC1" s="230"/>
      <c r="BD1" s="230"/>
      <c r="BE1" s="230">
        <v>10</v>
      </c>
      <c r="BF1" s="230"/>
      <c r="BG1" s="230"/>
      <c r="BH1" s="230">
        <v>11</v>
      </c>
      <c r="BI1" s="230"/>
      <c r="BJ1" s="230"/>
      <c r="BK1" s="230">
        <v>12</v>
      </c>
      <c r="BL1" s="230"/>
      <c r="BM1" s="230"/>
      <c r="BN1" s="230">
        <v>13</v>
      </c>
      <c r="BO1" s="230"/>
      <c r="BP1" s="230"/>
      <c r="BQ1" s="230">
        <v>14</v>
      </c>
      <c r="BR1" s="230"/>
      <c r="BS1" s="231"/>
      <c r="BT1" s="216" t="s">
        <v>1</v>
      </c>
      <c r="BU1" s="217"/>
      <c r="BV1" s="218"/>
      <c r="BW1" s="223">
        <v>15</v>
      </c>
      <c r="BX1" s="224"/>
      <c r="BY1" s="224"/>
      <c r="BZ1" s="224">
        <v>16</v>
      </c>
      <c r="CA1" s="224"/>
      <c r="CB1" s="224"/>
      <c r="CC1" s="224">
        <v>17</v>
      </c>
      <c r="CD1" s="224"/>
      <c r="CE1" s="224"/>
      <c r="CF1" s="224">
        <v>18</v>
      </c>
      <c r="CG1" s="224"/>
      <c r="CH1" s="224"/>
      <c r="CI1" s="224">
        <v>19</v>
      </c>
      <c r="CJ1" s="224"/>
      <c r="CK1" s="224"/>
      <c r="CL1" s="224">
        <v>20</v>
      </c>
      <c r="CM1" s="224"/>
      <c r="CN1" s="224"/>
      <c r="CO1" s="224">
        <v>21</v>
      </c>
      <c r="CP1" s="224"/>
      <c r="CQ1" s="225"/>
      <c r="CR1" s="216" t="s">
        <v>1</v>
      </c>
      <c r="CS1" s="217"/>
      <c r="CT1" s="218"/>
      <c r="CU1" s="234">
        <v>22</v>
      </c>
      <c r="CV1" s="227"/>
      <c r="CW1" s="227"/>
      <c r="CX1" s="227">
        <v>23</v>
      </c>
      <c r="CY1" s="227"/>
      <c r="CZ1" s="227"/>
      <c r="DA1" s="227">
        <v>24</v>
      </c>
      <c r="DB1" s="227"/>
      <c r="DC1" s="227"/>
      <c r="DD1" s="227">
        <v>25</v>
      </c>
      <c r="DE1" s="227"/>
      <c r="DF1" s="227"/>
      <c r="DG1" s="227">
        <v>26</v>
      </c>
      <c r="DH1" s="227"/>
      <c r="DI1" s="227"/>
      <c r="DJ1" s="227">
        <v>27</v>
      </c>
      <c r="DK1" s="227"/>
      <c r="DL1" s="227"/>
      <c r="DM1" s="227">
        <v>28</v>
      </c>
      <c r="DN1" s="227"/>
      <c r="DO1" s="228"/>
      <c r="DP1" s="216" t="s">
        <v>1</v>
      </c>
      <c r="DQ1" s="217"/>
      <c r="DR1" s="218"/>
      <c r="DS1" s="223">
        <v>29</v>
      </c>
      <c r="DT1" s="224"/>
      <c r="DU1" s="225"/>
      <c r="DV1" s="223">
        <v>30</v>
      </c>
      <c r="DW1" s="224"/>
      <c r="DX1" s="225"/>
      <c r="DY1" s="223">
        <v>31</v>
      </c>
      <c r="DZ1" s="224"/>
      <c r="EA1" s="225"/>
      <c r="EB1" s="216" t="s">
        <v>1</v>
      </c>
      <c r="EC1" s="217"/>
      <c r="ED1" s="218"/>
    </row>
    <row r="2" spans="1:134" ht="19.5" thickBot="1" x14ac:dyDescent="0.3">
      <c r="A2" s="6" t="s">
        <v>2</v>
      </c>
      <c r="B2" s="77" t="s">
        <v>3</v>
      </c>
      <c r="C2" s="222" t="s">
        <v>10</v>
      </c>
      <c r="D2" s="207"/>
      <c r="E2" s="207"/>
      <c r="F2" s="222" t="s">
        <v>11</v>
      </c>
      <c r="G2" s="207"/>
      <c r="H2" s="207"/>
      <c r="I2" s="222" t="s">
        <v>4</v>
      </c>
      <c r="J2" s="207"/>
      <c r="K2" s="207"/>
      <c r="L2" s="207" t="s">
        <v>5</v>
      </c>
      <c r="M2" s="207"/>
      <c r="N2" s="207"/>
      <c r="O2" s="207" t="s">
        <v>6</v>
      </c>
      <c r="P2" s="207"/>
      <c r="Q2" s="207"/>
      <c r="R2" s="207" t="s">
        <v>7</v>
      </c>
      <c r="S2" s="207"/>
      <c r="T2" s="207"/>
      <c r="U2" s="207" t="s">
        <v>8</v>
      </c>
      <c r="V2" s="207"/>
      <c r="W2" s="299"/>
      <c r="X2" s="197" t="s">
        <v>9</v>
      </c>
      <c r="Y2" s="198"/>
      <c r="Z2" s="199"/>
      <c r="AA2" s="211" t="s">
        <v>10</v>
      </c>
      <c r="AB2" s="212"/>
      <c r="AC2" s="212"/>
      <c r="AD2" s="212" t="s">
        <v>11</v>
      </c>
      <c r="AE2" s="212"/>
      <c r="AF2" s="212"/>
      <c r="AG2" s="212" t="s">
        <v>4</v>
      </c>
      <c r="AH2" s="212"/>
      <c r="AI2" s="212"/>
      <c r="AJ2" s="212" t="s">
        <v>5</v>
      </c>
      <c r="AK2" s="212"/>
      <c r="AL2" s="212"/>
      <c r="AM2" s="212" t="s">
        <v>6</v>
      </c>
      <c r="AN2" s="212"/>
      <c r="AO2" s="212"/>
      <c r="AP2" s="212" t="s">
        <v>7</v>
      </c>
      <c r="AQ2" s="212"/>
      <c r="AR2" s="212"/>
      <c r="AS2" s="212" t="s">
        <v>8</v>
      </c>
      <c r="AT2" s="212"/>
      <c r="AU2" s="213"/>
      <c r="AV2" s="197" t="s">
        <v>9</v>
      </c>
      <c r="AW2" s="198"/>
      <c r="AX2" s="199"/>
      <c r="AY2" s="206" t="s">
        <v>10</v>
      </c>
      <c r="AZ2" s="203"/>
      <c r="BA2" s="203"/>
      <c r="BB2" s="203" t="s">
        <v>11</v>
      </c>
      <c r="BC2" s="203"/>
      <c r="BD2" s="203"/>
      <c r="BE2" s="203" t="s">
        <v>4</v>
      </c>
      <c r="BF2" s="203"/>
      <c r="BG2" s="203"/>
      <c r="BH2" s="203" t="s">
        <v>5</v>
      </c>
      <c r="BI2" s="203"/>
      <c r="BJ2" s="203"/>
      <c r="BK2" s="203" t="s">
        <v>6</v>
      </c>
      <c r="BL2" s="203"/>
      <c r="BM2" s="203"/>
      <c r="BN2" s="203" t="s">
        <v>7</v>
      </c>
      <c r="BO2" s="203"/>
      <c r="BP2" s="203"/>
      <c r="BQ2" s="203" t="s">
        <v>8</v>
      </c>
      <c r="BR2" s="203"/>
      <c r="BS2" s="204"/>
      <c r="BT2" s="197" t="s">
        <v>12</v>
      </c>
      <c r="BU2" s="198"/>
      <c r="BV2" s="199"/>
      <c r="BW2" s="205" t="s">
        <v>10</v>
      </c>
      <c r="BX2" s="195"/>
      <c r="BY2" s="195"/>
      <c r="BZ2" s="195" t="s">
        <v>11</v>
      </c>
      <c r="CA2" s="195"/>
      <c r="CB2" s="195"/>
      <c r="CC2" s="195" t="s">
        <v>4</v>
      </c>
      <c r="CD2" s="195"/>
      <c r="CE2" s="195"/>
      <c r="CF2" s="195" t="s">
        <v>5</v>
      </c>
      <c r="CG2" s="195"/>
      <c r="CH2" s="195"/>
      <c r="CI2" s="195" t="s">
        <v>6</v>
      </c>
      <c r="CJ2" s="195"/>
      <c r="CK2" s="195"/>
      <c r="CL2" s="195" t="s">
        <v>7</v>
      </c>
      <c r="CM2" s="195"/>
      <c r="CN2" s="195"/>
      <c r="CO2" s="195" t="s">
        <v>8</v>
      </c>
      <c r="CP2" s="195"/>
      <c r="CQ2" s="196"/>
      <c r="CR2" s="197" t="s">
        <v>13</v>
      </c>
      <c r="CS2" s="198"/>
      <c r="CT2" s="199"/>
      <c r="CU2" s="211" t="s">
        <v>10</v>
      </c>
      <c r="CV2" s="212"/>
      <c r="CW2" s="212"/>
      <c r="CX2" s="212" t="s">
        <v>11</v>
      </c>
      <c r="CY2" s="212"/>
      <c r="CZ2" s="212"/>
      <c r="DA2" s="212" t="s">
        <v>4</v>
      </c>
      <c r="DB2" s="212"/>
      <c r="DC2" s="212"/>
      <c r="DD2" s="212" t="s">
        <v>5</v>
      </c>
      <c r="DE2" s="212"/>
      <c r="DF2" s="212"/>
      <c r="DG2" s="297" t="s">
        <v>6</v>
      </c>
      <c r="DH2" s="297"/>
      <c r="DI2" s="297"/>
      <c r="DJ2" s="297" t="s">
        <v>7</v>
      </c>
      <c r="DK2" s="297"/>
      <c r="DL2" s="297"/>
      <c r="DM2" s="297" t="s">
        <v>37</v>
      </c>
      <c r="DN2" s="297"/>
      <c r="DO2" s="298"/>
      <c r="DP2" s="197" t="s">
        <v>14</v>
      </c>
      <c r="DQ2" s="198"/>
      <c r="DR2" s="199"/>
      <c r="DS2" s="294" t="s">
        <v>10</v>
      </c>
      <c r="DT2" s="295"/>
      <c r="DU2" s="296"/>
      <c r="DV2" s="294" t="s">
        <v>11</v>
      </c>
      <c r="DW2" s="295"/>
      <c r="DX2" s="296"/>
      <c r="DY2" s="294" t="s">
        <v>4</v>
      </c>
      <c r="DZ2" s="295"/>
      <c r="EA2" s="296"/>
      <c r="EB2" s="197" t="s">
        <v>16</v>
      </c>
      <c r="EC2" s="198"/>
      <c r="ED2" s="199"/>
    </row>
    <row r="3" spans="1:134" s="17" customFormat="1" ht="17.100000000000001" customHeight="1" thickBot="1" x14ac:dyDescent="0.2">
      <c r="A3" s="7" t="s">
        <v>17</v>
      </c>
      <c r="B3" s="78" t="s">
        <v>18</v>
      </c>
      <c r="C3" s="8" t="s">
        <v>19</v>
      </c>
      <c r="D3" s="9" t="s">
        <v>20</v>
      </c>
      <c r="E3" s="10" t="s">
        <v>21</v>
      </c>
      <c r="F3" s="8" t="s">
        <v>19</v>
      </c>
      <c r="G3" s="9" t="s">
        <v>20</v>
      </c>
      <c r="H3" s="10" t="s">
        <v>21</v>
      </c>
      <c r="I3" s="8" t="s">
        <v>19</v>
      </c>
      <c r="J3" s="9" t="s">
        <v>20</v>
      </c>
      <c r="K3" s="10" t="s">
        <v>21</v>
      </c>
      <c r="L3" s="11" t="s">
        <v>19</v>
      </c>
      <c r="M3" s="9" t="s">
        <v>20</v>
      </c>
      <c r="N3" s="10" t="s">
        <v>21</v>
      </c>
      <c r="O3" s="11" t="s">
        <v>19</v>
      </c>
      <c r="P3" s="9" t="s">
        <v>20</v>
      </c>
      <c r="Q3" s="10" t="s">
        <v>21</v>
      </c>
      <c r="R3" s="11" t="s">
        <v>19</v>
      </c>
      <c r="S3" s="9" t="s">
        <v>20</v>
      </c>
      <c r="T3" s="10" t="s">
        <v>21</v>
      </c>
      <c r="U3" s="11" t="s">
        <v>19</v>
      </c>
      <c r="V3" s="9" t="s">
        <v>20</v>
      </c>
      <c r="W3" s="12" t="s">
        <v>21</v>
      </c>
      <c r="X3" s="8" t="s">
        <v>19</v>
      </c>
      <c r="Y3" s="13" t="s">
        <v>20</v>
      </c>
      <c r="Z3" s="12" t="s">
        <v>21</v>
      </c>
      <c r="AA3" s="8" t="s">
        <v>19</v>
      </c>
      <c r="AB3" s="9" t="s">
        <v>20</v>
      </c>
      <c r="AC3" s="10" t="s">
        <v>21</v>
      </c>
      <c r="AD3" s="8" t="s">
        <v>19</v>
      </c>
      <c r="AE3" s="9" t="s">
        <v>20</v>
      </c>
      <c r="AF3" s="10" t="s">
        <v>21</v>
      </c>
      <c r="AG3" s="8" t="s">
        <v>19</v>
      </c>
      <c r="AH3" s="9" t="s">
        <v>20</v>
      </c>
      <c r="AI3" s="10" t="s">
        <v>21</v>
      </c>
      <c r="AJ3" s="11" t="s">
        <v>19</v>
      </c>
      <c r="AK3" s="9" t="s">
        <v>20</v>
      </c>
      <c r="AL3" s="10" t="s">
        <v>21</v>
      </c>
      <c r="AM3" s="11" t="s">
        <v>19</v>
      </c>
      <c r="AN3" s="9" t="s">
        <v>20</v>
      </c>
      <c r="AO3" s="10" t="s">
        <v>21</v>
      </c>
      <c r="AP3" s="11" t="s">
        <v>19</v>
      </c>
      <c r="AQ3" s="9" t="s">
        <v>20</v>
      </c>
      <c r="AR3" s="10" t="s">
        <v>21</v>
      </c>
      <c r="AS3" s="11" t="s">
        <v>19</v>
      </c>
      <c r="AT3" s="9" t="s">
        <v>20</v>
      </c>
      <c r="AU3" s="12" t="s">
        <v>21</v>
      </c>
      <c r="AV3" s="8" t="s">
        <v>19</v>
      </c>
      <c r="AW3" s="13" t="s">
        <v>20</v>
      </c>
      <c r="AX3" s="12" t="s">
        <v>21</v>
      </c>
      <c r="AY3" s="8" t="s">
        <v>19</v>
      </c>
      <c r="AZ3" s="9" t="s">
        <v>20</v>
      </c>
      <c r="BA3" s="10" t="s">
        <v>21</v>
      </c>
      <c r="BB3" s="11" t="s">
        <v>19</v>
      </c>
      <c r="BC3" s="9" t="s">
        <v>20</v>
      </c>
      <c r="BD3" s="10" t="s">
        <v>21</v>
      </c>
      <c r="BE3" s="11" t="s">
        <v>19</v>
      </c>
      <c r="BF3" s="9" t="s">
        <v>20</v>
      </c>
      <c r="BG3" s="10" t="s">
        <v>21</v>
      </c>
      <c r="BH3" s="11" t="s">
        <v>19</v>
      </c>
      <c r="BI3" s="9" t="s">
        <v>20</v>
      </c>
      <c r="BJ3" s="10" t="s">
        <v>21</v>
      </c>
      <c r="BK3" s="11" t="s">
        <v>19</v>
      </c>
      <c r="BL3" s="9" t="s">
        <v>20</v>
      </c>
      <c r="BM3" s="10" t="s">
        <v>21</v>
      </c>
      <c r="BN3" s="11" t="s">
        <v>19</v>
      </c>
      <c r="BO3" s="9" t="s">
        <v>20</v>
      </c>
      <c r="BP3" s="10" t="s">
        <v>21</v>
      </c>
      <c r="BQ3" s="11" t="s">
        <v>19</v>
      </c>
      <c r="BR3" s="9" t="s">
        <v>20</v>
      </c>
      <c r="BS3" s="12" t="s">
        <v>21</v>
      </c>
      <c r="BT3" s="8" t="s">
        <v>19</v>
      </c>
      <c r="BU3" s="13" t="s">
        <v>20</v>
      </c>
      <c r="BV3" s="12" t="s">
        <v>21</v>
      </c>
      <c r="BW3" s="8" t="s">
        <v>19</v>
      </c>
      <c r="BX3" s="9" t="s">
        <v>20</v>
      </c>
      <c r="BY3" s="10" t="s">
        <v>21</v>
      </c>
      <c r="BZ3" s="11" t="s">
        <v>19</v>
      </c>
      <c r="CA3" s="9" t="s">
        <v>20</v>
      </c>
      <c r="CB3" s="10" t="s">
        <v>21</v>
      </c>
      <c r="CC3" s="11" t="s">
        <v>19</v>
      </c>
      <c r="CD3" s="9" t="s">
        <v>20</v>
      </c>
      <c r="CE3" s="10" t="s">
        <v>21</v>
      </c>
      <c r="CF3" s="11" t="s">
        <v>19</v>
      </c>
      <c r="CG3" s="9" t="s">
        <v>20</v>
      </c>
      <c r="CH3" s="10" t="s">
        <v>21</v>
      </c>
      <c r="CI3" s="11" t="s">
        <v>19</v>
      </c>
      <c r="CJ3" s="9" t="s">
        <v>20</v>
      </c>
      <c r="CK3" s="10" t="s">
        <v>21</v>
      </c>
      <c r="CL3" s="11" t="s">
        <v>19</v>
      </c>
      <c r="CM3" s="9" t="s">
        <v>20</v>
      </c>
      <c r="CN3" s="10" t="s">
        <v>21</v>
      </c>
      <c r="CO3" s="11" t="s">
        <v>19</v>
      </c>
      <c r="CP3" s="9" t="s">
        <v>20</v>
      </c>
      <c r="CQ3" s="12" t="s">
        <v>21</v>
      </c>
      <c r="CR3" s="8" t="s">
        <v>19</v>
      </c>
      <c r="CS3" s="13" t="s">
        <v>20</v>
      </c>
      <c r="CT3" s="12" t="s">
        <v>21</v>
      </c>
      <c r="CU3" s="8" t="s">
        <v>19</v>
      </c>
      <c r="CV3" s="9" t="s">
        <v>20</v>
      </c>
      <c r="CW3" s="10" t="s">
        <v>21</v>
      </c>
      <c r="CX3" s="11" t="s">
        <v>19</v>
      </c>
      <c r="CY3" s="9" t="s">
        <v>20</v>
      </c>
      <c r="CZ3" s="10" t="s">
        <v>21</v>
      </c>
      <c r="DA3" s="11" t="s">
        <v>19</v>
      </c>
      <c r="DB3" s="9" t="s">
        <v>20</v>
      </c>
      <c r="DC3" s="10" t="s">
        <v>21</v>
      </c>
      <c r="DD3" s="11" t="s">
        <v>19</v>
      </c>
      <c r="DE3" s="9" t="s">
        <v>20</v>
      </c>
      <c r="DF3" s="10" t="s">
        <v>21</v>
      </c>
      <c r="DG3" s="11" t="s">
        <v>19</v>
      </c>
      <c r="DH3" s="9" t="s">
        <v>20</v>
      </c>
      <c r="DI3" s="12" t="s">
        <v>21</v>
      </c>
      <c r="DJ3" s="11" t="s">
        <v>19</v>
      </c>
      <c r="DK3" s="9" t="s">
        <v>20</v>
      </c>
      <c r="DL3" s="12" t="s">
        <v>21</v>
      </c>
      <c r="DM3" s="11" t="s">
        <v>19</v>
      </c>
      <c r="DN3" s="9" t="s">
        <v>20</v>
      </c>
      <c r="DO3" s="12" t="s">
        <v>21</v>
      </c>
      <c r="DP3" s="8" t="s">
        <v>19</v>
      </c>
      <c r="DQ3" s="13" t="s">
        <v>20</v>
      </c>
      <c r="DR3" s="12" t="s">
        <v>21</v>
      </c>
      <c r="DS3" s="8" t="s">
        <v>19</v>
      </c>
      <c r="DT3" s="9" t="s">
        <v>20</v>
      </c>
      <c r="DU3" s="12" t="s">
        <v>21</v>
      </c>
      <c r="DV3" s="8" t="s">
        <v>19</v>
      </c>
      <c r="DW3" s="9" t="s">
        <v>20</v>
      </c>
      <c r="DX3" s="12" t="s">
        <v>21</v>
      </c>
      <c r="DY3" s="8" t="s">
        <v>19</v>
      </c>
      <c r="DZ3" s="9" t="s">
        <v>20</v>
      </c>
      <c r="EA3" s="12" t="s">
        <v>21</v>
      </c>
      <c r="EB3" s="8" t="s">
        <v>19</v>
      </c>
      <c r="EC3" s="13" t="s">
        <v>20</v>
      </c>
      <c r="ED3" s="12" t="s">
        <v>21</v>
      </c>
    </row>
    <row r="4" spans="1:134" s="26" customFormat="1" ht="17.100000000000001" customHeight="1" thickBot="1" x14ac:dyDescent="0.25">
      <c r="A4" s="122" t="s">
        <v>22</v>
      </c>
      <c r="B4" s="19">
        <v>8000</v>
      </c>
      <c r="C4" s="20"/>
      <c r="D4" s="21"/>
      <c r="E4" s="1">
        <f>$B4*D4</f>
        <v>0</v>
      </c>
      <c r="F4" s="20"/>
      <c r="G4" s="21"/>
      <c r="H4" s="1">
        <f>$B4*G4</f>
        <v>0</v>
      </c>
      <c r="I4" s="20"/>
      <c r="J4" s="21"/>
      <c r="K4" s="1">
        <f>$B4*J4</f>
        <v>0</v>
      </c>
      <c r="L4" s="22"/>
      <c r="M4" s="21"/>
      <c r="N4" s="1">
        <f>$B4*M4</f>
        <v>0</v>
      </c>
      <c r="O4" s="22"/>
      <c r="P4" s="21"/>
      <c r="Q4" s="1">
        <f>$B4*P4</f>
        <v>0</v>
      </c>
      <c r="R4" s="23"/>
      <c r="S4" s="21"/>
      <c r="T4" s="1">
        <f>$B4*S4</f>
        <v>0</v>
      </c>
      <c r="U4" s="24"/>
      <c r="V4" s="21"/>
      <c r="W4" s="63">
        <f>$B4*V4</f>
        <v>0</v>
      </c>
      <c r="X4" s="69">
        <f t="shared" ref="X4:X21" si="0">C4+F4+I4+L4+O4+R4+U4</f>
        <v>0</v>
      </c>
      <c r="Y4" s="66">
        <f t="shared" ref="Y4:Y17" si="1">D4+G4+J4+M4+P4+S4+V4</f>
        <v>0</v>
      </c>
      <c r="Z4" s="72">
        <f t="shared" ref="Z4:Z17" si="2">E4+H4+K4+N4+Q4+T4+W4</f>
        <v>0</v>
      </c>
      <c r="AA4" s="25"/>
      <c r="AB4" s="21"/>
      <c r="AC4" s="1">
        <f>$B4*AB4</f>
        <v>0</v>
      </c>
      <c r="AD4" s="24"/>
      <c r="AE4" s="21">
        <v>1</v>
      </c>
      <c r="AF4" s="1">
        <f>$B4*AE4</f>
        <v>8000</v>
      </c>
      <c r="AG4" s="24"/>
      <c r="AH4" s="21">
        <v>2</v>
      </c>
      <c r="AI4" s="1">
        <f>$B4*AH4</f>
        <v>16000</v>
      </c>
      <c r="AJ4" s="24"/>
      <c r="AK4" s="21"/>
      <c r="AL4" s="1">
        <f>$B4*AK4</f>
        <v>0</v>
      </c>
      <c r="AM4" s="24"/>
      <c r="AN4" s="21"/>
      <c r="AO4" s="1">
        <f>$B4*AN4</f>
        <v>0</v>
      </c>
      <c r="AP4" s="24"/>
      <c r="AQ4" s="21"/>
      <c r="AR4" s="1">
        <f>$B4*AQ4</f>
        <v>0</v>
      </c>
      <c r="AS4" s="24"/>
      <c r="AT4" s="21"/>
      <c r="AU4" s="1">
        <f>$B4*AT4</f>
        <v>0</v>
      </c>
      <c r="AV4" s="69">
        <f>AA4+AD4+AG4+AJ4+AM4+AP4+AS4</f>
        <v>0</v>
      </c>
      <c r="AW4" s="66">
        <f>AB4+AE4+AH4+AK4+AN4+AQ4+AT4</f>
        <v>3</v>
      </c>
      <c r="AX4" s="47">
        <f>AC4+AF4+AI4+AL4+AO4+AR4+AU4</f>
        <v>24000</v>
      </c>
      <c r="AY4" s="24"/>
      <c r="AZ4" s="21"/>
      <c r="BA4" s="1">
        <f>$B4*AZ4</f>
        <v>0</v>
      </c>
      <c r="BB4" s="24"/>
      <c r="BC4" s="21"/>
      <c r="BD4" s="1">
        <f>$B4*BC4</f>
        <v>0</v>
      </c>
      <c r="BE4" s="24"/>
      <c r="BF4" s="21">
        <v>1</v>
      </c>
      <c r="BG4" s="1">
        <f>$B4*BF4</f>
        <v>8000</v>
      </c>
      <c r="BH4" s="24"/>
      <c r="BI4" s="21"/>
      <c r="BJ4" s="1">
        <f>$B4*BI4</f>
        <v>0</v>
      </c>
      <c r="BK4" s="24"/>
      <c r="BL4" s="21"/>
      <c r="BM4" s="1">
        <f>$B4*BL4</f>
        <v>0</v>
      </c>
      <c r="BN4" s="24"/>
      <c r="BO4" s="21"/>
      <c r="BP4" s="1">
        <f>$B4*BO4</f>
        <v>0</v>
      </c>
      <c r="BQ4" s="24"/>
      <c r="BR4" s="21"/>
      <c r="BS4" s="1">
        <f>$B4*BR4</f>
        <v>0</v>
      </c>
      <c r="BT4" s="69">
        <f>AY4+BB4+BE4+BH4+BK4+BN4+BQ4</f>
        <v>0</v>
      </c>
      <c r="BU4" s="66">
        <f>AZ4+BC4+BF4+BI4+BL4+BO4+BR4</f>
        <v>1</v>
      </c>
      <c r="BV4" s="47">
        <f>BA4+BD4+BG4+BJ4+BM4+BP4+BS4</f>
        <v>8000</v>
      </c>
      <c r="BW4" s="24"/>
      <c r="BX4" s="21"/>
      <c r="BY4" s="1">
        <f>$B4*BX4</f>
        <v>0</v>
      </c>
      <c r="BZ4" s="24"/>
      <c r="CA4" s="21"/>
      <c r="CB4" s="1">
        <f>$B4*CA4</f>
        <v>0</v>
      </c>
      <c r="CC4" s="24"/>
      <c r="CD4" s="21"/>
      <c r="CE4" s="1">
        <f>$B4*CD4</f>
        <v>0</v>
      </c>
      <c r="CF4" s="24"/>
      <c r="CG4" s="21"/>
      <c r="CH4" s="1">
        <f>$B4*CG4</f>
        <v>0</v>
      </c>
      <c r="CI4" s="24"/>
      <c r="CJ4" s="21"/>
      <c r="CK4" s="1">
        <f>$B4*CJ4</f>
        <v>0</v>
      </c>
      <c r="CL4" s="24"/>
      <c r="CM4" s="21"/>
      <c r="CN4" s="1">
        <f>$B4*CM4</f>
        <v>0</v>
      </c>
      <c r="CO4" s="24"/>
      <c r="CP4" s="21"/>
      <c r="CQ4" s="1">
        <f>$B4*CP4</f>
        <v>0</v>
      </c>
      <c r="CR4" s="69">
        <f>BW4+BZ4+CC4+CF4+CI4+CL4+CO4</f>
        <v>0</v>
      </c>
      <c r="CS4" s="66">
        <f>BX4+CA4+CD4+CG4+CJ4+CM4+CP4</f>
        <v>0</v>
      </c>
      <c r="CT4" s="47">
        <f>BY4+CB4+CE4+CH4+CK4+CN4+CQ4</f>
        <v>0</v>
      </c>
      <c r="CU4" s="24"/>
      <c r="CV4" s="21"/>
      <c r="CW4" s="1">
        <f>$B4*CV4</f>
        <v>0</v>
      </c>
      <c r="CX4" s="24"/>
      <c r="CY4" s="21"/>
      <c r="CZ4" s="1">
        <f>$B4*CY4</f>
        <v>0</v>
      </c>
      <c r="DA4" s="24"/>
      <c r="DB4" s="21">
        <v>1</v>
      </c>
      <c r="DC4" s="1">
        <f>$B4*DB4</f>
        <v>8000</v>
      </c>
      <c r="DD4" s="24"/>
      <c r="DE4" s="21">
        <v>1</v>
      </c>
      <c r="DF4" s="1">
        <f>$B4*DE4</f>
        <v>8000</v>
      </c>
      <c r="DG4" s="24"/>
      <c r="DH4" s="21">
        <v>1</v>
      </c>
      <c r="DI4" s="1">
        <f>$B4*DH4</f>
        <v>8000</v>
      </c>
      <c r="DJ4" s="24"/>
      <c r="DK4" s="21">
        <v>1</v>
      </c>
      <c r="DL4" s="1">
        <f>$B4*DK4</f>
        <v>8000</v>
      </c>
      <c r="DM4" s="24"/>
      <c r="DN4" s="21"/>
      <c r="DO4" s="1">
        <f>$B4*DN4</f>
        <v>0</v>
      </c>
      <c r="DP4" s="69">
        <f>CU4+CX4+DA4+DD4+DG4+DJ4+DM4</f>
        <v>0</v>
      </c>
      <c r="DQ4" s="66">
        <f>CV4+CY4+DB4+DE4+DH4+DK4+DN4</f>
        <v>4</v>
      </c>
      <c r="DR4" s="47">
        <f>CW4+CZ4+DC4+DF4+DI4+DL4+DO4</f>
        <v>32000</v>
      </c>
      <c r="DS4" s="103"/>
      <c r="DT4" s="21"/>
      <c r="DU4" s="47">
        <f>$B4*DT4</f>
        <v>0</v>
      </c>
      <c r="DV4" s="103"/>
      <c r="DW4" s="21"/>
      <c r="DX4" s="47">
        <f>$B4*DW4</f>
        <v>0</v>
      </c>
      <c r="DY4" s="103"/>
      <c r="DZ4" s="21"/>
      <c r="EA4" s="47">
        <f>$B4*DZ4</f>
        <v>0</v>
      </c>
      <c r="EB4" s="69">
        <f>DG4+DJ4+DM4+DP4+DS4+DV4+DY4</f>
        <v>0</v>
      </c>
      <c r="EC4" s="66">
        <v>8</v>
      </c>
      <c r="ED4" s="47">
        <v>64000</v>
      </c>
    </row>
    <row r="5" spans="1:134" s="26" customFormat="1" ht="17.100000000000001" customHeight="1" thickBot="1" x14ac:dyDescent="0.25">
      <c r="A5" s="93" t="s">
        <v>23</v>
      </c>
      <c r="B5" s="19">
        <v>8000</v>
      </c>
      <c r="C5" s="29"/>
      <c r="D5" s="30"/>
      <c r="E5" s="2">
        <f t="shared" ref="E5:E17" si="3">$B5*D5</f>
        <v>0</v>
      </c>
      <c r="F5" s="29"/>
      <c r="G5" s="30"/>
      <c r="H5" s="2">
        <f t="shared" ref="H5:H17" si="4">$B5*G5</f>
        <v>0</v>
      </c>
      <c r="I5" s="29"/>
      <c r="J5" s="30"/>
      <c r="K5" s="2">
        <f t="shared" ref="K5:K17" si="5">$B5*J5</f>
        <v>0</v>
      </c>
      <c r="L5" s="31"/>
      <c r="M5" s="30"/>
      <c r="N5" s="2">
        <f t="shared" ref="N5:N17" si="6">$B5*M5</f>
        <v>0</v>
      </c>
      <c r="O5" s="31"/>
      <c r="P5" s="30"/>
      <c r="Q5" s="2">
        <f t="shared" ref="Q5:Q17" si="7">$B5*P5</f>
        <v>0</v>
      </c>
      <c r="R5" s="32"/>
      <c r="S5" s="30"/>
      <c r="T5" s="2">
        <f t="shared" ref="T5:T17" si="8">$B5*S5</f>
        <v>0</v>
      </c>
      <c r="U5" s="33"/>
      <c r="V5" s="30"/>
      <c r="W5" s="64">
        <f t="shared" ref="W5:W17" si="9">$B5*V5</f>
        <v>0</v>
      </c>
      <c r="X5" s="70">
        <f t="shared" si="0"/>
        <v>0</v>
      </c>
      <c r="Y5" s="67">
        <f t="shared" si="1"/>
        <v>0</v>
      </c>
      <c r="Z5" s="73">
        <f t="shared" si="2"/>
        <v>0</v>
      </c>
      <c r="AA5" s="35"/>
      <c r="AB5" s="30"/>
      <c r="AC5" s="2">
        <f t="shared" ref="AC5:AC17" si="10">$B5*AB5</f>
        <v>0</v>
      </c>
      <c r="AD5" s="33"/>
      <c r="AE5" s="30">
        <v>3</v>
      </c>
      <c r="AF5" s="2">
        <f t="shared" ref="AF5:AF17" si="11">$B5*AE5</f>
        <v>24000</v>
      </c>
      <c r="AG5" s="33"/>
      <c r="AH5" s="30">
        <v>2</v>
      </c>
      <c r="AI5" s="2">
        <f t="shared" ref="AI5:AI17" si="12">$B5*AH5</f>
        <v>16000</v>
      </c>
      <c r="AJ5" s="33"/>
      <c r="AK5" s="30"/>
      <c r="AL5" s="2">
        <f t="shared" ref="AL5:AL17" si="13">$B5*AK5</f>
        <v>0</v>
      </c>
      <c r="AM5" s="33"/>
      <c r="AN5" s="30"/>
      <c r="AO5" s="2">
        <f t="shared" ref="AO5:AO17" si="14">$B5*AN5</f>
        <v>0</v>
      </c>
      <c r="AP5" s="33"/>
      <c r="AQ5" s="30"/>
      <c r="AR5" s="2">
        <f t="shared" ref="AR5:AR17" si="15">$B5*AQ5</f>
        <v>0</v>
      </c>
      <c r="AS5" s="33"/>
      <c r="AT5" s="30"/>
      <c r="AU5" s="2">
        <f t="shared" ref="AU5:AU17" si="16">$B5*AT5</f>
        <v>0</v>
      </c>
      <c r="AV5" s="70">
        <f t="shared" ref="AV5:AX17" si="17">AA5+AD5+AG5+AJ5+AM5+AP5+AS5</f>
        <v>0</v>
      </c>
      <c r="AW5" s="67">
        <f t="shared" si="17"/>
        <v>5</v>
      </c>
      <c r="AX5" s="51">
        <f t="shared" si="17"/>
        <v>40000</v>
      </c>
      <c r="AY5" s="33"/>
      <c r="AZ5" s="30"/>
      <c r="BA5" s="2">
        <f t="shared" ref="BA5:BA17" si="18">$B5*AZ5</f>
        <v>0</v>
      </c>
      <c r="BB5" s="33"/>
      <c r="BC5" s="30"/>
      <c r="BD5" s="2">
        <f t="shared" ref="BD5:BD17" si="19">$B5*BC5</f>
        <v>0</v>
      </c>
      <c r="BE5" s="33"/>
      <c r="BF5" s="30"/>
      <c r="BG5" s="2">
        <f t="shared" ref="BG5:BG17" si="20">$B5*BF5</f>
        <v>0</v>
      </c>
      <c r="BH5" s="33"/>
      <c r="BI5" s="30"/>
      <c r="BJ5" s="2">
        <f t="shared" ref="BJ5:BJ17" si="21">$B5*BI5</f>
        <v>0</v>
      </c>
      <c r="BK5" s="33"/>
      <c r="BL5" s="30"/>
      <c r="BM5" s="2">
        <f t="shared" ref="BM5:BM17" si="22">$B5*BL5</f>
        <v>0</v>
      </c>
      <c r="BN5" s="33"/>
      <c r="BO5" s="30"/>
      <c r="BP5" s="2">
        <f t="shared" ref="BP5:BP17" si="23">$B5*BO5</f>
        <v>0</v>
      </c>
      <c r="BQ5" s="33"/>
      <c r="BR5" s="30"/>
      <c r="BS5" s="2">
        <f t="shared" ref="BS5:BS17" si="24">$B5*BR5</f>
        <v>0</v>
      </c>
      <c r="BT5" s="70">
        <f t="shared" ref="BT5:BV17" si="25">AY5+BB5+BE5+BH5+BK5+BN5+BQ5</f>
        <v>0</v>
      </c>
      <c r="BU5" s="67">
        <f t="shared" si="25"/>
        <v>0</v>
      </c>
      <c r="BV5" s="51">
        <f t="shared" si="25"/>
        <v>0</v>
      </c>
      <c r="BW5" s="33"/>
      <c r="BX5" s="30"/>
      <c r="BY5" s="2">
        <f t="shared" ref="BY5:BY17" si="26">$B5*BX5</f>
        <v>0</v>
      </c>
      <c r="BZ5" s="33"/>
      <c r="CA5" s="30"/>
      <c r="CB5" s="2">
        <f t="shared" ref="CB5:CB17" si="27">$B5*CA5</f>
        <v>0</v>
      </c>
      <c r="CC5" s="33"/>
      <c r="CD5" s="30"/>
      <c r="CE5" s="2">
        <f t="shared" ref="CE5:CE17" si="28">$B5*CD5</f>
        <v>0</v>
      </c>
      <c r="CF5" s="33"/>
      <c r="CG5" s="30"/>
      <c r="CH5" s="2">
        <f t="shared" ref="CH5:CH17" si="29">$B5*CG5</f>
        <v>0</v>
      </c>
      <c r="CI5" s="33"/>
      <c r="CJ5" s="30"/>
      <c r="CK5" s="2">
        <f t="shared" ref="CK5:CK17" si="30">$B5*CJ5</f>
        <v>0</v>
      </c>
      <c r="CL5" s="33"/>
      <c r="CM5" s="30"/>
      <c r="CN5" s="2">
        <f t="shared" ref="CN5:CN17" si="31">$B5*CM5</f>
        <v>0</v>
      </c>
      <c r="CO5" s="33"/>
      <c r="CP5" s="30"/>
      <c r="CQ5" s="2">
        <f t="shared" ref="CQ5:CQ17" si="32">$B5*CP5</f>
        <v>0</v>
      </c>
      <c r="CR5" s="70">
        <f t="shared" ref="CR5:CT17" si="33">BW5+BZ5+CC5+CF5+CI5+CL5+CO5</f>
        <v>0</v>
      </c>
      <c r="CS5" s="67">
        <f t="shared" si="33"/>
        <v>0</v>
      </c>
      <c r="CT5" s="51">
        <f t="shared" si="33"/>
        <v>0</v>
      </c>
      <c r="CU5" s="33"/>
      <c r="CV5" s="30"/>
      <c r="CW5" s="2">
        <f t="shared" ref="CW5:CW17" si="34">$B5*CV5</f>
        <v>0</v>
      </c>
      <c r="CX5" s="33"/>
      <c r="CY5" s="30"/>
      <c r="CZ5" s="2">
        <f t="shared" ref="CZ5:CZ17" si="35">$B5*CY5</f>
        <v>0</v>
      </c>
      <c r="DA5" s="33"/>
      <c r="DB5" s="30">
        <v>2</v>
      </c>
      <c r="DC5" s="2">
        <f t="shared" ref="DC5:DC17" si="36">$B5*DB5</f>
        <v>16000</v>
      </c>
      <c r="DD5" s="33"/>
      <c r="DE5" s="30">
        <v>1</v>
      </c>
      <c r="DF5" s="2">
        <f t="shared" ref="DF5:DF17" si="37">$B5*DE5</f>
        <v>8000</v>
      </c>
      <c r="DG5" s="33">
        <v>10000</v>
      </c>
      <c r="DH5" s="30">
        <v>1</v>
      </c>
      <c r="DI5" s="2">
        <f t="shared" ref="DI5:DI17" si="38">$B5*DH5</f>
        <v>8000</v>
      </c>
      <c r="DJ5" s="33"/>
      <c r="DK5" s="30"/>
      <c r="DL5" s="2">
        <f t="shared" ref="DL5:DL17" si="39">$B5*DK5</f>
        <v>0</v>
      </c>
      <c r="DM5" s="33"/>
      <c r="DN5" s="30"/>
      <c r="DO5" s="2">
        <f t="shared" ref="DO5:DO17" si="40">$B5*DN5</f>
        <v>0</v>
      </c>
      <c r="DP5" s="70">
        <f t="shared" ref="DP5:DR17" si="41">CU5+CX5+DA5+DD5+DG5+DJ5+DM5</f>
        <v>10000</v>
      </c>
      <c r="DQ5" s="67">
        <f t="shared" si="41"/>
        <v>4</v>
      </c>
      <c r="DR5" s="51">
        <f t="shared" si="41"/>
        <v>32000</v>
      </c>
      <c r="DS5" s="34"/>
      <c r="DT5" s="30"/>
      <c r="DU5" s="51">
        <f t="shared" ref="DU5:DU17" si="42">$B5*DT5</f>
        <v>0</v>
      </c>
      <c r="DV5" s="34"/>
      <c r="DW5" s="30"/>
      <c r="DX5" s="51">
        <f t="shared" ref="DX5:DX17" si="43">$B5*DW5</f>
        <v>0</v>
      </c>
      <c r="DY5" s="34"/>
      <c r="DZ5" s="30"/>
      <c r="EA5" s="51">
        <f t="shared" ref="EA5:EA21" si="44">$B5*DZ5</f>
        <v>0</v>
      </c>
      <c r="EB5" s="70">
        <v>10000</v>
      </c>
      <c r="EC5" s="67">
        <v>9</v>
      </c>
      <c r="ED5" s="51">
        <v>72000</v>
      </c>
    </row>
    <row r="6" spans="1:134" s="26" customFormat="1" ht="17.100000000000001" customHeight="1" thickBot="1" x14ac:dyDescent="0.25">
      <c r="A6" s="93" t="s">
        <v>24</v>
      </c>
      <c r="B6" s="19">
        <v>8000</v>
      </c>
      <c r="C6" s="29"/>
      <c r="D6" s="30"/>
      <c r="E6" s="2">
        <f t="shared" si="3"/>
        <v>0</v>
      </c>
      <c r="F6" s="29"/>
      <c r="G6" s="30"/>
      <c r="H6" s="2">
        <f t="shared" si="4"/>
        <v>0</v>
      </c>
      <c r="I6" s="29"/>
      <c r="J6" s="30"/>
      <c r="K6" s="2">
        <f t="shared" si="5"/>
        <v>0</v>
      </c>
      <c r="L6" s="31"/>
      <c r="M6" s="30"/>
      <c r="N6" s="2">
        <f t="shared" si="6"/>
        <v>0</v>
      </c>
      <c r="O6" s="31"/>
      <c r="P6" s="30"/>
      <c r="Q6" s="2">
        <f t="shared" si="7"/>
        <v>0</v>
      </c>
      <c r="R6" s="32"/>
      <c r="S6" s="30"/>
      <c r="T6" s="2">
        <f t="shared" si="8"/>
        <v>0</v>
      </c>
      <c r="U6" s="33"/>
      <c r="V6" s="30"/>
      <c r="W6" s="64">
        <f t="shared" si="9"/>
        <v>0</v>
      </c>
      <c r="X6" s="70">
        <f t="shared" si="0"/>
        <v>0</v>
      </c>
      <c r="Y6" s="67">
        <f t="shared" si="1"/>
        <v>0</v>
      </c>
      <c r="Z6" s="73">
        <f t="shared" si="2"/>
        <v>0</v>
      </c>
      <c r="AA6" s="35"/>
      <c r="AB6" s="30"/>
      <c r="AC6" s="2">
        <f t="shared" si="10"/>
        <v>0</v>
      </c>
      <c r="AD6" s="33"/>
      <c r="AE6" s="30">
        <v>2</v>
      </c>
      <c r="AF6" s="2">
        <f t="shared" si="11"/>
        <v>16000</v>
      </c>
      <c r="AG6" s="33">
        <v>30000</v>
      </c>
      <c r="AH6" s="30">
        <v>1</v>
      </c>
      <c r="AI6" s="2">
        <f t="shared" si="12"/>
        <v>8000</v>
      </c>
      <c r="AJ6" s="33"/>
      <c r="AK6" s="30"/>
      <c r="AL6" s="2">
        <f t="shared" si="13"/>
        <v>0</v>
      </c>
      <c r="AM6" s="33"/>
      <c r="AN6" s="30"/>
      <c r="AO6" s="2">
        <f t="shared" si="14"/>
        <v>0</v>
      </c>
      <c r="AP6" s="33"/>
      <c r="AQ6" s="30"/>
      <c r="AR6" s="2">
        <f t="shared" si="15"/>
        <v>0</v>
      </c>
      <c r="AS6" s="33"/>
      <c r="AT6" s="30"/>
      <c r="AU6" s="2">
        <f t="shared" si="16"/>
        <v>0</v>
      </c>
      <c r="AV6" s="70">
        <f t="shared" si="17"/>
        <v>30000</v>
      </c>
      <c r="AW6" s="67">
        <f t="shared" si="17"/>
        <v>3</v>
      </c>
      <c r="AX6" s="51">
        <f t="shared" si="17"/>
        <v>24000</v>
      </c>
      <c r="AY6" s="33"/>
      <c r="AZ6" s="30"/>
      <c r="BA6" s="2">
        <f t="shared" si="18"/>
        <v>0</v>
      </c>
      <c r="BB6" s="33"/>
      <c r="BC6" s="30"/>
      <c r="BD6" s="2">
        <f t="shared" si="19"/>
        <v>0</v>
      </c>
      <c r="BE6" s="32"/>
      <c r="BF6" s="30">
        <v>1</v>
      </c>
      <c r="BG6" s="2">
        <f t="shared" si="20"/>
        <v>8000</v>
      </c>
      <c r="BH6" s="33"/>
      <c r="BI6" s="30"/>
      <c r="BJ6" s="2">
        <f t="shared" si="21"/>
        <v>0</v>
      </c>
      <c r="BK6" s="33"/>
      <c r="BL6" s="30"/>
      <c r="BM6" s="2">
        <f t="shared" si="22"/>
        <v>0</v>
      </c>
      <c r="BN6" s="33"/>
      <c r="BO6" s="30"/>
      <c r="BP6" s="2">
        <f t="shared" si="23"/>
        <v>0</v>
      </c>
      <c r="BQ6" s="33"/>
      <c r="BR6" s="30"/>
      <c r="BS6" s="2">
        <f t="shared" si="24"/>
        <v>0</v>
      </c>
      <c r="BT6" s="70">
        <f t="shared" si="25"/>
        <v>0</v>
      </c>
      <c r="BU6" s="67">
        <f t="shared" si="25"/>
        <v>1</v>
      </c>
      <c r="BV6" s="51">
        <f t="shared" si="25"/>
        <v>8000</v>
      </c>
      <c r="BW6" s="33"/>
      <c r="BX6" s="30"/>
      <c r="BY6" s="2">
        <f t="shared" si="26"/>
        <v>0</v>
      </c>
      <c r="BZ6" s="31"/>
      <c r="CA6" s="30"/>
      <c r="CB6" s="2">
        <f t="shared" ref="CB6:CB16" si="45">$B6*CA6</f>
        <v>0</v>
      </c>
      <c r="CC6" s="33"/>
      <c r="CD6" s="30"/>
      <c r="CE6" s="2">
        <f t="shared" ref="CE6:CE16" si="46">$B6*CD6</f>
        <v>0</v>
      </c>
      <c r="CF6" s="33"/>
      <c r="CG6" s="30"/>
      <c r="CH6" s="2">
        <f t="shared" ref="CH6:CH16" si="47">$B6*CG6</f>
        <v>0</v>
      </c>
      <c r="CI6" s="33"/>
      <c r="CJ6" s="30"/>
      <c r="CK6" s="2">
        <f t="shared" ref="CK6:CK16" si="48">$B6*CJ6</f>
        <v>0</v>
      </c>
      <c r="CL6" s="33"/>
      <c r="CM6" s="30"/>
      <c r="CN6" s="2">
        <f t="shared" ref="CN6:CN16" si="49">$B6*CM6</f>
        <v>0</v>
      </c>
      <c r="CO6" s="31"/>
      <c r="CP6" s="30"/>
      <c r="CQ6" s="2">
        <f t="shared" ref="CQ6:CQ16" si="50">$B6*CP6</f>
        <v>0</v>
      </c>
      <c r="CR6" s="127">
        <f t="shared" si="33"/>
        <v>0</v>
      </c>
      <c r="CS6" s="67">
        <f t="shared" ref="CS6:CS16" si="51">BX6+CA6+CD6+CG6+CJ6+CM6+CP6</f>
        <v>0</v>
      </c>
      <c r="CT6" s="51">
        <f t="shared" ref="CT6:CT16" si="52">BY6+CB6+CE6+CH6+CK6+CN6+CQ6</f>
        <v>0</v>
      </c>
      <c r="CU6" s="31"/>
      <c r="CV6" s="30"/>
      <c r="CW6" s="2">
        <f t="shared" ref="CW6:CW16" si="53">$B6*CV6</f>
        <v>0</v>
      </c>
      <c r="CX6" s="33"/>
      <c r="CY6" s="30"/>
      <c r="CZ6" s="2">
        <f t="shared" ref="CZ6:CZ16" si="54">$B6*CY6</f>
        <v>0</v>
      </c>
      <c r="DA6" s="33"/>
      <c r="DB6" s="30"/>
      <c r="DC6" s="2">
        <f t="shared" ref="DC6:DC16" si="55">$B6*DB6</f>
        <v>0</v>
      </c>
      <c r="DD6" s="33">
        <v>40000</v>
      </c>
      <c r="DE6" s="30">
        <v>1</v>
      </c>
      <c r="DF6" s="2">
        <f t="shared" ref="DF6:DF16" si="56">$B6*DE6</f>
        <v>8000</v>
      </c>
      <c r="DG6" s="33"/>
      <c r="DH6" s="30">
        <v>1</v>
      </c>
      <c r="DI6" s="2">
        <f t="shared" ref="DI6:DI16" si="57">$B6*DH6</f>
        <v>8000</v>
      </c>
      <c r="DJ6" s="33">
        <v>10000</v>
      </c>
      <c r="DK6" s="30"/>
      <c r="DL6" s="2">
        <f t="shared" ref="DL6:DL16" si="58">$B6*DK6</f>
        <v>0</v>
      </c>
      <c r="DM6" s="31"/>
      <c r="DN6" s="30"/>
      <c r="DO6" s="2">
        <f t="shared" ref="DO6:DO16" si="59">$B6*DN6</f>
        <v>0</v>
      </c>
      <c r="DP6" s="70">
        <f t="shared" ref="DP6:DP16" si="60">CU6+CX6+DA6+DD6+DG6+DJ6+DM6</f>
        <v>50000</v>
      </c>
      <c r="DQ6" s="67">
        <f t="shared" ref="DQ6:DQ16" si="61">CV6+CY6+DB6+DE6+DH6+DK6+DN6</f>
        <v>2</v>
      </c>
      <c r="DR6" s="51">
        <f t="shared" ref="DR6:DR16" si="62">CW6+CZ6+DC6+DF6+DI6+DL6+DO6</f>
        <v>16000</v>
      </c>
      <c r="DS6" s="34"/>
      <c r="DT6" s="30"/>
      <c r="DU6" s="51">
        <f t="shared" ref="DU6:DU16" si="63">$B6*DT6</f>
        <v>0</v>
      </c>
      <c r="DV6" s="105"/>
      <c r="DW6" s="30"/>
      <c r="DX6" s="51">
        <f t="shared" si="43"/>
        <v>0</v>
      </c>
      <c r="DY6" s="105"/>
      <c r="DZ6" s="30"/>
      <c r="EA6" s="51">
        <f t="shared" si="44"/>
        <v>0</v>
      </c>
      <c r="EB6" s="70">
        <v>80000</v>
      </c>
      <c r="EC6" s="67">
        <v>6</v>
      </c>
      <c r="ED6" s="51">
        <v>48000</v>
      </c>
    </row>
    <row r="7" spans="1:134" s="26" customFormat="1" ht="17.100000000000001" customHeight="1" thickBot="1" x14ac:dyDescent="0.25">
      <c r="A7" s="93" t="s">
        <v>25</v>
      </c>
      <c r="B7" s="19">
        <v>8000</v>
      </c>
      <c r="C7" s="29"/>
      <c r="D7" s="30"/>
      <c r="E7" s="2">
        <f t="shared" si="3"/>
        <v>0</v>
      </c>
      <c r="F7" s="29"/>
      <c r="G7" s="30"/>
      <c r="H7" s="2">
        <f t="shared" si="4"/>
        <v>0</v>
      </c>
      <c r="I7" s="29"/>
      <c r="J7" s="30"/>
      <c r="K7" s="2">
        <f t="shared" si="5"/>
        <v>0</v>
      </c>
      <c r="L7" s="31"/>
      <c r="M7" s="30"/>
      <c r="N7" s="2">
        <f t="shared" si="6"/>
        <v>0</v>
      </c>
      <c r="O7" s="31"/>
      <c r="P7" s="30"/>
      <c r="Q7" s="2">
        <f t="shared" si="7"/>
        <v>0</v>
      </c>
      <c r="R7" s="32"/>
      <c r="S7" s="30"/>
      <c r="T7" s="2">
        <f t="shared" si="8"/>
        <v>0</v>
      </c>
      <c r="U7" s="33"/>
      <c r="V7" s="30"/>
      <c r="W7" s="64">
        <f t="shared" si="9"/>
        <v>0</v>
      </c>
      <c r="X7" s="70">
        <f t="shared" si="0"/>
        <v>0</v>
      </c>
      <c r="Y7" s="67">
        <f t="shared" si="1"/>
        <v>0</v>
      </c>
      <c r="Z7" s="73">
        <f t="shared" si="2"/>
        <v>0</v>
      </c>
      <c r="AA7" s="35"/>
      <c r="AB7" s="30"/>
      <c r="AC7" s="2">
        <f t="shared" si="10"/>
        <v>0</v>
      </c>
      <c r="AD7" s="33"/>
      <c r="AE7" s="30"/>
      <c r="AF7" s="2">
        <f t="shared" si="11"/>
        <v>0</v>
      </c>
      <c r="AG7" s="33"/>
      <c r="AH7" s="30"/>
      <c r="AI7" s="2">
        <f t="shared" si="12"/>
        <v>0</v>
      </c>
      <c r="AJ7" s="33"/>
      <c r="AK7" s="30"/>
      <c r="AL7" s="2">
        <f t="shared" si="13"/>
        <v>0</v>
      </c>
      <c r="AM7" s="33"/>
      <c r="AN7" s="30"/>
      <c r="AO7" s="2">
        <f t="shared" si="14"/>
        <v>0</v>
      </c>
      <c r="AP7" s="33"/>
      <c r="AQ7" s="30"/>
      <c r="AR7" s="2">
        <f t="shared" si="15"/>
        <v>0</v>
      </c>
      <c r="AS7" s="33"/>
      <c r="AT7" s="30"/>
      <c r="AU7" s="2">
        <f t="shared" si="16"/>
        <v>0</v>
      </c>
      <c r="AV7" s="70">
        <f t="shared" si="17"/>
        <v>0</v>
      </c>
      <c r="AW7" s="67">
        <f t="shared" si="17"/>
        <v>0</v>
      </c>
      <c r="AX7" s="51">
        <f t="shared" si="17"/>
        <v>0</v>
      </c>
      <c r="AY7" s="33"/>
      <c r="AZ7" s="30"/>
      <c r="BA7" s="2">
        <f t="shared" si="18"/>
        <v>0</v>
      </c>
      <c r="BB7" s="33"/>
      <c r="BC7" s="30"/>
      <c r="BD7" s="2">
        <f t="shared" si="19"/>
        <v>0</v>
      </c>
      <c r="BE7" s="33"/>
      <c r="BF7" s="30">
        <v>1</v>
      </c>
      <c r="BG7" s="2">
        <f t="shared" si="20"/>
        <v>8000</v>
      </c>
      <c r="BH7" s="33"/>
      <c r="BI7" s="30"/>
      <c r="BJ7" s="2">
        <f t="shared" si="21"/>
        <v>0</v>
      </c>
      <c r="BK7" s="33"/>
      <c r="BL7" s="30"/>
      <c r="BM7" s="2">
        <f t="shared" si="22"/>
        <v>0</v>
      </c>
      <c r="BN7" s="33"/>
      <c r="BO7" s="30"/>
      <c r="BP7" s="2">
        <f t="shared" si="23"/>
        <v>0</v>
      </c>
      <c r="BQ7" s="33"/>
      <c r="BR7" s="30">
        <v>1</v>
      </c>
      <c r="BS7" s="2">
        <f t="shared" si="24"/>
        <v>8000</v>
      </c>
      <c r="BT7" s="70">
        <f t="shared" si="25"/>
        <v>0</v>
      </c>
      <c r="BU7" s="67">
        <f t="shared" si="25"/>
        <v>2</v>
      </c>
      <c r="BV7" s="51">
        <f t="shared" si="25"/>
        <v>16000</v>
      </c>
      <c r="BW7" s="33"/>
      <c r="BX7" s="30"/>
      <c r="BY7" s="2">
        <f t="shared" si="26"/>
        <v>0</v>
      </c>
      <c r="BZ7" s="33"/>
      <c r="CA7" s="30"/>
      <c r="CB7" s="2">
        <f t="shared" si="45"/>
        <v>0</v>
      </c>
      <c r="CC7" s="33"/>
      <c r="CD7" s="30"/>
      <c r="CE7" s="2">
        <f t="shared" si="46"/>
        <v>0</v>
      </c>
      <c r="CF7" s="33"/>
      <c r="CG7" s="30"/>
      <c r="CH7" s="2">
        <f t="shared" si="47"/>
        <v>0</v>
      </c>
      <c r="CI7" s="33"/>
      <c r="CJ7" s="30"/>
      <c r="CK7" s="2">
        <f t="shared" si="48"/>
        <v>0</v>
      </c>
      <c r="CL7" s="33"/>
      <c r="CM7" s="30"/>
      <c r="CN7" s="2">
        <f t="shared" si="49"/>
        <v>0</v>
      </c>
      <c r="CO7" s="33"/>
      <c r="CP7" s="30"/>
      <c r="CQ7" s="2">
        <f t="shared" si="50"/>
        <v>0</v>
      </c>
      <c r="CR7" s="70">
        <f t="shared" si="33"/>
        <v>0</v>
      </c>
      <c r="CS7" s="67">
        <f t="shared" si="51"/>
        <v>0</v>
      </c>
      <c r="CT7" s="51">
        <f t="shared" si="52"/>
        <v>0</v>
      </c>
      <c r="CU7" s="33"/>
      <c r="CV7" s="30"/>
      <c r="CW7" s="2">
        <f t="shared" si="53"/>
        <v>0</v>
      </c>
      <c r="CX7" s="33"/>
      <c r="CY7" s="30"/>
      <c r="CZ7" s="2">
        <f t="shared" si="54"/>
        <v>0</v>
      </c>
      <c r="DA7" s="33"/>
      <c r="DB7" s="30">
        <v>1</v>
      </c>
      <c r="DC7" s="2">
        <f t="shared" si="55"/>
        <v>8000</v>
      </c>
      <c r="DD7" s="33"/>
      <c r="DE7" s="30"/>
      <c r="DF7" s="2">
        <f t="shared" si="56"/>
        <v>0</v>
      </c>
      <c r="DG7" s="33"/>
      <c r="DH7" s="30">
        <v>1</v>
      </c>
      <c r="DI7" s="2">
        <f t="shared" si="57"/>
        <v>8000</v>
      </c>
      <c r="DJ7" s="33"/>
      <c r="DK7" s="30"/>
      <c r="DL7" s="2">
        <f t="shared" si="58"/>
        <v>0</v>
      </c>
      <c r="DM7" s="33"/>
      <c r="DN7" s="30"/>
      <c r="DO7" s="2">
        <f t="shared" si="59"/>
        <v>0</v>
      </c>
      <c r="DP7" s="70">
        <f t="shared" si="60"/>
        <v>0</v>
      </c>
      <c r="DQ7" s="67">
        <f t="shared" si="61"/>
        <v>2</v>
      </c>
      <c r="DR7" s="51">
        <f t="shared" si="62"/>
        <v>16000</v>
      </c>
      <c r="DS7" s="34"/>
      <c r="DT7" s="30"/>
      <c r="DU7" s="51">
        <f t="shared" si="63"/>
        <v>0</v>
      </c>
      <c r="DV7" s="34"/>
      <c r="DW7" s="30"/>
      <c r="DX7" s="51">
        <f t="shared" si="43"/>
        <v>0</v>
      </c>
      <c r="DY7" s="34"/>
      <c r="DZ7" s="30"/>
      <c r="EA7" s="51">
        <f t="shared" si="44"/>
        <v>0</v>
      </c>
      <c r="EB7" s="70">
        <f t="shared" ref="EB5:EB21" si="64">DG7+DJ7+DM7+DP7+DS7+DV7+DY7</f>
        <v>0</v>
      </c>
      <c r="EC7" s="67">
        <v>4</v>
      </c>
      <c r="ED7" s="51">
        <v>32000</v>
      </c>
    </row>
    <row r="8" spans="1:134" s="26" customFormat="1" ht="17.100000000000001" customHeight="1" thickBot="1" x14ac:dyDescent="0.25">
      <c r="A8" s="93" t="s">
        <v>26</v>
      </c>
      <c r="B8" s="19">
        <v>8000</v>
      </c>
      <c r="C8" s="29"/>
      <c r="D8" s="30"/>
      <c r="E8" s="2">
        <f t="shared" si="3"/>
        <v>0</v>
      </c>
      <c r="F8" s="29"/>
      <c r="G8" s="30"/>
      <c r="H8" s="2">
        <f t="shared" si="4"/>
        <v>0</v>
      </c>
      <c r="I8" s="29"/>
      <c r="J8" s="30"/>
      <c r="K8" s="2">
        <f t="shared" si="5"/>
        <v>0</v>
      </c>
      <c r="L8" s="31"/>
      <c r="M8" s="30"/>
      <c r="N8" s="2">
        <f t="shared" si="6"/>
        <v>0</v>
      </c>
      <c r="O8" s="33"/>
      <c r="P8" s="30"/>
      <c r="Q8" s="2">
        <f t="shared" si="7"/>
        <v>0</v>
      </c>
      <c r="R8" s="32"/>
      <c r="S8" s="30"/>
      <c r="T8" s="2">
        <f t="shared" si="8"/>
        <v>0</v>
      </c>
      <c r="U8" s="33"/>
      <c r="V8" s="30"/>
      <c r="W8" s="64">
        <f t="shared" si="9"/>
        <v>0</v>
      </c>
      <c r="X8" s="70">
        <f t="shared" si="0"/>
        <v>0</v>
      </c>
      <c r="Y8" s="67">
        <f t="shared" si="1"/>
        <v>0</v>
      </c>
      <c r="Z8" s="73">
        <f t="shared" si="2"/>
        <v>0</v>
      </c>
      <c r="AA8" s="35"/>
      <c r="AB8" s="99">
        <v>0.5</v>
      </c>
      <c r="AC8" s="2">
        <f t="shared" si="10"/>
        <v>4000</v>
      </c>
      <c r="AD8" s="33"/>
      <c r="AE8" s="30">
        <v>2</v>
      </c>
      <c r="AF8" s="2">
        <f t="shared" si="11"/>
        <v>16000</v>
      </c>
      <c r="AG8" s="33"/>
      <c r="AH8" s="30">
        <v>2</v>
      </c>
      <c r="AI8" s="2">
        <f t="shared" si="12"/>
        <v>16000</v>
      </c>
      <c r="AJ8" s="33"/>
      <c r="AK8" s="99">
        <v>0.5</v>
      </c>
      <c r="AL8" s="2">
        <f t="shared" si="13"/>
        <v>4000</v>
      </c>
      <c r="AM8" s="33"/>
      <c r="AN8" s="99">
        <v>0.5</v>
      </c>
      <c r="AO8" s="2">
        <f t="shared" si="14"/>
        <v>4000</v>
      </c>
      <c r="AP8" s="33"/>
      <c r="AQ8" s="30">
        <v>1</v>
      </c>
      <c r="AR8" s="2">
        <f t="shared" si="15"/>
        <v>8000</v>
      </c>
      <c r="AS8" s="33"/>
      <c r="AT8" s="99"/>
      <c r="AU8" s="2">
        <f t="shared" si="16"/>
        <v>0</v>
      </c>
      <c r="AV8" s="70">
        <f t="shared" si="17"/>
        <v>0</v>
      </c>
      <c r="AW8" s="100">
        <f t="shared" si="17"/>
        <v>6.5</v>
      </c>
      <c r="AX8" s="51">
        <f t="shared" si="17"/>
        <v>52000</v>
      </c>
      <c r="AY8" s="33"/>
      <c r="AZ8" s="30"/>
      <c r="BA8" s="2">
        <f t="shared" si="18"/>
        <v>0</v>
      </c>
      <c r="BB8" s="33"/>
      <c r="BC8" s="30">
        <v>3</v>
      </c>
      <c r="BD8" s="2">
        <f t="shared" si="19"/>
        <v>24000</v>
      </c>
      <c r="BE8" s="33">
        <v>10000</v>
      </c>
      <c r="BF8" s="30">
        <v>1</v>
      </c>
      <c r="BG8" s="2">
        <f t="shared" si="20"/>
        <v>8000</v>
      </c>
      <c r="BH8" s="33"/>
      <c r="BI8" s="99"/>
      <c r="BJ8" s="2">
        <f t="shared" si="21"/>
        <v>0</v>
      </c>
      <c r="BK8" s="33"/>
      <c r="BL8" s="30"/>
      <c r="BM8" s="2">
        <f t="shared" si="22"/>
        <v>0</v>
      </c>
      <c r="BN8" s="33"/>
      <c r="BO8" s="30"/>
      <c r="BP8" s="2">
        <f t="shared" si="23"/>
        <v>0</v>
      </c>
      <c r="BQ8" s="33"/>
      <c r="BR8" s="30"/>
      <c r="BS8" s="2">
        <f t="shared" si="24"/>
        <v>0</v>
      </c>
      <c r="BT8" s="70">
        <f t="shared" si="25"/>
        <v>10000</v>
      </c>
      <c r="BU8" s="67">
        <f t="shared" si="25"/>
        <v>4</v>
      </c>
      <c r="BV8" s="51">
        <f t="shared" si="25"/>
        <v>32000</v>
      </c>
      <c r="BW8" s="33"/>
      <c r="BX8" s="30"/>
      <c r="BY8" s="2">
        <f t="shared" si="26"/>
        <v>0</v>
      </c>
      <c r="BZ8" s="33"/>
      <c r="CA8" s="30">
        <v>1</v>
      </c>
      <c r="CB8" s="2">
        <f t="shared" si="45"/>
        <v>8000</v>
      </c>
      <c r="CC8" s="33"/>
      <c r="CD8" s="30">
        <v>1</v>
      </c>
      <c r="CE8" s="2">
        <f t="shared" si="46"/>
        <v>8000</v>
      </c>
      <c r="CF8" s="33"/>
      <c r="CG8" s="30">
        <v>1</v>
      </c>
      <c r="CH8" s="2">
        <f t="shared" si="47"/>
        <v>8000</v>
      </c>
      <c r="CI8" s="33">
        <v>10000</v>
      </c>
      <c r="CJ8" s="30">
        <v>1</v>
      </c>
      <c r="CK8" s="2">
        <f t="shared" si="48"/>
        <v>8000</v>
      </c>
      <c r="CL8" s="33"/>
      <c r="CM8" s="30">
        <v>1</v>
      </c>
      <c r="CN8" s="2">
        <f t="shared" si="49"/>
        <v>8000</v>
      </c>
      <c r="CO8" s="33"/>
      <c r="CP8" s="30">
        <v>1</v>
      </c>
      <c r="CQ8" s="2">
        <f t="shared" si="50"/>
        <v>8000</v>
      </c>
      <c r="CR8" s="70">
        <f t="shared" si="33"/>
        <v>10000</v>
      </c>
      <c r="CS8" s="67">
        <f t="shared" si="51"/>
        <v>6</v>
      </c>
      <c r="CT8" s="51">
        <f t="shared" si="52"/>
        <v>48000</v>
      </c>
      <c r="CU8" s="33"/>
      <c r="CV8" s="30"/>
      <c r="CW8" s="2">
        <f t="shared" si="53"/>
        <v>0</v>
      </c>
      <c r="CX8" s="33"/>
      <c r="CY8" s="30">
        <v>1</v>
      </c>
      <c r="CZ8" s="2">
        <f t="shared" si="54"/>
        <v>8000</v>
      </c>
      <c r="DA8" s="33">
        <v>5000</v>
      </c>
      <c r="DB8" s="30">
        <v>1</v>
      </c>
      <c r="DC8" s="2">
        <f t="shared" si="55"/>
        <v>8000</v>
      </c>
      <c r="DD8" s="33"/>
      <c r="DE8" s="30"/>
      <c r="DF8" s="2">
        <f t="shared" si="56"/>
        <v>0</v>
      </c>
      <c r="DG8" s="33"/>
      <c r="DH8" s="30"/>
      <c r="DI8" s="2">
        <f t="shared" si="57"/>
        <v>0</v>
      </c>
      <c r="DJ8" s="33">
        <v>5000</v>
      </c>
      <c r="DK8" s="30">
        <v>1</v>
      </c>
      <c r="DL8" s="2">
        <f t="shared" si="58"/>
        <v>8000</v>
      </c>
      <c r="DM8" s="33"/>
      <c r="DN8" s="30">
        <v>1</v>
      </c>
      <c r="DO8" s="2">
        <f t="shared" si="59"/>
        <v>8000</v>
      </c>
      <c r="DP8" s="70">
        <f t="shared" si="60"/>
        <v>10000</v>
      </c>
      <c r="DQ8" s="67">
        <f t="shared" si="61"/>
        <v>4</v>
      </c>
      <c r="DR8" s="51">
        <f t="shared" si="62"/>
        <v>32000</v>
      </c>
      <c r="DS8" s="34"/>
      <c r="DT8" s="30"/>
      <c r="DU8" s="51">
        <f t="shared" si="63"/>
        <v>0</v>
      </c>
      <c r="DV8" s="34"/>
      <c r="DW8" s="99">
        <v>1.5</v>
      </c>
      <c r="DX8" s="51">
        <f t="shared" si="43"/>
        <v>12000</v>
      </c>
      <c r="DY8" s="34"/>
      <c r="DZ8" s="30"/>
      <c r="EA8" s="51">
        <f t="shared" si="44"/>
        <v>0</v>
      </c>
      <c r="EB8" s="70">
        <v>30000</v>
      </c>
      <c r="EC8" s="67">
        <v>22</v>
      </c>
      <c r="ED8" s="51">
        <v>176000</v>
      </c>
    </row>
    <row r="9" spans="1:134" s="26" customFormat="1" ht="17.100000000000001" customHeight="1" thickBot="1" x14ac:dyDescent="0.25">
      <c r="A9" s="93" t="s">
        <v>27</v>
      </c>
      <c r="B9" s="19">
        <v>8000</v>
      </c>
      <c r="C9" s="29"/>
      <c r="D9" s="30"/>
      <c r="E9" s="2">
        <f t="shared" si="3"/>
        <v>0</v>
      </c>
      <c r="F9" s="29"/>
      <c r="G9" s="30"/>
      <c r="H9" s="2">
        <f t="shared" si="4"/>
        <v>0</v>
      </c>
      <c r="I9" s="29"/>
      <c r="J9" s="30"/>
      <c r="K9" s="2">
        <f t="shared" si="5"/>
        <v>0</v>
      </c>
      <c r="L9" s="31"/>
      <c r="M9" s="30"/>
      <c r="N9" s="2">
        <f t="shared" si="6"/>
        <v>0</v>
      </c>
      <c r="O9" s="31"/>
      <c r="P9" s="30"/>
      <c r="Q9" s="2">
        <f t="shared" si="7"/>
        <v>0</v>
      </c>
      <c r="R9" s="31"/>
      <c r="S9" s="30"/>
      <c r="T9" s="2">
        <f t="shared" si="8"/>
        <v>0</v>
      </c>
      <c r="U9" s="33"/>
      <c r="V9" s="30"/>
      <c r="W9" s="64">
        <f t="shared" si="9"/>
        <v>0</v>
      </c>
      <c r="X9" s="70">
        <f t="shared" si="0"/>
        <v>0</v>
      </c>
      <c r="Y9" s="67">
        <f t="shared" si="1"/>
        <v>0</v>
      </c>
      <c r="Z9" s="73">
        <f t="shared" si="2"/>
        <v>0</v>
      </c>
      <c r="AA9" s="35"/>
      <c r="AB9" s="30"/>
      <c r="AC9" s="2">
        <f t="shared" si="10"/>
        <v>0</v>
      </c>
      <c r="AD9" s="33"/>
      <c r="AE9" s="30"/>
      <c r="AF9" s="2">
        <f t="shared" si="11"/>
        <v>0</v>
      </c>
      <c r="AG9" s="33"/>
      <c r="AH9" s="30">
        <v>2</v>
      </c>
      <c r="AI9" s="2">
        <f t="shared" si="12"/>
        <v>16000</v>
      </c>
      <c r="AJ9" s="33"/>
      <c r="AK9" s="30"/>
      <c r="AL9" s="2">
        <f t="shared" si="13"/>
        <v>0</v>
      </c>
      <c r="AM9" s="33"/>
      <c r="AN9" s="30"/>
      <c r="AO9" s="2">
        <f t="shared" si="14"/>
        <v>0</v>
      </c>
      <c r="AP9" s="33"/>
      <c r="AQ9" s="30"/>
      <c r="AR9" s="2">
        <f t="shared" si="15"/>
        <v>0</v>
      </c>
      <c r="AS9" s="33"/>
      <c r="AT9" s="30"/>
      <c r="AU9" s="2">
        <f t="shared" si="16"/>
        <v>0</v>
      </c>
      <c r="AV9" s="70">
        <f t="shared" si="17"/>
        <v>0</v>
      </c>
      <c r="AW9" s="67">
        <f t="shared" si="17"/>
        <v>2</v>
      </c>
      <c r="AX9" s="51">
        <f t="shared" si="17"/>
        <v>16000</v>
      </c>
      <c r="AY9" s="33"/>
      <c r="AZ9" s="30"/>
      <c r="BA9" s="2">
        <f t="shared" si="18"/>
        <v>0</v>
      </c>
      <c r="BB9" s="33"/>
      <c r="BC9" s="30"/>
      <c r="BD9" s="2">
        <f t="shared" si="19"/>
        <v>0</v>
      </c>
      <c r="BE9" s="33"/>
      <c r="BF9" s="30"/>
      <c r="BG9" s="2">
        <f t="shared" si="20"/>
        <v>0</v>
      </c>
      <c r="BH9" s="33"/>
      <c r="BI9" s="30"/>
      <c r="BJ9" s="2">
        <f t="shared" si="21"/>
        <v>0</v>
      </c>
      <c r="BK9" s="33"/>
      <c r="BL9" s="30"/>
      <c r="BM9" s="2">
        <f t="shared" si="22"/>
        <v>0</v>
      </c>
      <c r="BN9" s="33"/>
      <c r="BO9" s="30"/>
      <c r="BP9" s="2">
        <f t="shared" si="23"/>
        <v>0</v>
      </c>
      <c r="BQ9" s="33"/>
      <c r="BR9" s="30"/>
      <c r="BS9" s="2">
        <f t="shared" si="24"/>
        <v>0</v>
      </c>
      <c r="BT9" s="70">
        <f t="shared" si="25"/>
        <v>0</v>
      </c>
      <c r="BU9" s="67">
        <f t="shared" si="25"/>
        <v>0</v>
      </c>
      <c r="BV9" s="51">
        <f t="shared" si="25"/>
        <v>0</v>
      </c>
      <c r="BW9" s="33"/>
      <c r="BX9" s="30"/>
      <c r="BY9" s="2">
        <f t="shared" si="26"/>
        <v>0</v>
      </c>
      <c r="BZ9" s="33"/>
      <c r="CA9" s="30"/>
      <c r="CB9" s="2">
        <f t="shared" si="45"/>
        <v>0</v>
      </c>
      <c r="CC9" s="33"/>
      <c r="CD9" s="30"/>
      <c r="CE9" s="2">
        <f t="shared" si="46"/>
        <v>0</v>
      </c>
      <c r="CF9" s="33"/>
      <c r="CG9" s="30"/>
      <c r="CH9" s="2">
        <f t="shared" si="47"/>
        <v>0</v>
      </c>
      <c r="CI9" s="33"/>
      <c r="CJ9" s="30"/>
      <c r="CK9" s="2">
        <f t="shared" si="48"/>
        <v>0</v>
      </c>
      <c r="CL9" s="33"/>
      <c r="CM9" s="30"/>
      <c r="CN9" s="2">
        <f t="shared" si="49"/>
        <v>0</v>
      </c>
      <c r="CO9" s="33"/>
      <c r="CP9" s="30"/>
      <c r="CQ9" s="2">
        <f t="shared" si="50"/>
        <v>0</v>
      </c>
      <c r="CR9" s="70">
        <f t="shared" si="33"/>
        <v>0</v>
      </c>
      <c r="CS9" s="67">
        <f t="shared" si="51"/>
        <v>0</v>
      </c>
      <c r="CT9" s="51">
        <f t="shared" si="52"/>
        <v>0</v>
      </c>
      <c r="CU9" s="33"/>
      <c r="CV9" s="30"/>
      <c r="CW9" s="2">
        <f t="shared" si="53"/>
        <v>0</v>
      </c>
      <c r="CX9" s="33"/>
      <c r="CY9" s="30"/>
      <c r="CZ9" s="2">
        <f t="shared" si="54"/>
        <v>0</v>
      </c>
      <c r="DA9" s="33"/>
      <c r="DB9" s="30">
        <v>1</v>
      </c>
      <c r="DC9" s="2">
        <f t="shared" si="55"/>
        <v>8000</v>
      </c>
      <c r="DD9" s="33"/>
      <c r="DE9" s="30">
        <v>1</v>
      </c>
      <c r="DF9" s="2">
        <f t="shared" si="56"/>
        <v>8000</v>
      </c>
      <c r="DG9" s="33"/>
      <c r="DH9" s="30">
        <v>1</v>
      </c>
      <c r="DI9" s="2">
        <f t="shared" si="57"/>
        <v>8000</v>
      </c>
      <c r="DJ9" s="33"/>
      <c r="DK9" s="30"/>
      <c r="DL9" s="2">
        <f t="shared" si="58"/>
        <v>0</v>
      </c>
      <c r="DM9" s="33"/>
      <c r="DN9" s="30"/>
      <c r="DO9" s="2">
        <f t="shared" si="59"/>
        <v>0</v>
      </c>
      <c r="DP9" s="70">
        <f t="shared" si="60"/>
        <v>0</v>
      </c>
      <c r="DQ9" s="67">
        <f t="shared" si="61"/>
        <v>3</v>
      </c>
      <c r="DR9" s="51">
        <f t="shared" si="62"/>
        <v>24000</v>
      </c>
      <c r="DS9" s="34"/>
      <c r="DT9" s="30"/>
      <c r="DU9" s="51">
        <f t="shared" si="63"/>
        <v>0</v>
      </c>
      <c r="DV9" s="34"/>
      <c r="DW9" s="30"/>
      <c r="DX9" s="51">
        <f t="shared" si="43"/>
        <v>0</v>
      </c>
      <c r="DY9" s="34"/>
      <c r="DZ9" s="30"/>
      <c r="EA9" s="51">
        <f t="shared" si="44"/>
        <v>0</v>
      </c>
      <c r="EB9" s="70">
        <f t="shared" si="64"/>
        <v>0</v>
      </c>
      <c r="EC9" s="67">
        <v>5</v>
      </c>
      <c r="ED9" s="51">
        <v>40000</v>
      </c>
    </row>
    <row r="10" spans="1:134" s="26" customFormat="1" ht="17.100000000000001" customHeight="1" thickBot="1" x14ac:dyDescent="0.25">
      <c r="A10" s="93" t="s">
        <v>29</v>
      </c>
      <c r="B10" s="19">
        <v>8000</v>
      </c>
      <c r="C10" s="29"/>
      <c r="D10" s="30"/>
      <c r="E10" s="2">
        <f t="shared" si="3"/>
        <v>0</v>
      </c>
      <c r="F10" s="29"/>
      <c r="G10" s="30"/>
      <c r="H10" s="2">
        <f t="shared" si="4"/>
        <v>0</v>
      </c>
      <c r="I10" s="29"/>
      <c r="J10" s="30"/>
      <c r="K10" s="2">
        <f t="shared" si="5"/>
        <v>0</v>
      </c>
      <c r="L10" s="31"/>
      <c r="M10" s="30"/>
      <c r="N10" s="2">
        <f t="shared" si="6"/>
        <v>0</v>
      </c>
      <c r="O10" s="31"/>
      <c r="P10" s="30"/>
      <c r="Q10" s="2">
        <f t="shared" si="7"/>
        <v>0</v>
      </c>
      <c r="R10" s="31"/>
      <c r="S10" s="30"/>
      <c r="T10" s="2">
        <f t="shared" si="8"/>
        <v>0</v>
      </c>
      <c r="U10" s="33"/>
      <c r="V10" s="30"/>
      <c r="W10" s="64">
        <f t="shared" si="9"/>
        <v>0</v>
      </c>
      <c r="X10" s="70">
        <f t="shared" si="0"/>
        <v>0</v>
      </c>
      <c r="Y10" s="67">
        <f t="shared" si="1"/>
        <v>0</v>
      </c>
      <c r="Z10" s="73">
        <f t="shared" si="2"/>
        <v>0</v>
      </c>
      <c r="AA10" s="35"/>
      <c r="AB10" s="30"/>
      <c r="AC10" s="2">
        <f t="shared" si="10"/>
        <v>0</v>
      </c>
      <c r="AD10" s="33"/>
      <c r="AE10" s="30">
        <v>1</v>
      </c>
      <c r="AF10" s="2">
        <f t="shared" si="11"/>
        <v>8000</v>
      </c>
      <c r="AG10" s="33"/>
      <c r="AH10" s="30"/>
      <c r="AI10" s="2">
        <f t="shared" si="12"/>
        <v>0</v>
      </c>
      <c r="AJ10" s="33"/>
      <c r="AK10" s="30"/>
      <c r="AL10" s="2">
        <f t="shared" si="13"/>
        <v>0</v>
      </c>
      <c r="AM10" s="33"/>
      <c r="AN10" s="30"/>
      <c r="AO10" s="2">
        <f t="shared" si="14"/>
        <v>0</v>
      </c>
      <c r="AP10" s="33"/>
      <c r="AQ10" s="30"/>
      <c r="AR10" s="2">
        <f t="shared" si="15"/>
        <v>0</v>
      </c>
      <c r="AS10" s="33"/>
      <c r="AT10" s="30"/>
      <c r="AU10" s="2">
        <f t="shared" si="16"/>
        <v>0</v>
      </c>
      <c r="AV10" s="70">
        <f t="shared" si="17"/>
        <v>0</v>
      </c>
      <c r="AW10" s="67">
        <f t="shared" si="17"/>
        <v>1</v>
      </c>
      <c r="AX10" s="51">
        <f t="shared" si="17"/>
        <v>8000</v>
      </c>
      <c r="AY10" s="33"/>
      <c r="AZ10" s="30"/>
      <c r="BA10" s="2">
        <f t="shared" si="18"/>
        <v>0</v>
      </c>
      <c r="BB10" s="33"/>
      <c r="BC10" s="30"/>
      <c r="BD10" s="2">
        <f t="shared" si="19"/>
        <v>0</v>
      </c>
      <c r="BE10" s="33"/>
      <c r="BF10" s="30">
        <v>1</v>
      </c>
      <c r="BG10" s="2">
        <f t="shared" si="20"/>
        <v>8000</v>
      </c>
      <c r="BH10" s="33"/>
      <c r="BI10" s="30"/>
      <c r="BJ10" s="2">
        <f t="shared" si="21"/>
        <v>0</v>
      </c>
      <c r="BK10" s="33"/>
      <c r="BL10" s="30"/>
      <c r="BM10" s="2">
        <f t="shared" si="22"/>
        <v>0</v>
      </c>
      <c r="BN10" s="33"/>
      <c r="BO10" s="30"/>
      <c r="BP10" s="2">
        <f t="shared" si="23"/>
        <v>0</v>
      </c>
      <c r="BQ10" s="33"/>
      <c r="BR10" s="30"/>
      <c r="BS10" s="2">
        <f t="shared" si="24"/>
        <v>0</v>
      </c>
      <c r="BT10" s="70">
        <f t="shared" si="25"/>
        <v>0</v>
      </c>
      <c r="BU10" s="67">
        <f t="shared" si="25"/>
        <v>1</v>
      </c>
      <c r="BV10" s="51">
        <f t="shared" si="25"/>
        <v>8000</v>
      </c>
      <c r="BW10" s="33"/>
      <c r="BX10" s="30"/>
      <c r="BY10" s="2">
        <f t="shared" si="26"/>
        <v>0</v>
      </c>
      <c r="BZ10" s="33"/>
      <c r="CA10" s="30"/>
      <c r="CB10" s="2">
        <f t="shared" si="45"/>
        <v>0</v>
      </c>
      <c r="CC10" s="33"/>
      <c r="CD10" s="30"/>
      <c r="CE10" s="2">
        <f t="shared" si="46"/>
        <v>0</v>
      </c>
      <c r="CF10" s="33"/>
      <c r="CG10" s="30"/>
      <c r="CH10" s="2">
        <f t="shared" si="47"/>
        <v>0</v>
      </c>
      <c r="CI10" s="33"/>
      <c r="CJ10" s="30"/>
      <c r="CK10" s="2">
        <f t="shared" si="48"/>
        <v>0</v>
      </c>
      <c r="CL10" s="33"/>
      <c r="CM10" s="30"/>
      <c r="CN10" s="2">
        <f t="shared" si="49"/>
        <v>0</v>
      </c>
      <c r="CO10" s="33"/>
      <c r="CP10" s="30"/>
      <c r="CQ10" s="2">
        <f t="shared" si="50"/>
        <v>0</v>
      </c>
      <c r="CR10" s="70">
        <f t="shared" si="33"/>
        <v>0</v>
      </c>
      <c r="CS10" s="67">
        <f t="shared" si="51"/>
        <v>0</v>
      </c>
      <c r="CT10" s="51">
        <f t="shared" si="52"/>
        <v>0</v>
      </c>
      <c r="CU10" s="33"/>
      <c r="CV10" s="30"/>
      <c r="CW10" s="2">
        <f t="shared" si="53"/>
        <v>0</v>
      </c>
      <c r="CX10" s="33"/>
      <c r="CY10" s="30"/>
      <c r="CZ10" s="2">
        <f t="shared" si="54"/>
        <v>0</v>
      </c>
      <c r="DA10" s="33"/>
      <c r="DB10" s="30"/>
      <c r="DC10" s="2">
        <f t="shared" si="55"/>
        <v>0</v>
      </c>
      <c r="DD10" s="33"/>
      <c r="DE10" s="30">
        <v>1</v>
      </c>
      <c r="DF10" s="2">
        <f t="shared" si="56"/>
        <v>8000</v>
      </c>
      <c r="DG10" s="33">
        <v>10000</v>
      </c>
      <c r="DH10" s="30">
        <v>1</v>
      </c>
      <c r="DI10" s="2">
        <f t="shared" si="57"/>
        <v>8000</v>
      </c>
      <c r="DJ10" s="33"/>
      <c r="DK10" s="30">
        <v>1</v>
      </c>
      <c r="DL10" s="2">
        <f t="shared" si="58"/>
        <v>8000</v>
      </c>
      <c r="DM10" s="33"/>
      <c r="DN10" s="30"/>
      <c r="DO10" s="2">
        <f t="shared" si="59"/>
        <v>0</v>
      </c>
      <c r="DP10" s="70">
        <f t="shared" si="60"/>
        <v>10000</v>
      </c>
      <c r="DQ10" s="67">
        <f t="shared" si="61"/>
        <v>3</v>
      </c>
      <c r="DR10" s="51">
        <f t="shared" si="62"/>
        <v>24000</v>
      </c>
      <c r="DS10" s="34"/>
      <c r="DT10" s="30"/>
      <c r="DU10" s="51">
        <f t="shared" si="63"/>
        <v>0</v>
      </c>
      <c r="DV10" s="34"/>
      <c r="DW10" s="30"/>
      <c r="DX10" s="51">
        <f t="shared" si="43"/>
        <v>0</v>
      </c>
      <c r="DY10" s="34"/>
      <c r="DZ10" s="30"/>
      <c r="EA10" s="51">
        <f t="shared" si="44"/>
        <v>0</v>
      </c>
      <c r="EB10" s="70">
        <v>10000</v>
      </c>
      <c r="EC10" s="67">
        <f t="shared" ref="EC5:EC21" si="65">DH10+DK10+DN10+DQ10+DT10+DW10+DZ10</f>
        <v>5</v>
      </c>
      <c r="ED10" s="51">
        <f t="shared" ref="ED5:ED21" si="66">DI10+DL10+DO10+DR10+DU10+DX10+EA10</f>
        <v>40000</v>
      </c>
    </row>
    <row r="11" spans="1:134" s="26" customFormat="1" ht="17.100000000000001" customHeight="1" thickBot="1" x14ac:dyDescent="0.25">
      <c r="A11" s="93" t="s">
        <v>31</v>
      </c>
      <c r="B11" s="19">
        <v>8000</v>
      </c>
      <c r="C11" s="29"/>
      <c r="D11" s="30"/>
      <c r="E11" s="2">
        <f t="shared" si="3"/>
        <v>0</v>
      </c>
      <c r="F11" s="29"/>
      <c r="G11" s="30"/>
      <c r="H11" s="2">
        <f t="shared" si="4"/>
        <v>0</v>
      </c>
      <c r="I11" s="29"/>
      <c r="J11" s="30"/>
      <c r="K11" s="2">
        <f t="shared" si="5"/>
        <v>0</v>
      </c>
      <c r="L11" s="33"/>
      <c r="M11" s="30"/>
      <c r="N11" s="2">
        <f t="shared" si="6"/>
        <v>0</v>
      </c>
      <c r="O11" s="31"/>
      <c r="P11" s="30"/>
      <c r="Q11" s="2">
        <f t="shared" si="7"/>
        <v>0</v>
      </c>
      <c r="R11" s="31"/>
      <c r="S11" s="30"/>
      <c r="T11" s="2">
        <f t="shared" si="8"/>
        <v>0</v>
      </c>
      <c r="U11" s="33"/>
      <c r="V11" s="30"/>
      <c r="W11" s="64">
        <f t="shared" si="9"/>
        <v>0</v>
      </c>
      <c r="X11" s="70">
        <f t="shared" si="0"/>
        <v>0</v>
      </c>
      <c r="Y11" s="67">
        <f t="shared" si="1"/>
        <v>0</v>
      </c>
      <c r="Z11" s="73">
        <f t="shared" si="2"/>
        <v>0</v>
      </c>
      <c r="AA11" s="35"/>
      <c r="AB11" s="30"/>
      <c r="AC11" s="2">
        <f t="shared" si="10"/>
        <v>0</v>
      </c>
      <c r="AD11" s="33"/>
      <c r="AE11" s="30">
        <v>2</v>
      </c>
      <c r="AF11" s="2">
        <f t="shared" si="11"/>
        <v>16000</v>
      </c>
      <c r="AG11" s="33"/>
      <c r="AH11" s="30">
        <v>1</v>
      </c>
      <c r="AI11" s="2">
        <f t="shared" si="12"/>
        <v>8000</v>
      </c>
      <c r="AJ11" s="33"/>
      <c r="AK11" s="30"/>
      <c r="AL11" s="2">
        <f t="shared" si="13"/>
        <v>0</v>
      </c>
      <c r="AM11" s="33"/>
      <c r="AN11" s="99"/>
      <c r="AO11" s="2">
        <f t="shared" si="14"/>
        <v>0</v>
      </c>
      <c r="AP11" s="33"/>
      <c r="AQ11" s="30">
        <v>1</v>
      </c>
      <c r="AR11" s="2">
        <f t="shared" si="15"/>
        <v>8000</v>
      </c>
      <c r="AS11" s="33"/>
      <c r="AT11" s="30"/>
      <c r="AU11" s="2">
        <f t="shared" si="16"/>
        <v>0</v>
      </c>
      <c r="AV11" s="70">
        <f t="shared" si="17"/>
        <v>0</v>
      </c>
      <c r="AW11" s="67">
        <f t="shared" si="17"/>
        <v>4</v>
      </c>
      <c r="AX11" s="51">
        <f t="shared" si="17"/>
        <v>32000</v>
      </c>
      <c r="AY11" s="33"/>
      <c r="AZ11" s="30"/>
      <c r="BA11" s="2">
        <f t="shared" si="18"/>
        <v>0</v>
      </c>
      <c r="BB11" s="33"/>
      <c r="BC11" s="30"/>
      <c r="BD11" s="2">
        <f t="shared" si="19"/>
        <v>0</v>
      </c>
      <c r="BE11" s="33"/>
      <c r="BF11" s="30"/>
      <c r="BG11" s="2">
        <f t="shared" si="20"/>
        <v>0</v>
      </c>
      <c r="BH11" s="33"/>
      <c r="BI11" s="30"/>
      <c r="BJ11" s="2">
        <f t="shared" si="21"/>
        <v>0</v>
      </c>
      <c r="BK11" s="33"/>
      <c r="BL11" s="30"/>
      <c r="BM11" s="2">
        <f t="shared" si="22"/>
        <v>0</v>
      </c>
      <c r="BN11" s="33"/>
      <c r="BO11" s="30">
        <v>1</v>
      </c>
      <c r="BP11" s="2">
        <f t="shared" si="23"/>
        <v>8000</v>
      </c>
      <c r="BQ11" s="33"/>
      <c r="BR11" s="30"/>
      <c r="BS11" s="2">
        <f t="shared" si="24"/>
        <v>0</v>
      </c>
      <c r="BT11" s="70">
        <f t="shared" si="25"/>
        <v>0</v>
      </c>
      <c r="BU11" s="67">
        <f t="shared" si="25"/>
        <v>1</v>
      </c>
      <c r="BV11" s="51">
        <f t="shared" si="25"/>
        <v>8000</v>
      </c>
      <c r="BW11" s="33"/>
      <c r="BX11" s="30"/>
      <c r="BY11" s="2">
        <f t="shared" si="26"/>
        <v>0</v>
      </c>
      <c r="BZ11" s="33"/>
      <c r="CA11" s="30">
        <v>1</v>
      </c>
      <c r="CB11" s="2">
        <f t="shared" si="45"/>
        <v>8000</v>
      </c>
      <c r="CC11" s="33"/>
      <c r="CD11" s="30">
        <v>1</v>
      </c>
      <c r="CE11" s="2">
        <f t="shared" si="46"/>
        <v>8000</v>
      </c>
      <c r="CF11" s="33"/>
      <c r="CG11" s="30"/>
      <c r="CH11" s="2">
        <f t="shared" si="47"/>
        <v>0</v>
      </c>
      <c r="CI11" s="33"/>
      <c r="CJ11" s="30"/>
      <c r="CK11" s="2">
        <f t="shared" si="48"/>
        <v>0</v>
      </c>
      <c r="CL11" s="33"/>
      <c r="CM11" s="30"/>
      <c r="CN11" s="2">
        <f t="shared" si="49"/>
        <v>0</v>
      </c>
      <c r="CO11" s="33"/>
      <c r="CP11" s="30"/>
      <c r="CQ11" s="2">
        <f t="shared" si="50"/>
        <v>0</v>
      </c>
      <c r="CR11" s="70">
        <f t="shared" si="33"/>
        <v>0</v>
      </c>
      <c r="CS11" s="67">
        <f t="shared" si="51"/>
        <v>2</v>
      </c>
      <c r="CT11" s="51">
        <f t="shared" si="52"/>
        <v>16000</v>
      </c>
      <c r="CU11" s="33"/>
      <c r="CV11" s="30">
        <v>1</v>
      </c>
      <c r="CW11" s="2">
        <f t="shared" si="53"/>
        <v>8000</v>
      </c>
      <c r="CX11" s="33"/>
      <c r="CY11" s="30">
        <v>1</v>
      </c>
      <c r="CZ11" s="2">
        <f t="shared" si="54"/>
        <v>8000</v>
      </c>
      <c r="DA11" s="33"/>
      <c r="DB11" s="30"/>
      <c r="DC11" s="2">
        <f t="shared" si="55"/>
        <v>0</v>
      </c>
      <c r="DD11" s="33"/>
      <c r="DE11" s="30"/>
      <c r="DF11" s="2">
        <f t="shared" si="56"/>
        <v>0</v>
      </c>
      <c r="DG11" s="33"/>
      <c r="DH11" s="30"/>
      <c r="DI11" s="2">
        <f t="shared" si="57"/>
        <v>0</v>
      </c>
      <c r="DJ11" s="33"/>
      <c r="DK11" s="30"/>
      <c r="DL11" s="2">
        <f t="shared" si="58"/>
        <v>0</v>
      </c>
      <c r="DM11" s="33"/>
      <c r="DN11" s="30"/>
      <c r="DO11" s="2">
        <f t="shared" si="59"/>
        <v>0</v>
      </c>
      <c r="DP11" s="70">
        <f t="shared" si="60"/>
        <v>0</v>
      </c>
      <c r="DQ11" s="67">
        <f t="shared" si="61"/>
        <v>2</v>
      </c>
      <c r="DR11" s="51">
        <f t="shared" si="62"/>
        <v>16000</v>
      </c>
      <c r="DS11" s="34"/>
      <c r="DT11" s="30"/>
      <c r="DU11" s="51">
        <f t="shared" si="63"/>
        <v>0</v>
      </c>
      <c r="DV11" s="34"/>
      <c r="DW11" s="30"/>
      <c r="DX11" s="51">
        <f t="shared" si="43"/>
        <v>0</v>
      </c>
      <c r="DY11" s="34"/>
      <c r="DZ11" s="30"/>
      <c r="EA11" s="51">
        <f t="shared" si="44"/>
        <v>0</v>
      </c>
      <c r="EB11" s="70">
        <f t="shared" si="64"/>
        <v>0</v>
      </c>
      <c r="EC11" s="67">
        <v>9</v>
      </c>
      <c r="ED11" s="51">
        <v>72000</v>
      </c>
    </row>
    <row r="12" spans="1:134" s="26" customFormat="1" ht="17.100000000000001" customHeight="1" thickBot="1" x14ac:dyDescent="0.25">
      <c r="A12" s="93" t="s">
        <v>68</v>
      </c>
      <c r="B12" s="19">
        <v>7000</v>
      </c>
      <c r="C12" s="29"/>
      <c r="D12" s="30"/>
      <c r="E12" s="2">
        <f t="shared" si="3"/>
        <v>0</v>
      </c>
      <c r="F12" s="29"/>
      <c r="G12" s="30"/>
      <c r="H12" s="2">
        <f t="shared" si="4"/>
        <v>0</v>
      </c>
      <c r="I12" s="29"/>
      <c r="J12" s="30"/>
      <c r="K12" s="2">
        <f t="shared" si="5"/>
        <v>0</v>
      </c>
      <c r="L12" s="31"/>
      <c r="M12" s="30"/>
      <c r="N12" s="2">
        <f t="shared" si="6"/>
        <v>0</v>
      </c>
      <c r="O12" s="31"/>
      <c r="P12" s="30"/>
      <c r="Q12" s="2">
        <f t="shared" si="7"/>
        <v>0</v>
      </c>
      <c r="R12" s="31"/>
      <c r="S12" s="30"/>
      <c r="T12" s="2">
        <f t="shared" si="8"/>
        <v>0</v>
      </c>
      <c r="U12" s="33"/>
      <c r="V12" s="30"/>
      <c r="W12" s="64">
        <f t="shared" si="9"/>
        <v>0</v>
      </c>
      <c r="X12" s="70">
        <f t="shared" si="0"/>
        <v>0</v>
      </c>
      <c r="Y12" s="67">
        <f t="shared" si="1"/>
        <v>0</v>
      </c>
      <c r="Z12" s="73">
        <f t="shared" si="2"/>
        <v>0</v>
      </c>
      <c r="AA12" s="35"/>
      <c r="AB12" s="30"/>
      <c r="AC12" s="2">
        <f t="shared" si="10"/>
        <v>0</v>
      </c>
      <c r="AD12" s="33"/>
      <c r="AE12" s="30">
        <v>1</v>
      </c>
      <c r="AF12" s="2">
        <f t="shared" si="11"/>
        <v>7000</v>
      </c>
      <c r="AG12" s="33"/>
      <c r="AH12" s="30">
        <v>2</v>
      </c>
      <c r="AI12" s="2">
        <f t="shared" si="12"/>
        <v>14000</v>
      </c>
      <c r="AJ12" s="33"/>
      <c r="AK12" s="30"/>
      <c r="AL12" s="2">
        <f t="shared" si="13"/>
        <v>0</v>
      </c>
      <c r="AM12" s="33"/>
      <c r="AN12" s="30"/>
      <c r="AO12" s="2">
        <f t="shared" si="14"/>
        <v>0</v>
      </c>
      <c r="AP12" s="31"/>
      <c r="AQ12" s="30"/>
      <c r="AR12" s="2">
        <f t="shared" si="15"/>
        <v>0</v>
      </c>
      <c r="AS12" s="31"/>
      <c r="AT12" s="30"/>
      <c r="AU12" s="2">
        <f t="shared" ref="AU12" si="67">$B12*AT12</f>
        <v>0</v>
      </c>
      <c r="AV12" s="127">
        <f t="shared" si="17"/>
        <v>0</v>
      </c>
      <c r="AW12" s="67">
        <f t="shared" ref="AW12:AW16" si="68">AB12+AE12+AH12+AK12+AN12+AQ12+AT12</f>
        <v>3</v>
      </c>
      <c r="AX12" s="51">
        <f t="shared" ref="AX12:AX16" si="69">AC12+AF12+AI12+AL12+AO12+AR12+AU12</f>
        <v>21000</v>
      </c>
      <c r="AY12" s="31"/>
      <c r="AZ12" s="30"/>
      <c r="BA12" s="2">
        <f t="shared" ref="BA12:BA16" si="70">$B12*AZ12</f>
        <v>0</v>
      </c>
      <c r="BB12" s="31"/>
      <c r="BC12" s="30"/>
      <c r="BD12" s="2">
        <f t="shared" ref="BD12:BD16" si="71">$B12*BC12</f>
        <v>0</v>
      </c>
      <c r="BE12" s="33"/>
      <c r="BF12" s="30">
        <v>1</v>
      </c>
      <c r="BG12" s="2">
        <f t="shared" ref="BG12:BG16" si="72">$B12*BF12</f>
        <v>7000</v>
      </c>
      <c r="BH12" s="33"/>
      <c r="BI12" s="30"/>
      <c r="BJ12" s="2">
        <f t="shared" ref="BJ12:BJ16" si="73">$B12*BI12</f>
        <v>0</v>
      </c>
      <c r="BK12" s="33"/>
      <c r="BL12" s="30"/>
      <c r="BM12" s="2">
        <f t="shared" ref="BM12:BM16" si="74">$B12*BL12</f>
        <v>0</v>
      </c>
      <c r="BN12" s="33"/>
      <c r="BO12" s="30"/>
      <c r="BP12" s="2">
        <f t="shared" ref="BP12:BP16" si="75">$B12*BO12</f>
        <v>0</v>
      </c>
      <c r="BQ12" s="31">
        <v>50000</v>
      </c>
      <c r="BR12" s="30"/>
      <c r="BS12" s="2">
        <f t="shared" ref="BS12:BS16" si="76">$B12*BR12</f>
        <v>0</v>
      </c>
      <c r="BT12" s="70">
        <f t="shared" ref="BT12:BT16" si="77">AY12+BB12+BE12+BH12+BK12+BN12+BQ12</f>
        <v>50000</v>
      </c>
      <c r="BU12" s="67">
        <f t="shared" ref="BU12:BU16" si="78">AZ12+BC12+BF12+BI12+BL12+BO12+BR12</f>
        <v>1</v>
      </c>
      <c r="BV12" s="51">
        <f t="shared" ref="BV12:BV16" si="79">BA12+BD12+BG12+BJ12+BM12+BP12+BS12</f>
        <v>7000</v>
      </c>
      <c r="BW12" s="33"/>
      <c r="BX12" s="30"/>
      <c r="BY12" s="2">
        <f t="shared" ref="BY12:BY16" si="80">$B12*BX12</f>
        <v>0</v>
      </c>
      <c r="BZ12" s="33"/>
      <c r="CA12" s="30"/>
      <c r="CB12" s="2">
        <f t="shared" si="45"/>
        <v>0</v>
      </c>
      <c r="CC12" s="33"/>
      <c r="CD12" s="30"/>
      <c r="CE12" s="2">
        <f t="shared" si="46"/>
        <v>0</v>
      </c>
      <c r="CF12" s="33">
        <v>40000</v>
      </c>
      <c r="CG12" s="30"/>
      <c r="CH12" s="2">
        <f t="shared" si="47"/>
        <v>0</v>
      </c>
      <c r="CI12" s="33"/>
      <c r="CJ12" s="30"/>
      <c r="CK12" s="2">
        <f t="shared" si="48"/>
        <v>0</v>
      </c>
      <c r="CL12" s="33"/>
      <c r="CM12" s="30"/>
      <c r="CN12" s="2">
        <f t="shared" si="49"/>
        <v>0</v>
      </c>
      <c r="CO12" s="33"/>
      <c r="CP12" s="30"/>
      <c r="CQ12" s="2">
        <f t="shared" si="50"/>
        <v>0</v>
      </c>
      <c r="CR12" s="70">
        <f t="shared" si="33"/>
        <v>40000</v>
      </c>
      <c r="CS12" s="67">
        <f t="shared" si="51"/>
        <v>0</v>
      </c>
      <c r="CT12" s="51">
        <f t="shared" si="52"/>
        <v>0</v>
      </c>
      <c r="CU12" s="33"/>
      <c r="CV12" s="30"/>
      <c r="CW12" s="2">
        <f t="shared" si="53"/>
        <v>0</v>
      </c>
      <c r="CX12" s="33"/>
      <c r="CY12" s="30"/>
      <c r="CZ12" s="2">
        <f t="shared" si="54"/>
        <v>0</v>
      </c>
      <c r="DA12" s="33"/>
      <c r="DB12" s="30">
        <v>1</v>
      </c>
      <c r="DC12" s="2">
        <f t="shared" si="55"/>
        <v>7000</v>
      </c>
      <c r="DD12" s="33"/>
      <c r="DE12" s="30">
        <v>1</v>
      </c>
      <c r="DF12" s="2">
        <f t="shared" si="56"/>
        <v>7000</v>
      </c>
      <c r="DG12" s="33">
        <v>40000</v>
      </c>
      <c r="DH12" s="30">
        <v>1</v>
      </c>
      <c r="DI12" s="2">
        <f t="shared" si="57"/>
        <v>7000</v>
      </c>
      <c r="DJ12" s="33"/>
      <c r="DK12" s="30">
        <v>1</v>
      </c>
      <c r="DL12" s="2">
        <f t="shared" si="58"/>
        <v>7000</v>
      </c>
      <c r="DM12" s="33"/>
      <c r="DN12" s="30"/>
      <c r="DO12" s="2">
        <f t="shared" si="59"/>
        <v>0</v>
      </c>
      <c r="DP12" s="70">
        <f t="shared" si="60"/>
        <v>40000</v>
      </c>
      <c r="DQ12" s="67">
        <f t="shared" si="61"/>
        <v>4</v>
      </c>
      <c r="DR12" s="51">
        <f t="shared" si="62"/>
        <v>28000</v>
      </c>
      <c r="DS12" s="34"/>
      <c r="DT12" s="30"/>
      <c r="DU12" s="51">
        <f t="shared" si="63"/>
        <v>0</v>
      </c>
      <c r="DV12" s="34"/>
      <c r="DW12" s="30"/>
      <c r="DX12" s="51">
        <f t="shared" si="43"/>
        <v>0</v>
      </c>
      <c r="DY12" s="34"/>
      <c r="DZ12" s="30"/>
      <c r="EA12" s="51">
        <f t="shared" si="44"/>
        <v>0</v>
      </c>
      <c r="EB12" s="70">
        <v>130000</v>
      </c>
      <c r="EC12" s="67">
        <v>8</v>
      </c>
      <c r="ED12" s="51">
        <v>56000</v>
      </c>
    </row>
    <row r="13" spans="1:134" s="26" customFormat="1" ht="17.100000000000001" customHeight="1" thickBot="1" x14ac:dyDescent="0.25">
      <c r="A13" s="93" t="s">
        <v>70</v>
      </c>
      <c r="B13" s="19">
        <v>8000</v>
      </c>
      <c r="C13" s="29"/>
      <c r="D13" s="30"/>
      <c r="E13" s="2">
        <f t="shared" si="3"/>
        <v>0</v>
      </c>
      <c r="F13" s="29"/>
      <c r="G13" s="30"/>
      <c r="H13" s="2">
        <f t="shared" si="4"/>
        <v>0</v>
      </c>
      <c r="I13" s="29"/>
      <c r="J13" s="30"/>
      <c r="K13" s="2">
        <f t="shared" si="5"/>
        <v>0</v>
      </c>
      <c r="L13" s="31"/>
      <c r="M13" s="30"/>
      <c r="N13" s="2">
        <f t="shared" si="6"/>
        <v>0</v>
      </c>
      <c r="O13" s="31"/>
      <c r="P13" s="30"/>
      <c r="Q13" s="2">
        <f t="shared" si="7"/>
        <v>0</v>
      </c>
      <c r="R13" s="31"/>
      <c r="S13" s="30"/>
      <c r="T13" s="2">
        <f t="shared" si="8"/>
        <v>0</v>
      </c>
      <c r="U13" s="33"/>
      <c r="V13" s="30"/>
      <c r="W13" s="64">
        <f t="shared" si="9"/>
        <v>0</v>
      </c>
      <c r="X13" s="70">
        <f t="shared" si="0"/>
        <v>0</v>
      </c>
      <c r="Y13" s="67">
        <f t="shared" si="1"/>
        <v>0</v>
      </c>
      <c r="Z13" s="73">
        <f t="shared" si="2"/>
        <v>0</v>
      </c>
      <c r="AA13" s="35"/>
      <c r="AB13" s="30"/>
      <c r="AC13" s="2">
        <f t="shared" si="10"/>
        <v>0</v>
      </c>
      <c r="AD13" s="33"/>
      <c r="AE13" s="30">
        <v>1</v>
      </c>
      <c r="AF13" s="2">
        <f t="shared" si="11"/>
        <v>8000</v>
      </c>
      <c r="AG13" s="33"/>
      <c r="AH13" s="30">
        <v>2</v>
      </c>
      <c r="AI13" s="2">
        <f t="shared" si="12"/>
        <v>16000</v>
      </c>
      <c r="AJ13" s="33"/>
      <c r="AK13" s="30"/>
      <c r="AL13" s="2">
        <f t="shared" si="13"/>
        <v>0</v>
      </c>
      <c r="AM13" s="33"/>
      <c r="AN13" s="30">
        <v>1</v>
      </c>
      <c r="AO13" s="2">
        <f t="shared" si="14"/>
        <v>8000</v>
      </c>
      <c r="AP13" s="33"/>
      <c r="AQ13" s="30"/>
      <c r="AR13" s="2">
        <f t="shared" si="15"/>
        <v>0</v>
      </c>
      <c r="AS13" s="33"/>
      <c r="AT13" s="30"/>
      <c r="AU13" s="2">
        <f t="shared" si="16"/>
        <v>0</v>
      </c>
      <c r="AV13" s="70">
        <f t="shared" si="17"/>
        <v>0</v>
      </c>
      <c r="AW13" s="67">
        <f t="shared" si="68"/>
        <v>4</v>
      </c>
      <c r="AX13" s="51">
        <f t="shared" si="69"/>
        <v>32000</v>
      </c>
      <c r="AY13" s="33"/>
      <c r="AZ13" s="30">
        <v>1</v>
      </c>
      <c r="BA13" s="2">
        <f t="shared" si="70"/>
        <v>8000</v>
      </c>
      <c r="BB13" s="33"/>
      <c r="BC13" s="30"/>
      <c r="BD13" s="2">
        <f t="shared" si="71"/>
        <v>0</v>
      </c>
      <c r="BE13" s="33"/>
      <c r="BF13" s="30">
        <v>1</v>
      </c>
      <c r="BG13" s="2">
        <f t="shared" si="72"/>
        <v>8000</v>
      </c>
      <c r="BH13" s="33"/>
      <c r="BI13" s="30"/>
      <c r="BJ13" s="2">
        <f t="shared" si="73"/>
        <v>0</v>
      </c>
      <c r="BK13" s="33"/>
      <c r="BL13" s="30">
        <v>1</v>
      </c>
      <c r="BM13" s="2">
        <f t="shared" si="74"/>
        <v>8000</v>
      </c>
      <c r="BN13" s="33"/>
      <c r="BO13" s="99">
        <v>1.5</v>
      </c>
      <c r="BP13" s="2">
        <f t="shared" si="75"/>
        <v>12000</v>
      </c>
      <c r="BQ13" s="33"/>
      <c r="BR13" s="30"/>
      <c r="BS13" s="2">
        <f t="shared" si="76"/>
        <v>0</v>
      </c>
      <c r="BT13" s="70">
        <f t="shared" si="77"/>
        <v>0</v>
      </c>
      <c r="BU13" s="100">
        <f t="shared" si="78"/>
        <v>4.5</v>
      </c>
      <c r="BV13" s="51">
        <f t="shared" si="79"/>
        <v>36000</v>
      </c>
      <c r="BW13" s="33"/>
      <c r="BX13" s="30"/>
      <c r="BY13" s="2">
        <f t="shared" si="80"/>
        <v>0</v>
      </c>
      <c r="BZ13" s="33"/>
      <c r="CA13" s="30"/>
      <c r="CB13" s="2">
        <f t="shared" si="45"/>
        <v>0</v>
      </c>
      <c r="CC13" s="33">
        <v>50000</v>
      </c>
      <c r="CD13" s="30"/>
      <c r="CE13" s="2">
        <f t="shared" si="46"/>
        <v>0</v>
      </c>
      <c r="CF13" s="33"/>
      <c r="CG13" s="30"/>
      <c r="CH13" s="2">
        <f t="shared" si="47"/>
        <v>0</v>
      </c>
      <c r="CI13" s="33"/>
      <c r="CJ13" s="99">
        <v>0.5</v>
      </c>
      <c r="CK13" s="2">
        <f t="shared" si="48"/>
        <v>4000</v>
      </c>
      <c r="CL13" s="33"/>
      <c r="CM13" s="30"/>
      <c r="CN13" s="2">
        <f t="shared" si="49"/>
        <v>0</v>
      </c>
      <c r="CO13" s="31"/>
      <c r="CP13" s="30"/>
      <c r="CQ13" s="2">
        <f t="shared" si="50"/>
        <v>0</v>
      </c>
      <c r="CR13" s="127">
        <f t="shared" si="33"/>
        <v>50000</v>
      </c>
      <c r="CS13" s="100">
        <f t="shared" si="51"/>
        <v>0.5</v>
      </c>
      <c r="CT13" s="51">
        <f t="shared" si="52"/>
        <v>4000</v>
      </c>
      <c r="CU13" s="31"/>
      <c r="CV13" s="99">
        <v>0.5</v>
      </c>
      <c r="CW13" s="2">
        <f t="shared" si="53"/>
        <v>4000</v>
      </c>
      <c r="CX13" s="33"/>
      <c r="CY13" s="30"/>
      <c r="CZ13" s="2">
        <f t="shared" si="54"/>
        <v>0</v>
      </c>
      <c r="DA13" s="33"/>
      <c r="DB13" s="30">
        <v>1</v>
      </c>
      <c r="DC13" s="2">
        <f t="shared" si="55"/>
        <v>8000</v>
      </c>
      <c r="DD13" s="33"/>
      <c r="DE13" s="30">
        <v>2</v>
      </c>
      <c r="DF13" s="2">
        <f t="shared" si="56"/>
        <v>16000</v>
      </c>
      <c r="DG13" s="33"/>
      <c r="DH13" s="30">
        <v>1</v>
      </c>
      <c r="DI13" s="2">
        <f t="shared" si="57"/>
        <v>8000</v>
      </c>
      <c r="DJ13" s="33"/>
      <c r="DK13" s="30"/>
      <c r="DL13" s="2">
        <f t="shared" si="58"/>
        <v>0</v>
      </c>
      <c r="DM13" s="31"/>
      <c r="DN13" s="30"/>
      <c r="DO13" s="2">
        <f t="shared" si="59"/>
        <v>0</v>
      </c>
      <c r="DP13" s="70">
        <f t="shared" si="60"/>
        <v>0</v>
      </c>
      <c r="DQ13" s="100">
        <f t="shared" si="61"/>
        <v>4.5</v>
      </c>
      <c r="DR13" s="51">
        <f t="shared" si="62"/>
        <v>36000</v>
      </c>
      <c r="DS13" s="34"/>
      <c r="DT13" s="30"/>
      <c r="DU13" s="51">
        <f t="shared" si="63"/>
        <v>0</v>
      </c>
      <c r="DV13" s="105"/>
      <c r="DW13" s="30"/>
      <c r="DX13" s="51">
        <f t="shared" si="43"/>
        <v>0</v>
      </c>
      <c r="DY13" s="105"/>
      <c r="DZ13" s="30"/>
      <c r="EA13" s="51">
        <f t="shared" si="44"/>
        <v>0</v>
      </c>
      <c r="EB13" s="70">
        <v>50000</v>
      </c>
      <c r="EC13" s="100">
        <v>13.5</v>
      </c>
      <c r="ED13" s="51">
        <v>108000</v>
      </c>
    </row>
    <row r="14" spans="1:134" s="26" customFormat="1" ht="17.100000000000001" customHeight="1" thickBot="1" x14ac:dyDescent="0.25">
      <c r="A14" s="93" t="s">
        <v>32</v>
      </c>
      <c r="B14" s="19">
        <v>8000</v>
      </c>
      <c r="C14" s="29"/>
      <c r="D14" s="30"/>
      <c r="E14" s="2">
        <f t="shared" si="3"/>
        <v>0</v>
      </c>
      <c r="F14" s="29"/>
      <c r="G14" s="30"/>
      <c r="H14" s="2">
        <f t="shared" si="4"/>
        <v>0</v>
      </c>
      <c r="I14" s="29"/>
      <c r="J14" s="30"/>
      <c r="K14" s="2">
        <f t="shared" si="5"/>
        <v>0</v>
      </c>
      <c r="L14" s="31"/>
      <c r="M14" s="30"/>
      <c r="N14" s="2">
        <f t="shared" si="6"/>
        <v>0</v>
      </c>
      <c r="O14" s="31"/>
      <c r="P14" s="30"/>
      <c r="Q14" s="2">
        <f t="shared" si="7"/>
        <v>0</v>
      </c>
      <c r="R14" s="31"/>
      <c r="S14" s="30"/>
      <c r="T14" s="2">
        <f t="shared" si="8"/>
        <v>0</v>
      </c>
      <c r="U14" s="33"/>
      <c r="V14" s="30"/>
      <c r="W14" s="64">
        <f t="shared" si="9"/>
        <v>0</v>
      </c>
      <c r="X14" s="70">
        <f t="shared" si="0"/>
        <v>0</v>
      </c>
      <c r="Y14" s="67">
        <f t="shared" si="1"/>
        <v>0</v>
      </c>
      <c r="Z14" s="73">
        <f t="shared" si="2"/>
        <v>0</v>
      </c>
      <c r="AA14" s="35"/>
      <c r="AB14" s="30"/>
      <c r="AC14" s="2">
        <f t="shared" si="10"/>
        <v>0</v>
      </c>
      <c r="AD14" s="33"/>
      <c r="AE14" s="30">
        <v>1</v>
      </c>
      <c r="AF14" s="2">
        <f t="shared" si="11"/>
        <v>8000</v>
      </c>
      <c r="AG14" s="33"/>
      <c r="AH14" s="30">
        <v>2</v>
      </c>
      <c r="AI14" s="2">
        <f t="shared" si="12"/>
        <v>16000</v>
      </c>
      <c r="AJ14" s="33"/>
      <c r="AK14" s="99"/>
      <c r="AL14" s="2">
        <f t="shared" si="13"/>
        <v>0</v>
      </c>
      <c r="AM14" s="33"/>
      <c r="AN14" s="30"/>
      <c r="AO14" s="2">
        <f t="shared" si="14"/>
        <v>0</v>
      </c>
      <c r="AP14" s="33"/>
      <c r="AQ14" s="30">
        <v>1</v>
      </c>
      <c r="AR14" s="2">
        <f t="shared" si="15"/>
        <v>8000</v>
      </c>
      <c r="AS14" s="33"/>
      <c r="AT14" s="30"/>
      <c r="AU14" s="2">
        <f t="shared" si="16"/>
        <v>0</v>
      </c>
      <c r="AV14" s="70">
        <f t="shared" si="17"/>
        <v>0</v>
      </c>
      <c r="AW14" s="67">
        <f t="shared" si="68"/>
        <v>4</v>
      </c>
      <c r="AX14" s="51">
        <f t="shared" si="69"/>
        <v>32000</v>
      </c>
      <c r="AY14" s="33"/>
      <c r="AZ14" s="30"/>
      <c r="BA14" s="2">
        <f t="shared" si="70"/>
        <v>0</v>
      </c>
      <c r="BB14" s="33"/>
      <c r="BC14" s="30"/>
      <c r="BD14" s="2">
        <f t="shared" si="71"/>
        <v>0</v>
      </c>
      <c r="BE14" s="33"/>
      <c r="BF14" s="30">
        <v>1</v>
      </c>
      <c r="BG14" s="2">
        <f t="shared" si="72"/>
        <v>8000</v>
      </c>
      <c r="BH14" s="33"/>
      <c r="BI14" s="30"/>
      <c r="BJ14" s="2">
        <f t="shared" si="73"/>
        <v>0</v>
      </c>
      <c r="BK14" s="33"/>
      <c r="BL14" s="30"/>
      <c r="BM14" s="2">
        <f t="shared" si="74"/>
        <v>0</v>
      </c>
      <c r="BN14" s="33"/>
      <c r="BO14" s="30"/>
      <c r="BP14" s="2">
        <f t="shared" si="75"/>
        <v>0</v>
      </c>
      <c r="BQ14" s="33"/>
      <c r="BR14" s="30"/>
      <c r="BS14" s="2">
        <f t="shared" si="76"/>
        <v>0</v>
      </c>
      <c r="BT14" s="70">
        <f t="shared" si="77"/>
        <v>0</v>
      </c>
      <c r="BU14" s="67">
        <f t="shared" si="78"/>
        <v>1</v>
      </c>
      <c r="BV14" s="51">
        <f t="shared" si="79"/>
        <v>8000</v>
      </c>
      <c r="BW14" s="33"/>
      <c r="BX14" s="30"/>
      <c r="BY14" s="2">
        <f t="shared" si="80"/>
        <v>0</v>
      </c>
      <c r="BZ14" s="33"/>
      <c r="CA14" s="30"/>
      <c r="CB14" s="2">
        <f t="shared" si="45"/>
        <v>0</v>
      </c>
      <c r="CC14" s="33"/>
      <c r="CD14" s="30"/>
      <c r="CE14" s="2">
        <f t="shared" si="46"/>
        <v>0</v>
      </c>
      <c r="CF14" s="33"/>
      <c r="CG14" s="30"/>
      <c r="CH14" s="2">
        <f t="shared" si="47"/>
        <v>0</v>
      </c>
      <c r="CI14" s="33"/>
      <c r="CJ14" s="30"/>
      <c r="CK14" s="2">
        <f t="shared" si="48"/>
        <v>0</v>
      </c>
      <c r="CL14" s="33"/>
      <c r="CM14" s="30"/>
      <c r="CN14" s="2">
        <f t="shared" si="49"/>
        <v>0</v>
      </c>
      <c r="CO14" s="33"/>
      <c r="CP14" s="30"/>
      <c r="CQ14" s="2">
        <f t="shared" si="50"/>
        <v>0</v>
      </c>
      <c r="CR14" s="70">
        <f t="shared" si="33"/>
        <v>0</v>
      </c>
      <c r="CS14" s="67">
        <f t="shared" si="51"/>
        <v>0</v>
      </c>
      <c r="CT14" s="51">
        <f t="shared" si="52"/>
        <v>0</v>
      </c>
      <c r="CU14" s="33"/>
      <c r="CV14" s="30"/>
      <c r="CW14" s="2">
        <f t="shared" si="53"/>
        <v>0</v>
      </c>
      <c r="CX14" s="33"/>
      <c r="CY14" s="30"/>
      <c r="CZ14" s="2">
        <f t="shared" si="54"/>
        <v>0</v>
      </c>
      <c r="DA14" s="33"/>
      <c r="DB14" s="30">
        <v>1</v>
      </c>
      <c r="DC14" s="2">
        <f t="shared" si="55"/>
        <v>8000</v>
      </c>
      <c r="DD14" s="33"/>
      <c r="DE14" s="30">
        <v>2</v>
      </c>
      <c r="DF14" s="2">
        <f t="shared" si="56"/>
        <v>16000</v>
      </c>
      <c r="DG14" s="33"/>
      <c r="DH14" s="30">
        <v>1</v>
      </c>
      <c r="DI14" s="2">
        <f t="shared" si="57"/>
        <v>8000</v>
      </c>
      <c r="DJ14" s="33"/>
      <c r="DK14" s="30">
        <v>1</v>
      </c>
      <c r="DL14" s="2">
        <f t="shared" si="58"/>
        <v>8000</v>
      </c>
      <c r="DM14" s="33"/>
      <c r="DN14" s="30"/>
      <c r="DO14" s="2">
        <f t="shared" si="59"/>
        <v>0</v>
      </c>
      <c r="DP14" s="70">
        <f t="shared" si="60"/>
        <v>0</v>
      </c>
      <c r="DQ14" s="67">
        <f t="shared" si="61"/>
        <v>5</v>
      </c>
      <c r="DR14" s="51">
        <f t="shared" si="62"/>
        <v>40000</v>
      </c>
      <c r="DS14" s="34"/>
      <c r="DT14" s="30"/>
      <c r="DU14" s="51">
        <f t="shared" si="63"/>
        <v>0</v>
      </c>
      <c r="DV14" s="34"/>
      <c r="DW14" s="30"/>
      <c r="DX14" s="51">
        <f t="shared" si="43"/>
        <v>0</v>
      </c>
      <c r="DY14" s="34"/>
      <c r="DZ14" s="30"/>
      <c r="EA14" s="51">
        <f t="shared" si="44"/>
        <v>0</v>
      </c>
      <c r="EB14" s="70">
        <f t="shared" si="64"/>
        <v>0</v>
      </c>
      <c r="EC14" s="67">
        <v>10</v>
      </c>
      <c r="ED14" s="51">
        <v>80000</v>
      </c>
    </row>
    <row r="15" spans="1:134" s="26" customFormat="1" ht="17.100000000000001" customHeight="1" thickBot="1" x14ac:dyDescent="0.25">
      <c r="A15" s="93" t="s">
        <v>36</v>
      </c>
      <c r="B15" s="19">
        <v>8000</v>
      </c>
      <c r="C15" s="29"/>
      <c r="D15" s="30"/>
      <c r="E15" s="2">
        <f t="shared" si="3"/>
        <v>0</v>
      </c>
      <c r="F15" s="29"/>
      <c r="G15" s="30"/>
      <c r="H15" s="2">
        <f t="shared" si="4"/>
        <v>0</v>
      </c>
      <c r="I15" s="29"/>
      <c r="J15" s="30"/>
      <c r="K15" s="2">
        <f t="shared" si="5"/>
        <v>0</v>
      </c>
      <c r="L15" s="31"/>
      <c r="M15" s="30"/>
      <c r="N15" s="2">
        <f t="shared" si="6"/>
        <v>0</v>
      </c>
      <c r="O15" s="31"/>
      <c r="P15" s="30"/>
      <c r="Q15" s="2">
        <f t="shared" si="7"/>
        <v>0</v>
      </c>
      <c r="R15" s="31"/>
      <c r="S15" s="30"/>
      <c r="T15" s="2">
        <f t="shared" si="8"/>
        <v>0</v>
      </c>
      <c r="U15" s="33"/>
      <c r="V15" s="99"/>
      <c r="W15" s="64">
        <f t="shared" si="9"/>
        <v>0</v>
      </c>
      <c r="X15" s="70">
        <f t="shared" si="0"/>
        <v>0</v>
      </c>
      <c r="Y15" s="67">
        <f t="shared" si="1"/>
        <v>0</v>
      </c>
      <c r="Z15" s="73">
        <f t="shared" si="2"/>
        <v>0</v>
      </c>
      <c r="AA15" s="35"/>
      <c r="AB15" s="30"/>
      <c r="AC15" s="2">
        <f t="shared" si="10"/>
        <v>0</v>
      </c>
      <c r="AD15" s="33"/>
      <c r="AE15" s="30"/>
      <c r="AF15" s="2">
        <f t="shared" si="11"/>
        <v>0</v>
      </c>
      <c r="AG15" s="33"/>
      <c r="AH15" s="30">
        <v>2</v>
      </c>
      <c r="AI15" s="2">
        <f t="shared" si="12"/>
        <v>16000</v>
      </c>
      <c r="AJ15" s="33"/>
      <c r="AK15" s="30"/>
      <c r="AL15" s="2">
        <f t="shared" si="13"/>
        <v>0</v>
      </c>
      <c r="AM15" s="33"/>
      <c r="AN15" s="30"/>
      <c r="AO15" s="2">
        <f t="shared" si="14"/>
        <v>0</v>
      </c>
      <c r="AP15" s="33"/>
      <c r="AQ15" s="30"/>
      <c r="AR15" s="2">
        <f t="shared" si="15"/>
        <v>0</v>
      </c>
      <c r="AS15" s="33"/>
      <c r="AT15" s="30"/>
      <c r="AU15" s="2">
        <f t="shared" si="16"/>
        <v>0</v>
      </c>
      <c r="AV15" s="70">
        <f t="shared" si="17"/>
        <v>0</v>
      </c>
      <c r="AW15" s="67">
        <f t="shared" si="68"/>
        <v>2</v>
      </c>
      <c r="AX15" s="51">
        <f t="shared" si="69"/>
        <v>16000</v>
      </c>
      <c r="AY15" s="33"/>
      <c r="AZ15" s="30"/>
      <c r="BA15" s="2">
        <f t="shared" si="70"/>
        <v>0</v>
      </c>
      <c r="BB15" s="33"/>
      <c r="BC15" s="30"/>
      <c r="BD15" s="2">
        <f t="shared" si="71"/>
        <v>0</v>
      </c>
      <c r="BE15" s="33"/>
      <c r="BF15" s="30">
        <v>1</v>
      </c>
      <c r="BG15" s="2">
        <f t="shared" si="72"/>
        <v>8000</v>
      </c>
      <c r="BH15" s="33"/>
      <c r="BI15" s="30"/>
      <c r="BJ15" s="2">
        <f t="shared" si="73"/>
        <v>0</v>
      </c>
      <c r="BK15" s="33"/>
      <c r="BL15" s="30"/>
      <c r="BM15" s="2">
        <f t="shared" si="74"/>
        <v>0</v>
      </c>
      <c r="BN15" s="33"/>
      <c r="BO15" s="30"/>
      <c r="BP15" s="2">
        <f t="shared" si="75"/>
        <v>0</v>
      </c>
      <c r="BQ15" s="33"/>
      <c r="BR15" s="30"/>
      <c r="BS15" s="2">
        <f t="shared" si="76"/>
        <v>0</v>
      </c>
      <c r="BT15" s="70">
        <f t="shared" si="77"/>
        <v>0</v>
      </c>
      <c r="BU15" s="67">
        <f t="shared" si="78"/>
        <v>1</v>
      </c>
      <c r="BV15" s="51">
        <f t="shared" si="79"/>
        <v>8000</v>
      </c>
      <c r="BW15" s="33"/>
      <c r="BX15" s="30"/>
      <c r="BY15" s="2">
        <f t="shared" si="80"/>
        <v>0</v>
      </c>
      <c r="BZ15" s="33"/>
      <c r="CA15" s="30"/>
      <c r="CB15" s="2">
        <f t="shared" si="45"/>
        <v>0</v>
      </c>
      <c r="CC15" s="33"/>
      <c r="CD15" s="30"/>
      <c r="CE15" s="2">
        <f t="shared" si="46"/>
        <v>0</v>
      </c>
      <c r="CF15" s="33"/>
      <c r="CG15" s="30"/>
      <c r="CH15" s="2">
        <f t="shared" si="47"/>
        <v>0</v>
      </c>
      <c r="CI15" s="33"/>
      <c r="CJ15" s="30"/>
      <c r="CK15" s="2">
        <f t="shared" si="48"/>
        <v>0</v>
      </c>
      <c r="CL15" s="33"/>
      <c r="CM15" s="30"/>
      <c r="CN15" s="2">
        <f t="shared" si="49"/>
        <v>0</v>
      </c>
      <c r="CO15" s="33"/>
      <c r="CP15" s="30"/>
      <c r="CQ15" s="2">
        <f t="shared" si="50"/>
        <v>0</v>
      </c>
      <c r="CR15" s="70">
        <f t="shared" si="33"/>
        <v>0</v>
      </c>
      <c r="CS15" s="67">
        <f t="shared" si="51"/>
        <v>0</v>
      </c>
      <c r="CT15" s="51">
        <f t="shared" si="52"/>
        <v>0</v>
      </c>
      <c r="CU15" s="33"/>
      <c r="CV15" s="30"/>
      <c r="CW15" s="2">
        <f t="shared" si="53"/>
        <v>0</v>
      </c>
      <c r="CX15" s="33"/>
      <c r="CY15" s="30"/>
      <c r="CZ15" s="2">
        <f t="shared" si="54"/>
        <v>0</v>
      </c>
      <c r="DA15" s="33"/>
      <c r="DB15" s="30">
        <v>1</v>
      </c>
      <c r="DC15" s="2">
        <f t="shared" si="55"/>
        <v>8000</v>
      </c>
      <c r="DD15" s="33"/>
      <c r="DE15" s="30">
        <v>1</v>
      </c>
      <c r="DF15" s="2">
        <f t="shared" si="56"/>
        <v>8000</v>
      </c>
      <c r="DG15" s="33"/>
      <c r="DH15" s="30">
        <v>1</v>
      </c>
      <c r="DI15" s="2">
        <f t="shared" si="57"/>
        <v>8000</v>
      </c>
      <c r="DJ15" s="33"/>
      <c r="DK15" s="30"/>
      <c r="DL15" s="2">
        <f t="shared" si="58"/>
        <v>0</v>
      </c>
      <c r="DM15" s="33"/>
      <c r="DN15" s="30"/>
      <c r="DO15" s="2">
        <f t="shared" si="59"/>
        <v>0</v>
      </c>
      <c r="DP15" s="70">
        <f t="shared" si="60"/>
        <v>0</v>
      </c>
      <c r="DQ15" s="67">
        <f t="shared" si="61"/>
        <v>3</v>
      </c>
      <c r="DR15" s="51">
        <f t="shared" si="62"/>
        <v>24000</v>
      </c>
      <c r="DS15" s="34"/>
      <c r="DT15" s="30"/>
      <c r="DU15" s="51">
        <f t="shared" si="63"/>
        <v>0</v>
      </c>
      <c r="DV15" s="34"/>
      <c r="DW15" s="30"/>
      <c r="DX15" s="51">
        <f t="shared" si="43"/>
        <v>0</v>
      </c>
      <c r="DY15" s="34"/>
      <c r="DZ15" s="30"/>
      <c r="EA15" s="51">
        <f t="shared" si="44"/>
        <v>0</v>
      </c>
      <c r="EB15" s="70">
        <f t="shared" si="64"/>
        <v>0</v>
      </c>
      <c r="EC15" s="67">
        <v>6</v>
      </c>
      <c r="ED15" s="51">
        <v>48000</v>
      </c>
    </row>
    <row r="16" spans="1:134" s="26" customFormat="1" ht="17.100000000000001" customHeight="1" thickBot="1" x14ac:dyDescent="0.25">
      <c r="A16" s="93" t="s">
        <v>33</v>
      </c>
      <c r="B16" s="19">
        <v>8000</v>
      </c>
      <c r="C16" s="29"/>
      <c r="D16" s="30"/>
      <c r="E16" s="2">
        <f t="shared" si="3"/>
        <v>0</v>
      </c>
      <c r="F16" s="29"/>
      <c r="G16" s="30"/>
      <c r="H16" s="2">
        <f t="shared" si="4"/>
        <v>0</v>
      </c>
      <c r="I16" s="29"/>
      <c r="J16" s="30"/>
      <c r="K16" s="2">
        <f t="shared" si="5"/>
        <v>0</v>
      </c>
      <c r="L16" s="31"/>
      <c r="M16" s="30"/>
      <c r="N16" s="2">
        <f t="shared" si="6"/>
        <v>0</v>
      </c>
      <c r="O16" s="31"/>
      <c r="P16" s="30"/>
      <c r="Q16" s="2">
        <f t="shared" si="7"/>
        <v>0</v>
      </c>
      <c r="R16" s="31"/>
      <c r="S16" s="30"/>
      <c r="T16" s="2">
        <f t="shared" si="8"/>
        <v>0</v>
      </c>
      <c r="U16" s="33"/>
      <c r="V16" s="30"/>
      <c r="W16" s="64">
        <f t="shared" si="9"/>
        <v>0</v>
      </c>
      <c r="X16" s="70">
        <f t="shared" si="0"/>
        <v>0</v>
      </c>
      <c r="Y16" s="67">
        <f t="shared" si="1"/>
        <v>0</v>
      </c>
      <c r="Z16" s="73">
        <f t="shared" si="2"/>
        <v>0</v>
      </c>
      <c r="AA16" s="35"/>
      <c r="AB16" s="30"/>
      <c r="AC16" s="2">
        <f t="shared" si="10"/>
        <v>0</v>
      </c>
      <c r="AD16" s="33"/>
      <c r="AE16" s="30">
        <v>1</v>
      </c>
      <c r="AF16" s="2">
        <f t="shared" si="11"/>
        <v>8000</v>
      </c>
      <c r="AG16" s="33"/>
      <c r="AH16" s="30"/>
      <c r="AI16" s="2">
        <f t="shared" si="12"/>
        <v>0</v>
      </c>
      <c r="AJ16" s="33"/>
      <c r="AK16" s="30"/>
      <c r="AL16" s="2">
        <f t="shared" si="13"/>
        <v>0</v>
      </c>
      <c r="AM16" s="33"/>
      <c r="AN16" s="30"/>
      <c r="AO16" s="2">
        <f t="shared" si="14"/>
        <v>0</v>
      </c>
      <c r="AP16" s="33"/>
      <c r="AQ16" s="30"/>
      <c r="AR16" s="2">
        <f t="shared" si="15"/>
        <v>0</v>
      </c>
      <c r="AS16" s="33"/>
      <c r="AT16" s="30"/>
      <c r="AU16" s="2">
        <f t="shared" si="16"/>
        <v>0</v>
      </c>
      <c r="AV16" s="70">
        <f t="shared" si="17"/>
        <v>0</v>
      </c>
      <c r="AW16" s="67">
        <f t="shared" si="68"/>
        <v>1</v>
      </c>
      <c r="AX16" s="51">
        <f t="shared" si="69"/>
        <v>8000</v>
      </c>
      <c r="AY16" s="33"/>
      <c r="AZ16" s="30"/>
      <c r="BA16" s="2">
        <f t="shared" si="70"/>
        <v>0</v>
      </c>
      <c r="BB16" s="33"/>
      <c r="BC16" s="30"/>
      <c r="BD16" s="2">
        <f t="shared" si="71"/>
        <v>0</v>
      </c>
      <c r="BE16" s="33"/>
      <c r="BF16" s="30">
        <v>1</v>
      </c>
      <c r="BG16" s="2">
        <f t="shared" si="72"/>
        <v>8000</v>
      </c>
      <c r="BH16" s="33"/>
      <c r="BI16" s="30"/>
      <c r="BJ16" s="2">
        <f t="shared" si="73"/>
        <v>0</v>
      </c>
      <c r="BK16" s="33"/>
      <c r="BL16" s="30"/>
      <c r="BM16" s="2">
        <f t="shared" si="74"/>
        <v>0</v>
      </c>
      <c r="BN16" s="33"/>
      <c r="BO16" s="30"/>
      <c r="BP16" s="2">
        <f t="shared" si="75"/>
        <v>0</v>
      </c>
      <c r="BQ16" s="33"/>
      <c r="BR16" s="30">
        <v>1</v>
      </c>
      <c r="BS16" s="2">
        <f t="shared" si="76"/>
        <v>8000</v>
      </c>
      <c r="BT16" s="70">
        <f t="shared" si="77"/>
        <v>0</v>
      </c>
      <c r="BU16" s="67">
        <f t="shared" si="78"/>
        <v>2</v>
      </c>
      <c r="BV16" s="51">
        <f t="shared" si="79"/>
        <v>16000</v>
      </c>
      <c r="BW16" s="33"/>
      <c r="BX16" s="30"/>
      <c r="BY16" s="2">
        <f t="shared" si="80"/>
        <v>0</v>
      </c>
      <c r="BZ16" s="33"/>
      <c r="CA16" s="30"/>
      <c r="CB16" s="2">
        <f t="shared" si="45"/>
        <v>0</v>
      </c>
      <c r="CC16" s="33"/>
      <c r="CD16" s="30"/>
      <c r="CE16" s="2">
        <f t="shared" si="46"/>
        <v>0</v>
      </c>
      <c r="CF16" s="33"/>
      <c r="CG16" s="30"/>
      <c r="CH16" s="2">
        <f t="shared" si="47"/>
        <v>0</v>
      </c>
      <c r="CI16" s="33"/>
      <c r="CJ16" s="30"/>
      <c r="CK16" s="2">
        <f t="shared" si="48"/>
        <v>0</v>
      </c>
      <c r="CL16" s="33"/>
      <c r="CM16" s="30"/>
      <c r="CN16" s="2">
        <f t="shared" si="49"/>
        <v>0</v>
      </c>
      <c r="CO16" s="33"/>
      <c r="CP16" s="30"/>
      <c r="CQ16" s="2">
        <f t="shared" si="50"/>
        <v>0</v>
      </c>
      <c r="CR16" s="70">
        <f t="shared" si="33"/>
        <v>0</v>
      </c>
      <c r="CS16" s="67">
        <f t="shared" si="51"/>
        <v>0</v>
      </c>
      <c r="CT16" s="51">
        <f t="shared" si="52"/>
        <v>0</v>
      </c>
      <c r="CU16" s="33"/>
      <c r="CV16" s="30"/>
      <c r="CW16" s="2">
        <f t="shared" si="53"/>
        <v>0</v>
      </c>
      <c r="CX16" s="33"/>
      <c r="CY16" s="30"/>
      <c r="CZ16" s="2">
        <f t="shared" si="54"/>
        <v>0</v>
      </c>
      <c r="DA16" s="33"/>
      <c r="DB16" s="30"/>
      <c r="DC16" s="2">
        <f t="shared" si="55"/>
        <v>0</v>
      </c>
      <c r="DD16" s="33"/>
      <c r="DE16" s="30">
        <v>1</v>
      </c>
      <c r="DF16" s="2">
        <f t="shared" si="56"/>
        <v>8000</v>
      </c>
      <c r="DG16" s="33"/>
      <c r="DH16" s="30">
        <v>1</v>
      </c>
      <c r="DI16" s="2">
        <f t="shared" si="57"/>
        <v>8000</v>
      </c>
      <c r="DJ16" s="33"/>
      <c r="DK16" s="30"/>
      <c r="DL16" s="2">
        <f t="shared" si="58"/>
        <v>0</v>
      </c>
      <c r="DM16" s="33"/>
      <c r="DN16" s="30"/>
      <c r="DO16" s="2">
        <f t="shared" si="59"/>
        <v>0</v>
      </c>
      <c r="DP16" s="70">
        <f t="shared" si="60"/>
        <v>0</v>
      </c>
      <c r="DQ16" s="67">
        <f t="shared" si="61"/>
        <v>2</v>
      </c>
      <c r="DR16" s="51">
        <f t="shared" si="62"/>
        <v>16000</v>
      </c>
      <c r="DS16" s="34"/>
      <c r="DT16" s="30"/>
      <c r="DU16" s="51">
        <f t="shared" si="63"/>
        <v>0</v>
      </c>
      <c r="DV16" s="34"/>
      <c r="DW16" s="30"/>
      <c r="DX16" s="51">
        <f t="shared" si="43"/>
        <v>0</v>
      </c>
      <c r="DY16" s="34"/>
      <c r="DZ16" s="30"/>
      <c r="EA16" s="51">
        <f t="shared" si="44"/>
        <v>0</v>
      </c>
      <c r="EB16" s="70">
        <f t="shared" si="64"/>
        <v>0</v>
      </c>
      <c r="EC16" s="67">
        <v>5</v>
      </c>
      <c r="ED16" s="51">
        <v>40000</v>
      </c>
    </row>
    <row r="17" spans="1:134" s="26" customFormat="1" ht="17.100000000000001" customHeight="1" thickBot="1" x14ac:dyDescent="0.25">
      <c r="A17" s="27" t="s">
        <v>48</v>
      </c>
      <c r="B17" s="19">
        <v>8000</v>
      </c>
      <c r="C17" s="38"/>
      <c r="D17" s="39"/>
      <c r="E17" s="3">
        <f t="shared" si="3"/>
        <v>0</v>
      </c>
      <c r="F17" s="38"/>
      <c r="G17" s="39"/>
      <c r="H17" s="3">
        <f t="shared" si="4"/>
        <v>0</v>
      </c>
      <c r="I17" s="38"/>
      <c r="J17" s="39"/>
      <c r="K17" s="3">
        <f t="shared" si="5"/>
        <v>0</v>
      </c>
      <c r="L17" s="40"/>
      <c r="M17" s="39"/>
      <c r="N17" s="3">
        <f t="shared" si="6"/>
        <v>0</v>
      </c>
      <c r="O17" s="40"/>
      <c r="P17" s="39"/>
      <c r="Q17" s="3">
        <f t="shared" si="7"/>
        <v>0</v>
      </c>
      <c r="R17" s="40"/>
      <c r="S17" s="39"/>
      <c r="T17" s="3">
        <f t="shared" si="8"/>
        <v>0</v>
      </c>
      <c r="U17" s="41"/>
      <c r="V17" s="39"/>
      <c r="W17" s="65">
        <f t="shared" si="9"/>
        <v>0</v>
      </c>
      <c r="X17" s="71">
        <f t="shared" si="0"/>
        <v>0</v>
      </c>
      <c r="Y17" s="68">
        <f t="shared" si="1"/>
        <v>0</v>
      </c>
      <c r="Z17" s="74">
        <f t="shared" si="2"/>
        <v>0</v>
      </c>
      <c r="AA17" s="42"/>
      <c r="AB17" s="39"/>
      <c r="AC17" s="3">
        <f t="shared" si="10"/>
        <v>0</v>
      </c>
      <c r="AD17" s="40"/>
      <c r="AE17" s="39">
        <v>1</v>
      </c>
      <c r="AF17" s="3">
        <f t="shared" si="11"/>
        <v>8000</v>
      </c>
      <c r="AG17" s="41"/>
      <c r="AH17" s="39">
        <v>2</v>
      </c>
      <c r="AI17" s="3">
        <f t="shared" si="12"/>
        <v>16000</v>
      </c>
      <c r="AJ17" s="40"/>
      <c r="AK17" s="39"/>
      <c r="AL17" s="3">
        <f t="shared" si="13"/>
        <v>0</v>
      </c>
      <c r="AM17" s="41"/>
      <c r="AN17" s="39"/>
      <c r="AO17" s="3">
        <f t="shared" si="14"/>
        <v>0</v>
      </c>
      <c r="AP17" s="40"/>
      <c r="AQ17" s="39"/>
      <c r="AR17" s="3">
        <f t="shared" si="15"/>
        <v>0</v>
      </c>
      <c r="AS17" s="41"/>
      <c r="AT17" s="39"/>
      <c r="AU17" s="3">
        <f t="shared" si="16"/>
        <v>0</v>
      </c>
      <c r="AV17" s="71">
        <f t="shared" si="17"/>
        <v>0</v>
      </c>
      <c r="AW17" s="68">
        <f t="shared" si="17"/>
        <v>3</v>
      </c>
      <c r="AX17" s="55">
        <f t="shared" si="17"/>
        <v>24000</v>
      </c>
      <c r="AY17" s="41"/>
      <c r="AZ17" s="39"/>
      <c r="BA17" s="3">
        <f t="shared" si="18"/>
        <v>0</v>
      </c>
      <c r="BB17" s="40"/>
      <c r="BC17" s="39"/>
      <c r="BD17" s="3">
        <f t="shared" si="19"/>
        <v>0</v>
      </c>
      <c r="BE17" s="40"/>
      <c r="BF17" s="39">
        <v>1</v>
      </c>
      <c r="BG17" s="3">
        <f t="shared" si="20"/>
        <v>8000</v>
      </c>
      <c r="BH17" s="40"/>
      <c r="BI17" s="39"/>
      <c r="BJ17" s="3">
        <f t="shared" si="21"/>
        <v>0</v>
      </c>
      <c r="BK17" s="41"/>
      <c r="BL17" s="39"/>
      <c r="BM17" s="3">
        <f t="shared" si="22"/>
        <v>0</v>
      </c>
      <c r="BN17" s="40"/>
      <c r="BO17" s="39"/>
      <c r="BP17" s="3">
        <f t="shared" si="23"/>
        <v>0</v>
      </c>
      <c r="BQ17" s="41"/>
      <c r="BR17" s="39"/>
      <c r="BS17" s="3">
        <f t="shared" si="24"/>
        <v>0</v>
      </c>
      <c r="BT17" s="71">
        <f t="shared" si="25"/>
        <v>0</v>
      </c>
      <c r="BU17" s="68">
        <f t="shared" si="25"/>
        <v>1</v>
      </c>
      <c r="BV17" s="55">
        <f t="shared" si="25"/>
        <v>8000</v>
      </c>
      <c r="BW17" s="41"/>
      <c r="BX17" s="39"/>
      <c r="BY17" s="3">
        <f t="shared" si="26"/>
        <v>0</v>
      </c>
      <c r="BZ17" s="40"/>
      <c r="CA17" s="39"/>
      <c r="CB17" s="3">
        <f t="shared" si="27"/>
        <v>0</v>
      </c>
      <c r="CC17" s="41"/>
      <c r="CD17" s="39"/>
      <c r="CE17" s="3">
        <f t="shared" si="28"/>
        <v>0</v>
      </c>
      <c r="CF17" s="40"/>
      <c r="CG17" s="39"/>
      <c r="CH17" s="3">
        <f t="shared" si="29"/>
        <v>0</v>
      </c>
      <c r="CI17" s="41"/>
      <c r="CJ17" s="39"/>
      <c r="CK17" s="3">
        <f t="shared" si="30"/>
        <v>0</v>
      </c>
      <c r="CL17" s="40"/>
      <c r="CM17" s="39"/>
      <c r="CN17" s="3">
        <f t="shared" si="31"/>
        <v>0</v>
      </c>
      <c r="CO17" s="41"/>
      <c r="CP17" s="39"/>
      <c r="CQ17" s="3">
        <f t="shared" si="32"/>
        <v>0</v>
      </c>
      <c r="CR17" s="71">
        <f t="shared" si="33"/>
        <v>0</v>
      </c>
      <c r="CS17" s="68">
        <f t="shared" si="33"/>
        <v>0</v>
      </c>
      <c r="CT17" s="51">
        <f t="shared" si="33"/>
        <v>0</v>
      </c>
      <c r="CU17" s="41"/>
      <c r="CV17" s="39"/>
      <c r="CW17" s="3">
        <f t="shared" si="34"/>
        <v>0</v>
      </c>
      <c r="CX17" s="40"/>
      <c r="CY17" s="39"/>
      <c r="CZ17" s="3">
        <f t="shared" si="35"/>
        <v>0</v>
      </c>
      <c r="DA17" s="41"/>
      <c r="DB17" s="39">
        <v>1</v>
      </c>
      <c r="DC17" s="3">
        <f t="shared" si="36"/>
        <v>8000</v>
      </c>
      <c r="DD17" s="40"/>
      <c r="DE17" s="39">
        <v>1</v>
      </c>
      <c r="DF17" s="3">
        <f t="shared" si="37"/>
        <v>8000</v>
      </c>
      <c r="DG17" s="41"/>
      <c r="DH17" s="39">
        <v>1</v>
      </c>
      <c r="DI17" s="3">
        <f t="shared" si="38"/>
        <v>8000</v>
      </c>
      <c r="DJ17" s="40"/>
      <c r="DK17" s="39">
        <v>1</v>
      </c>
      <c r="DL17" s="3">
        <f t="shared" si="39"/>
        <v>8000</v>
      </c>
      <c r="DM17" s="41"/>
      <c r="DN17" s="39"/>
      <c r="DO17" s="3">
        <f t="shared" si="40"/>
        <v>0</v>
      </c>
      <c r="DP17" s="71">
        <f t="shared" si="41"/>
        <v>0</v>
      </c>
      <c r="DQ17" s="68">
        <f t="shared" si="41"/>
        <v>4</v>
      </c>
      <c r="DR17" s="55">
        <f t="shared" si="41"/>
        <v>32000</v>
      </c>
      <c r="DS17" s="104"/>
      <c r="DT17" s="39"/>
      <c r="DU17" s="55">
        <f t="shared" si="42"/>
        <v>0</v>
      </c>
      <c r="DV17" s="38"/>
      <c r="DW17" s="39"/>
      <c r="DX17" s="55">
        <f t="shared" si="43"/>
        <v>0</v>
      </c>
      <c r="DY17" s="38"/>
      <c r="DZ17" s="39"/>
      <c r="EA17" s="55">
        <f t="shared" si="44"/>
        <v>0</v>
      </c>
      <c r="EB17" s="71">
        <f t="shared" si="64"/>
        <v>0</v>
      </c>
      <c r="EC17" s="68">
        <v>8</v>
      </c>
      <c r="ED17" s="55">
        <v>64000</v>
      </c>
    </row>
    <row r="18" spans="1:134" ht="17.100000000000001" customHeight="1" thickBot="1" x14ac:dyDescent="0.3">
      <c r="A18" s="124" t="s">
        <v>38</v>
      </c>
      <c r="B18" s="19">
        <v>8000</v>
      </c>
      <c r="U18" s="41"/>
      <c r="V18" s="39"/>
      <c r="W18" s="65">
        <f t="shared" ref="W18:W21" si="81">$B18*V18</f>
        <v>0</v>
      </c>
      <c r="X18" s="71">
        <f t="shared" si="0"/>
        <v>0</v>
      </c>
      <c r="Y18" s="68">
        <f t="shared" ref="Y18:Y21" si="82">D18+G18+J18+M18+P18+S18+V18</f>
        <v>0</v>
      </c>
      <c r="Z18" s="74">
        <f t="shared" ref="Z18:Z21" si="83">E18+H18+K18+N18+Q18+T18+W18</f>
        <v>0</v>
      </c>
      <c r="AA18" s="42"/>
      <c r="AB18" s="39"/>
      <c r="AC18" s="3">
        <f t="shared" ref="AC18:AC21" si="84">$B18*AB18</f>
        <v>0</v>
      </c>
      <c r="AD18" s="40"/>
      <c r="AE18" s="39"/>
      <c r="AF18" s="3">
        <f t="shared" ref="AF18:AF21" si="85">$B18*AE18</f>
        <v>0</v>
      </c>
      <c r="AG18" s="41"/>
      <c r="AH18" s="39"/>
      <c r="AI18" s="3">
        <f t="shared" ref="AI18:AI21" si="86">$B18*AH18</f>
        <v>0</v>
      </c>
      <c r="AJ18" s="40"/>
      <c r="AK18" s="39"/>
      <c r="AL18" s="3">
        <f t="shared" ref="AL18:AL21" si="87">$B18*AK18</f>
        <v>0</v>
      </c>
      <c r="AM18" s="41"/>
      <c r="AN18" s="39"/>
      <c r="AO18" s="3">
        <f t="shared" ref="AO18:AO21" si="88">$B18*AN18</f>
        <v>0</v>
      </c>
      <c r="AP18" s="40"/>
      <c r="AQ18" s="39"/>
      <c r="AR18" s="3">
        <f t="shared" ref="AR18:AR21" si="89">$B18*AQ18</f>
        <v>0</v>
      </c>
      <c r="AS18" s="41"/>
      <c r="AT18" s="39">
        <v>1</v>
      </c>
      <c r="AU18" s="3">
        <f t="shared" ref="AU18:AU21" si="90">$B18*AT18</f>
        <v>8000</v>
      </c>
      <c r="AV18" s="71">
        <f t="shared" ref="AV18:AV21" si="91">AA18+AD18+AG18+AJ18+AM18+AP18+AS18</f>
        <v>0</v>
      </c>
      <c r="AW18" s="68">
        <f t="shared" ref="AW18:AW21" si="92">AB18+AE18+AH18+AK18+AN18+AQ18+AT18</f>
        <v>1</v>
      </c>
      <c r="AX18" s="55">
        <f t="shared" ref="AX18:AX21" si="93">AC18+AF18+AI18+AL18+AO18+AR18+AU18</f>
        <v>8000</v>
      </c>
      <c r="AY18" s="41"/>
      <c r="AZ18" s="39"/>
      <c r="BA18" s="3">
        <f t="shared" ref="BA18:BA21" si="94">$B18*AZ18</f>
        <v>0</v>
      </c>
      <c r="BB18" s="40"/>
      <c r="BC18" s="39">
        <v>2</v>
      </c>
      <c r="BD18" s="3">
        <f t="shared" ref="BD18:BD21" si="95">$B18*BC18</f>
        <v>16000</v>
      </c>
      <c r="BE18" s="40"/>
      <c r="BF18" s="39"/>
      <c r="BG18" s="3">
        <f t="shared" ref="BG18:BG21" si="96">$B18*BF18</f>
        <v>0</v>
      </c>
      <c r="BH18" s="40"/>
      <c r="BI18" s="39"/>
      <c r="BJ18" s="3">
        <f t="shared" ref="BJ18:BJ21" si="97">$B18*BI18</f>
        <v>0</v>
      </c>
      <c r="BK18" s="41"/>
      <c r="BL18" s="39"/>
      <c r="BM18" s="3">
        <f t="shared" ref="BM18:BM21" si="98">$B18*BL18</f>
        <v>0</v>
      </c>
      <c r="BN18" s="40"/>
      <c r="BO18" s="39"/>
      <c r="BP18" s="3">
        <f t="shared" ref="BP18:BP21" si="99">$B18*BO18</f>
        <v>0</v>
      </c>
      <c r="BQ18" s="41"/>
      <c r="BR18" s="39"/>
      <c r="BS18" s="3">
        <f t="shared" ref="BS18:BS21" si="100">$B18*BR18</f>
        <v>0</v>
      </c>
      <c r="BT18" s="71">
        <f t="shared" ref="BT18:BT21" si="101">AY18+BB18+BE18+BH18+BK18+BN18+BQ18</f>
        <v>0</v>
      </c>
      <c r="BU18" s="68">
        <f t="shared" ref="BU18:BU21" si="102">AZ18+BC18+BF18+BI18+BL18+BO18+BR18</f>
        <v>2</v>
      </c>
      <c r="BV18" s="55">
        <f t="shared" ref="BV18:BV21" si="103">BA18+BD18+BG18+BJ18+BM18+BP18+BS18</f>
        <v>16000</v>
      </c>
      <c r="BW18" s="41"/>
      <c r="BX18" s="39"/>
      <c r="BY18" s="3">
        <f t="shared" ref="BY18:BY21" si="104">$B18*BX18</f>
        <v>0</v>
      </c>
      <c r="BZ18" s="40"/>
      <c r="CA18" s="39"/>
      <c r="CB18" s="3">
        <f t="shared" ref="CB18:CB21" si="105">$B18*CA18</f>
        <v>0</v>
      </c>
      <c r="CC18" s="41"/>
      <c r="CD18" s="39"/>
      <c r="CE18" s="3">
        <f t="shared" ref="CE18:CE21" si="106">$B18*CD18</f>
        <v>0</v>
      </c>
      <c r="CF18" s="40">
        <v>50000</v>
      </c>
      <c r="CG18" s="39"/>
      <c r="CH18" s="3">
        <f t="shared" ref="CH18:CH21" si="107">$B18*CG18</f>
        <v>0</v>
      </c>
      <c r="CI18" s="41"/>
      <c r="CJ18" s="39"/>
      <c r="CK18" s="3">
        <f t="shared" ref="CK18:CK21" si="108">$B18*CJ18</f>
        <v>0</v>
      </c>
      <c r="CL18" s="40"/>
      <c r="CM18" s="39"/>
      <c r="CN18" s="3">
        <f t="shared" ref="CN18:CN21" si="109">$B18*CM18</f>
        <v>0</v>
      </c>
      <c r="CO18" s="41"/>
      <c r="CP18" s="39"/>
      <c r="CQ18" s="3">
        <f t="shared" ref="CQ18:CQ21" si="110">$B18*CP18</f>
        <v>0</v>
      </c>
      <c r="CR18" s="71">
        <f t="shared" ref="CR18:CR21" si="111">BW18+BZ18+CC18+CF18+CI18+CL18+CO18</f>
        <v>50000</v>
      </c>
      <c r="CS18" s="68">
        <f t="shared" ref="CS18:CS21" si="112">BX18+CA18+CD18+CG18+CJ18+CM18+CP18</f>
        <v>0</v>
      </c>
      <c r="CT18" s="51">
        <f t="shared" ref="CT18:CT21" si="113">BY18+CB18+CE18+CH18+CK18+CN18+CQ18</f>
        <v>0</v>
      </c>
      <c r="CU18" s="41"/>
      <c r="CV18" s="39"/>
      <c r="CW18" s="3">
        <f t="shared" ref="CW18:CW21" si="114">$B18*CV18</f>
        <v>0</v>
      </c>
      <c r="CX18" s="40">
        <v>50000</v>
      </c>
      <c r="CY18" s="39"/>
      <c r="CZ18" s="3">
        <f t="shared" ref="CZ18:CZ21" si="115">$B18*CY18</f>
        <v>0</v>
      </c>
      <c r="DA18" s="41"/>
      <c r="DB18" s="39"/>
      <c r="DC18" s="3">
        <f t="shared" ref="DC18:DC21" si="116">$B18*DB18</f>
        <v>0</v>
      </c>
      <c r="DD18" s="40"/>
      <c r="DE18" s="39"/>
      <c r="DF18" s="3">
        <f t="shared" ref="DF18:DF21" si="117">$B18*DE18</f>
        <v>0</v>
      </c>
      <c r="DG18" s="41"/>
      <c r="DH18" s="39"/>
      <c r="DI18" s="3">
        <f t="shared" ref="DI18:DI21" si="118">$B18*DH18</f>
        <v>0</v>
      </c>
      <c r="DJ18" s="40">
        <v>30000</v>
      </c>
      <c r="DK18" s="39"/>
      <c r="DL18" s="3">
        <f t="shared" ref="DL18:DL21" si="119">$B18*DK18</f>
        <v>0</v>
      </c>
      <c r="DM18" s="41"/>
      <c r="DN18" s="39"/>
      <c r="DO18" s="3">
        <f t="shared" ref="DO18:DO21" si="120">$B18*DN18</f>
        <v>0</v>
      </c>
      <c r="DP18" s="71">
        <f t="shared" ref="DP18:DP21" si="121">CU18+CX18+DA18+DD18+DG18+DJ18+DM18</f>
        <v>80000</v>
      </c>
      <c r="DQ18" s="68">
        <f t="shared" ref="DQ18:DQ21" si="122">CV18+CY18+DB18+DE18+DH18+DK18+DN18</f>
        <v>0</v>
      </c>
      <c r="DR18" s="55">
        <f t="shared" ref="DR18:DR21" si="123">CW18+CZ18+DC18+DF18+DI18+DL18+DO18</f>
        <v>0</v>
      </c>
      <c r="DS18" s="104"/>
      <c r="DT18" s="39"/>
      <c r="DU18" s="55">
        <f t="shared" ref="DU18:DU21" si="124">$B18*DT18</f>
        <v>0</v>
      </c>
      <c r="DV18" s="38"/>
      <c r="DW18" s="39"/>
      <c r="DX18" s="55">
        <f t="shared" ref="DX18:DX21" si="125">$B18*DW18</f>
        <v>0</v>
      </c>
      <c r="DY18" s="38"/>
      <c r="DZ18" s="39"/>
      <c r="EA18" s="55">
        <f t="shared" si="44"/>
        <v>0</v>
      </c>
      <c r="EB18" s="71">
        <v>130000</v>
      </c>
      <c r="EC18" s="68">
        <v>3</v>
      </c>
      <c r="ED18" s="55">
        <v>24000</v>
      </c>
    </row>
    <row r="19" spans="1:134" ht="17.100000000000001" customHeight="1" thickBot="1" x14ac:dyDescent="0.3">
      <c r="A19" s="36" t="s">
        <v>71</v>
      </c>
      <c r="B19" s="19">
        <v>8000</v>
      </c>
      <c r="U19" s="41"/>
      <c r="V19" s="39"/>
      <c r="W19" s="65">
        <f t="shared" si="81"/>
        <v>0</v>
      </c>
      <c r="X19" s="71">
        <f t="shared" si="0"/>
        <v>0</v>
      </c>
      <c r="Y19" s="68">
        <f t="shared" si="82"/>
        <v>0</v>
      </c>
      <c r="Z19" s="74">
        <f t="shared" si="83"/>
        <v>0</v>
      </c>
      <c r="AA19" s="42"/>
      <c r="AB19" s="39"/>
      <c r="AC19" s="3">
        <f t="shared" si="84"/>
        <v>0</v>
      </c>
      <c r="AD19" s="40"/>
      <c r="AE19" s="39"/>
      <c r="AF19" s="3">
        <f t="shared" si="85"/>
        <v>0</v>
      </c>
      <c r="AG19" s="41"/>
      <c r="AH19" s="39"/>
      <c r="AI19" s="3">
        <f t="shared" si="86"/>
        <v>0</v>
      </c>
      <c r="AJ19" s="40"/>
      <c r="AK19" s="39"/>
      <c r="AL19" s="3">
        <f t="shared" si="87"/>
        <v>0</v>
      </c>
      <c r="AM19" s="41"/>
      <c r="AN19" s="39"/>
      <c r="AO19" s="3">
        <f t="shared" si="88"/>
        <v>0</v>
      </c>
      <c r="AP19" s="40"/>
      <c r="AQ19" s="39"/>
      <c r="AR19" s="3">
        <f t="shared" si="89"/>
        <v>0</v>
      </c>
      <c r="AS19" s="41"/>
      <c r="AT19" s="39"/>
      <c r="AU19" s="3">
        <f t="shared" si="90"/>
        <v>0</v>
      </c>
      <c r="AV19" s="71">
        <f t="shared" si="91"/>
        <v>0</v>
      </c>
      <c r="AW19" s="68">
        <f t="shared" si="92"/>
        <v>0</v>
      </c>
      <c r="AX19" s="55">
        <f t="shared" si="93"/>
        <v>0</v>
      </c>
      <c r="AY19" s="41"/>
      <c r="AZ19" s="39"/>
      <c r="BA19" s="3">
        <f t="shared" si="94"/>
        <v>0</v>
      </c>
      <c r="BB19" s="40"/>
      <c r="BC19" s="39"/>
      <c r="BD19" s="3">
        <f t="shared" si="95"/>
        <v>0</v>
      </c>
      <c r="BE19" s="40"/>
      <c r="BF19" s="39"/>
      <c r="BG19" s="3">
        <f t="shared" si="96"/>
        <v>0</v>
      </c>
      <c r="BH19" s="40"/>
      <c r="BI19" s="39"/>
      <c r="BJ19" s="3">
        <f t="shared" si="97"/>
        <v>0</v>
      </c>
      <c r="BK19" s="41"/>
      <c r="BL19" s="39"/>
      <c r="BM19" s="3">
        <f t="shared" si="98"/>
        <v>0</v>
      </c>
      <c r="BN19" s="40"/>
      <c r="BO19" s="39"/>
      <c r="BP19" s="3">
        <f t="shared" si="99"/>
        <v>0</v>
      </c>
      <c r="BQ19" s="41"/>
      <c r="BR19" s="39"/>
      <c r="BS19" s="3">
        <f t="shared" si="100"/>
        <v>0</v>
      </c>
      <c r="BT19" s="71">
        <f t="shared" si="101"/>
        <v>0</v>
      </c>
      <c r="BU19" s="68">
        <f t="shared" si="102"/>
        <v>0</v>
      </c>
      <c r="BV19" s="55">
        <f t="shared" si="103"/>
        <v>0</v>
      </c>
      <c r="BW19" s="41"/>
      <c r="BX19" s="39"/>
      <c r="BY19" s="3">
        <f t="shared" si="104"/>
        <v>0</v>
      </c>
      <c r="BZ19" s="40"/>
      <c r="CA19" s="39"/>
      <c r="CB19" s="3">
        <f t="shared" si="105"/>
        <v>0</v>
      </c>
      <c r="CC19" s="41"/>
      <c r="CD19" s="39"/>
      <c r="CE19" s="3">
        <f t="shared" si="106"/>
        <v>0</v>
      </c>
      <c r="CF19" s="40"/>
      <c r="CG19" s="39"/>
      <c r="CH19" s="3">
        <f t="shared" si="107"/>
        <v>0</v>
      </c>
      <c r="CI19" s="41"/>
      <c r="CJ19" s="39"/>
      <c r="CK19" s="3">
        <f t="shared" si="108"/>
        <v>0</v>
      </c>
      <c r="CL19" s="40"/>
      <c r="CM19" s="39"/>
      <c r="CN19" s="3">
        <f t="shared" si="109"/>
        <v>0</v>
      </c>
      <c r="CO19" s="41"/>
      <c r="CP19" s="39"/>
      <c r="CQ19" s="3">
        <f t="shared" si="110"/>
        <v>0</v>
      </c>
      <c r="CR19" s="71">
        <f t="shared" si="111"/>
        <v>0</v>
      </c>
      <c r="CS19" s="68">
        <f t="shared" si="112"/>
        <v>0</v>
      </c>
      <c r="CT19" s="51">
        <f t="shared" si="113"/>
        <v>0</v>
      </c>
      <c r="CU19" s="41"/>
      <c r="CV19" s="39"/>
      <c r="CW19" s="3">
        <f t="shared" si="114"/>
        <v>0</v>
      </c>
      <c r="CX19" s="40"/>
      <c r="CY19" s="39"/>
      <c r="CZ19" s="3">
        <f t="shared" si="115"/>
        <v>0</v>
      </c>
      <c r="DA19" s="41"/>
      <c r="DB19" s="39"/>
      <c r="DC19" s="3">
        <f t="shared" si="116"/>
        <v>0</v>
      </c>
      <c r="DD19" s="40"/>
      <c r="DE19" s="39"/>
      <c r="DF19" s="3">
        <f t="shared" si="117"/>
        <v>0</v>
      </c>
      <c r="DG19" s="41"/>
      <c r="DH19" s="39"/>
      <c r="DI19" s="3">
        <f t="shared" si="118"/>
        <v>0</v>
      </c>
      <c r="DJ19" s="40"/>
      <c r="DK19" s="39"/>
      <c r="DL19" s="3">
        <f t="shared" si="119"/>
        <v>0</v>
      </c>
      <c r="DM19" s="41"/>
      <c r="DN19" s="39"/>
      <c r="DO19" s="3">
        <f t="shared" si="120"/>
        <v>0</v>
      </c>
      <c r="DP19" s="71">
        <f t="shared" si="121"/>
        <v>0</v>
      </c>
      <c r="DQ19" s="68">
        <f t="shared" si="122"/>
        <v>0</v>
      </c>
      <c r="DR19" s="55">
        <f t="shared" si="123"/>
        <v>0</v>
      </c>
      <c r="DS19" s="104"/>
      <c r="DT19" s="39"/>
      <c r="DU19" s="55">
        <f t="shared" si="124"/>
        <v>0</v>
      </c>
      <c r="DV19" s="38"/>
      <c r="DW19" s="39"/>
      <c r="DX19" s="55">
        <f t="shared" si="125"/>
        <v>0</v>
      </c>
      <c r="DY19" s="38"/>
      <c r="DZ19" s="39"/>
      <c r="EA19" s="55">
        <f t="shared" si="44"/>
        <v>0</v>
      </c>
      <c r="EB19" s="71">
        <f t="shared" si="64"/>
        <v>0</v>
      </c>
      <c r="EC19" s="68">
        <f t="shared" si="65"/>
        <v>0</v>
      </c>
      <c r="ED19" s="55">
        <f t="shared" si="66"/>
        <v>0</v>
      </c>
    </row>
    <row r="20" spans="1:134" ht="17.100000000000001" customHeight="1" thickBot="1" x14ac:dyDescent="0.3">
      <c r="A20" s="79" t="s">
        <v>35</v>
      </c>
      <c r="B20" s="114">
        <v>8000</v>
      </c>
      <c r="U20" s="41"/>
      <c r="V20" s="39"/>
      <c r="W20" s="65">
        <f t="shared" si="81"/>
        <v>0</v>
      </c>
      <c r="X20" s="71">
        <f t="shared" si="0"/>
        <v>0</v>
      </c>
      <c r="Y20" s="68">
        <f t="shared" si="82"/>
        <v>0</v>
      </c>
      <c r="Z20" s="74">
        <f t="shared" si="83"/>
        <v>0</v>
      </c>
      <c r="AA20" s="42"/>
      <c r="AB20" s="39"/>
      <c r="AC20" s="3">
        <f t="shared" si="84"/>
        <v>0</v>
      </c>
      <c r="AD20" s="40"/>
      <c r="AE20" s="39"/>
      <c r="AF20" s="3">
        <f t="shared" si="85"/>
        <v>0</v>
      </c>
      <c r="AG20" s="41"/>
      <c r="AH20" s="39"/>
      <c r="AI20" s="3">
        <f t="shared" si="86"/>
        <v>0</v>
      </c>
      <c r="AJ20" s="40"/>
      <c r="AK20" s="39"/>
      <c r="AL20" s="3">
        <f t="shared" si="87"/>
        <v>0</v>
      </c>
      <c r="AM20" s="41"/>
      <c r="AN20" s="39"/>
      <c r="AO20" s="3">
        <f t="shared" si="88"/>
        <v>0</v>
      </c>
      <c r="AP20" s="40"/>
      <c r="AQ20" s="39"/>
      <c r="AR20" s="3">
        <f t="shared" si="89"/>
        <v>0</v>
      </c>
      <c r="AS20" s="41"/>
      <c r="AT20" s="39"/>
      <c r="AU20" s="3">
        <f t="shared" si="90"/>
        <v>0</v>
      </c>
      <c r="AV20" s="71">
        <f t="shared" si="91"/>
        <v>0</v>
      </c>
      <c r="AW20" s="68">
        <f t="shared" si="92"/>
        <v>0</v>
      </c>
      <c r="AX20" s="55">
        <f t="shared" si="93"/>
        <v>0</v>
      </c>
      <c r="AY20" s="41"/>
      <c r="AZ20" s="39"/>
      <c r="BA20" s="3">
        <f t="shared" si="94"/>
        <v>0</v>
      </c>
      <c r="BB20" s="40"/>
      <c r="BC20" s="39"/>
      <c r="BD20" s="3">
        <f t="shared" si="95"/>
        <v>0</v>
      </c>
      <c r="BE20" s="40"/>
      <c r="BF20" s="39"/>
      <c r="BG20" s="3">
        <f t="shared" si="96"/>
        <v>0</v>
      </c>
      <c r="BH20" s="40"/>
      <c r="BI20" s="39"/>
      <c r="BJ20" s="3">
        <f t="shared" si="97"/>
        <v>0</v>
      </c>
      <c r="BK20" s="41"/>
      <c r="BL20" s="39"/>
      <c r="BM20" s="3">
        <f t="shared" si="98"/>
        <v>0</v>
      </c>
      <c r="BN20" s="40"/>
      <c r="BO20" s="39"/>
      <c r="BP20" s="3">
        <f t="shared" si="99"/>
        <v>0</v>
      </c>
      <c r="BQ20" s="41"/>
      <c r="BR20" s="39"/>
      <c r="BS20" s="3">
        <f t="shared" si="100"/>
        <v>0</v>
      </c>
      <c r="BT20" s="71">
        <f t="shared" si="101"/>
        <v>0</v>
      </c>
      <c r="BU20" s="68">
        <f t="shared" si="102"/>
        <v>0</v>
      </c>
      <c r="BV20" s="55">
        <f t="shared" si="103"/>
        <v>0</v>
      </c>
      <c r="BW20" s="41"/>
      <c r="BX20" s="39"/>
      <c r="BY20" s="3">
        <f t="shared" si="104"/>
        <v>0</v>
      </c>
      <c r="BZ20" s="40"/>
      <c r="CA20" s="39"/>
      <c r="CB20" s="3">
        <f t="shared" si="105"/>
        <v>0</v>
      </c>
      <c r="CC20" s="41"/>
      <c r="CD20" s="39"/>
      <c r="CE20" s="3">
        <f t="shared" si="106"/>
        <v>0</v>
      </c>
      <c r="CF20" s="40"/>
      <c r="CG20" s="39"/>
      <c r="CH20" s="3">
        <f t="shared" si="107"/>
        <v>0</v>
      </c>
      <c r="CI20" s="41"/>
      <c r="CJ20" s="39"/>
      <c r="CK20" s="3">
        <f t="shared" si="108"/>
        <v>0</v>
      </c>
      <c r="CL20" s="40"/>
      <c r="CM20" s="39"/>
      <c r="CN20" s="3">
        <f t="shared" si="109"/>
        <v>0</v>
      </c>
      <c r="CO20" s="41"/>
      <c r="CP20" s="39"/>
      <c r="CQ20" s="3">
        <f t="shared" si="110"/>
        <v>0</v>
      </c>
      <c r="CR20" s="71">
        <f t="shared" si="111"/>
        <v>0</v>
      </c>
      <c r="CS20" s="68">
        <f t="shared" si="112"/>
        <v>0</v>
      </c>
      <c r="CT20" s="51">
        <f t="shared" si="113"/>
        <v>0</v>
      </c>
      <c r="CU20" s="41"/>
      <c r="CV20" s="39"/>
      <c r="CW20" s="3">
        <f t="shared" si="114"/>
        <v>0</v>
      </c>
      <c r="CX20" s="40"/>
      <c r="CY20" s="39"/>
      <c r="CZ20" s="3">
        <f t="shared" si="115"/>
        <v>0</v>
      </c>
      <c r="DA20" s="41"/>
      <c r="DB20" s="39"/>
      <c r="DC20" s="3">
        <f t="shared" si="116"/>
        <v>0</v>
      </c>
      <c r="DD20" s="40"/>
      <c r="DE20" s="39"/>
      <c r="DF20" s="3">
        <f t="shared" si="117"/>
        <v>0</v>
      </c>
      <c r="DG20" s="41"/>
      <c r="DH20" s="39"/>
      <c r="DI20" s="3">
        <f t="shared" si="118"/>
        <v>0</v>
      </c>
      <c r="DJ20" s="40"/>
      <c r="DK20" s="39"/>
      <c r="DL20" s="3">
        <f t="shared" si="119"/>
        <v>0</v>
      </c>
      <c r="DM20" s="41"/>
      <c r="DN20" s="39"/>
      <c r="DO20" s="3">
        <f t="shared" si="120"/>
        <v>0</v>
      </c>
      <c r="DP20" s="71">
        <f t="shared" si="121"/>
        <v>0</v>
      </c>
      <c r="DQ20" s="68">
        <f t="shared" si="122"/>
        <v>0</v>
      </c>
      <c r="DR20" s="55">
        <f t="shared" si="123"/>
        <v>0</v>
      </c>
      <c r="DS20" s="104"/>
      <c r="DT20" s="39"/>
      <c r="DU20" s="55">
        <f t="shared" si="124"/>
        <v>0</v>
      </c>
      <c r="DV20" s="38"/>
      <c r="DW20" s="39"/>
      <c r="DX20" s="55">
        <f t="shared" si="125"/>
        <v>0</v>
      </c>
      <c r="DY20" s="38"/>
      <c r="DZ20" s="39"/>
      <c r="EA20" s="55">
        <f t="shared" si="44"/>
        <v>0</v>
      </c>
      <c r="EB20" s="71">
        <f t="shared" si="64"/>
        <v>0</v>
      </c>
      <c r="EC20" s="68">
        <f t="shared" si="65"/>
        <v>0</v>
      </c>
      <c r="ED20" s="55">
        <f t="shared" si="66"/>
        <v>0</v>
      </c>
    </row>
    <row r="21" spans="1:134" ht="17.100000000000001" customHeight="1" thickBot="1" x14ac:dyDescent="0.3">
      <c r="A21" s="36" t="s">
        <v>61</v>
      </c>
      <c r="B21" s="28">
        <v>8000</v>
      </c>
      <c r="U21" s="41"/>
      <c r="V21" s="39"/>
      <c r="W21" s="65">
        <f t="shared" si="81"/>
        <v>0</v>
      </c>
      <c r="X21" s="71">
        <f t="shared" si="0"/>
        <v>0</v>
      </c>
      <c r="Y21" s="68">
        <f t="shared" si="82"/>
        <v>0</v>
      </c>
      <c r="Z21" s="74">
        <f t="shared" si="83"/>
        <v>0</v>
      </c>
      <c r="AA21" s="42"/>
      <c r="AB21" s="39"/>
      <c r="AC21" s="3">
        <f t="shared" si="84"/>
        <v>0</v>
      </c>
      <c r="AD21" s="40"/>
      <c r="AE21" s="39"/>
      <c r="AF21" s="3">
        <f t="shared" si="85"/>
        <v>0</v>
      </c>
      <c r="AG21" s="41"/>
      <c r="AH21" s="39">
        <v>1</v>
      </c>
      <c r="AI21" s="3">
        <f t="shared" si="86"/>
        <v>8000</v>
      </c>
      <c r="AJ21" s="40"/>
      <c r="AK21" s="39">
        <v>3</v>
      </c>
      <c r="AL21" s="3">
        <f t="shared" si="87"/>
        <v>24000</v>
      </c>
      <c r="AM21" s="41"/>
      <c r="AN21" s="39"/>
      <c r="AO21" s="3">
        <f t="shared" si="88"/>
        <v>0</v>
      </c>
      <c r="AP21" s="40"/>
      <c r="AQ21" s="39"/>
      <c r="AR21" s="3">
        <f t="shared" si="89"/>
        <v>0</v>
      </c>
      <c r="AS21" s="41"/>
      <c r="AT21" s="39"/>
      <c r="AU21" s="3">
        <f t="shared" si="90"/>
        <v>0</v>
      </c>
      <c r="AV21" s="71">
        <f t="shared" si="91"/>
        <v>0</v>
      </c>
      <c r="AW21" s="68">
        <f t="shared" si="92"/>
        <v>4</v>
      </c>
      <c r="AX21" s="55">
        <f t="shared" si="93"/>
        <v>32000</v>
      </c>
      <c r="AY21" s="41"/>
      <c r="AZ21" s="39"/>
      <c r="BA21" s="3">
        <f t="shared" si="94"/>
        <v>0</v>
      </c>
      <c r="BB21" s="40"/>
      <c r="BC21" s="39">
        <v>1</v>
      </c>
      <c r="BD21" s="3">
        <f t="shared" si="95"/>
        <v>8000</v>
      </c>
      <c r="BE21" s="40"/>
      <c r="BF21" s="39"/>
      <c r="BG21" s="3">
        <f t="shared" si="96"/>
        <v>0</v>
      </c>
      <c r="BH21" s="40"/>
      <c r="BI21" s="39"/>
      <c r="BJ21" s="3">
        <f t="shared" si="97"/>
        <v>0</v>
      </c>
      <c r="BK21" s="41"/>
      <c r="BL21" s="39"/>
      <c r="BM21" s="3">
        <f t="shared" si="98"/>
        <v>0</v>
      </c>
      <c r="BN21" s="40"/>
      <c r="BO21" s="39"/>
      <c r="BP21" s="3">
        <f t="shared" si="99"/>
        <v>0</v>
      </c>
      <c r="BQ21" s="41"/>
      <c r="BR21" s="39"/>
      <c r="BS21" s="3">
        <f t="shared" si="100"/>
        <v>0</v>
      </c>
      <c r="BT21" s="71">
        <f t="shared" si="101"/>
        <v>0</v>
      </c>
      <c r="BU21" s="68">
        <f t="shared" si="102"/>
        <v>1</v>
      </c>
      <c r="BV21" s="55">
        <f t="shared" si="103"/>
        <v>8000</v>
      </c>
      <c r="BW21" s="41"/>
      <c r="BX21" s="39"/>
      <c r="BY21" s="3">
        <f t="shared" si="104"/>
        <v>0</v>
      </c>
      <c r="BZ21" s="40"/>
      <c r="CA21" s="190">
        <v>1.5</v>
      </c>
      <c r="CB21" s="3">
        <f t="shared" si="105"/>
        <v>12000</v>
      </c>
      <c r="CC21" s="41"/>
      <c r="CD21" s="39">
        <v>1</v>
      </c>
      <c r="CE21" s="3">
        <f t="shared" si="106"/>
        <v>8000</v>
      </c>
      <c r="CF21" s="40"/>
      <c r="CG21" s="39"/>
      <c r="CH21" s="3">
        <f t="shared" si="107"/>
        <v>0</v>
      </c>
      <c r="CI21" s="41"/>
      <c r="CJ21" s="39"/>
      <c r="CK21" s="3">
        <f t="shared" si="108"/>
        <v>0</v>
      </c>
      <c r="CL21" s="40"/>
      <c r="CM21" s="39"/>
      <c r="CN21" s="3">
        <f t="shared" si="109"/>
        <v>0</v>
      </c>
      <c r="CO21" s="41"/>
      <c r="CP21" s="39"/>
      <c r="CQ21" s="3">
        <f t="shared" si="110"/>
        <v>0</v>
      </c>
      <c r="CR21" s="71">
        <f t="shared" si="111"/>
        <v>0</v>
      </c>
      <c r="CS21" s="191">
        <f t="shared" si="112"/>
        <v>2.5</v>
      </c>
      <c r="CT21" s="51">
        <f t="shared" si="113"/>
        <v>20000</v>
      </c>
      <c r="CU21" s="41"/>
      <c r="CV21" s="39"/>
      <c r="CW21" s="3">
        <f t="shared" si="114"/>
        <v>0</v>
      </c>
      <c r="CX21" s="40"/>
      <c r="CY21" s="39"/>
      <c r="CZ21" s="3">
        <f t="shared" si="115"/>
        <v>0</v>
      </c>
      <c r="DA21" s="41"/>
      <c r="DB21" s="39">
        <v>2</v>
      </c>
      <c r="DC21" s="3">
        <f t="shared" si="116"/>
        <v>16000</v>
      </c>
      <c r="DD21" s="40"/>
      <c r="DE21" s="39">
        <v>1</v>
      </c>
      <c r="DF21" s="3">
        <f t="shared" si="117"/>
        <v>8000</v>
      </c>
      <c r="DG21" s="41"/>
      <c r="DH21" s="39"/>
      <c r="DI21" s="3">
        <f t="shared" si="118"/>
        <v>0</v>
      </c>
      <c r="DJ21" s="40"/>
      <c r="DK21" s="39"/>
      <c r="DL21" s="3">
        <f t="shared" si="119"/>
        <v>0</v>
      </c>
      <c r="DM21" s="41"/>
      <c r="DN21" s="39"/>
      <c r="DO21" s="3">
        <f t="shared" si="120"/>
        <v>0</v>
      </c>
      <c r="DP21" s="71">
        <f t="shared" si="121"/>
        <v>0</v>
      </c>
      <c r="DQ21" s="68">
        <f t="shared" si="122"/>
        <v>3</v>
      </c>
      <c r="DR21" s="55">
        <f t="shared" si="123"/>
        <v>24000</v>
      </c>
      <c r="DS21" s="104"/>
      <c r="DT21" s="39"/>
      <c r="DU21" s="55">
        <f t="shared" si="124"/>
        <v>0</v>
      </c>
      <c r="DV21" s="38"/>
      <c r="DW21" s="190">
        <v>0.5</v>
      </c>
      <c r="DX21" s="55">
        <f t="shared" si="125"/>
        <v>4000</v>
      </c>
      <c r="DY21" s="38"/>
      <c r="DZ21" s="39"/>
      <c r="EA21" s="55">
        <f t="shared" si="44"/>
        <v>0</v>
      </c>
      <c r="EB21" s="71">
        <f t="shared" si="64"/>
        <v>0</v>
      </c>
      <c r="EC21" s="68">
        <v>11</v>
      </c>
      <c r="ED21" s="55">
        <v>88000</v>
      </c>
    </row>
    <row r="22" spans="1:134" ht="17.100000000000001" customHeight="1" thickBot="1" x14ac:dyDescent="0.3">
      <c r="A22" s="142" t="s">
        <v>34</v>
      </c>
      <c r="AD22" s="188">
        <v>30000</v>
      </c>
      <c r="BB22" s="189">
        <v>30000</v>
      </c>
      <c r="BH22" s="189">
        <v>30000</v>
      </c>
      <c r="BN22" s="189">
        <v>30000</v>
      </c>
      <c r="BZ22" s="189">
        <v>30000</v>
      </c>
      <c r="CF22" s="189">
        <v>30000</v>
      </c>
      <c r="CL22" s="189">
        <v>30000</v>
      </c>
      <c r="CX22" s="189">
        <v>30000</v>
      </c>
      <c r="DD22" s="189">
        <v>30000</v>
      </c>
    </row>
    <row r="23" spans="1:134" ht="17.100000000000001" customHeight="1" x14ac:dyDescent="0.25"/>
    <row r="24" spans="1:134" ht="17.100000000000001" customHeight="1" x14ac:dyDescent="0.25"/>
    <row r="25" spans="1:134" ht="17.100000000000001" customHeight="1" x14ac:dyDescent="0.25"/>
  </sheetData>
  <sheetProtection formatCells="0" formatColumns="0" formatRows="0" insertColumns="0" insertRows="0" insertHyperlinks="0" deleteColumns="0" deleteRows="0" sort="0" autoFilter="0" pivotTables="0"/>
  <mergeCells count="88">
    <mergeCell ref="EB1:ED1"/>
    <mergeCell ref="EB2:ED2"/>
    <mergeCell ref="AJ1:AL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BT1:BV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DD1:DF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C2:E2"/>
    <mergeCell ref="F2:H2"/>
    <mergeCell ref="I2:K2"/>
    <mergeCell ref="L2:N2"/>
    <mergeCell ref="O2:Q2"/>
    <mergeCell ref="DG1:DI1"/>
    <mergeCell ref="DJ1:DL1"/>
    <mergeCell ref="DM1:DO1"/>
    <mergeCell ref="DP1:DR1"/>
    <mergeCell ref="DY1:EA1"/>
    <mergeCell ref="DS1:DU1"/>
    <mergeCell ref="DV1:DX1"/>
    <mergeCell ref="AY2:BA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CI2:CK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DY2:EA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  <mergeCell ref="DS2:DU2"/>
    <mergeCell ref="DV2:DX2"/>
  </mergeCells>
  <printOptions horizontalCentered="1"/>
  <pageMargins left="0.19685039370078741" right="0.19685039370078741" top="0.19685039370078741" bottom="0.19685039370078741" header="0" footer="0"/>
  <pageSetup paperSize="9" scale="74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700D-B6A6-4A5D-A0E8-0069B8B66665}">
  <sheetPr>
    <pageSetUpPr fitToPage="1"/>
  </sheetPr>
  <dimension ref="A1:DU30"/>
  <sheetViews>
    <sheetView zoomScaleNormal="100" workbookViewId="0">
      <pane xSplit="1" topLeftCell="B1" activePane="topRight" state="frozen"/>
      <selection pane="topRight" activeCell="R2" sqref="R2:T2"/>
    </sheetView>
  </sheetViews>
  <sheetFormatPr baseColWidth="10" defaultRowHeight="15" x14ac:dyDescent="0.25"/>
  <cols>
    <col min="1" max="1" width="30.5703125" style="5" customWidth="1"/>
    <col min="2" max="2" width="8" style="43" bestFit="1" customWidth="1"/>
    <col min="3" max="3" width="8.7109375" style="5" hidden="1" customWidth="1"/>
    <col min="4" max="4" width="2.7109375" style="5" hidden="1" customWidth="1"/>
    <col min="5" max="6" width="8.7109375" style="5" hidden="1" customWidth="1"/>
    <col min="7" max="7" width="2.7109375" style="5" hidden="1" customWidth="1"/>
    <col min="8" max="8" width="8.7109375" style="5" hidden="1" customWidth="1"/>
    <col min="9" max="9" width="8.7109375" style="5" customWidth="1"/>
    <col min="10" max="10" width="2.7109375" style="5" customWidth="1"/>
    <col min="11" max="12" width="8.7109375" style="5" customWidth="1"/>
    <col min="13" max="13" width="2.7109375" style="5" customWidth="1"/>
    <col min="14" max="15" width="8.7109375" style="5" customWidth="1"/>
    <col min="16" max="16" width="2.7109375" style="5" customWidth="1"/>
    <col min="17" max="18" width="8.7109375" style="5" customWidth="1"/>
    <col min="19" max="19" width="2.7109375" style="5" customWidth="1"/>
    <col min="20" max="21" width="8.7109375" style="5" customWidth="1"/>
    <col min="22" max="22" width="2.7109375" style="5" customWidth="1"/>
    <col min="23" max="23" width="8.7109375" style="5" customWidth="1"/>
    <col min="24" max="24" width="9.42578125" style="5" bestFit="1" customWidth="1"/>
    <col min="25" max="25" width="2.7109375" style="5" customWidth="1"/>
    <col min="26" max="26" width="10.42578125" style="45" bestFit="1" customWidth="1"/>
    <col min="27" max="27" width="8.7109375" style="5" customWidth="1"/>
    <col min="28" max="28" width="2.7109375" style="5" customWidth="1"/>
    <col min="29" max="30" width="8.7109375" style="5" customWidth="1"/>
    <col min="31" max="31" width="2.7109375" style="5" customWidth="1"/>
    <col min="32" max="33" width="8.7109375" style="5" customWidth="1"/>
    <col min="34" max="34" width="2.7109375" style="5" customWidth="1"/>
    <col min="35" max="36" width="8.7109375" style="5" customWidth="1"/>
    <col min="37" max="37" width="2.7109375" style="5" customWidth="1"/>
    <col min="38" max="39" width="8.7109375" style="5" customWidth="1"/>
    <col min="40" max="40" width="2.7109375" style="5" customWidth="1"/>
    <col min="41" max="42" width="8.7109375" style="5" customWidth="1"/>
    <col min="43" max="43" width="4.42578125" style="5" customWidth="1"/>
    <col min="44" max="45" width="8.7109375" style="5" customWidth="1"/>
    <col min="46" max="46" width="2.7109375" style="5" customWidth="1"/>
    <col min="47" max="47" width="9.85546875" style="5" customWidth="1"/>
    <col min="48" max="48" width="11.7109375" style="5" customWidth="1"/>
    <col min="49" max="49" width="4.28515625" style="5" customWidth="1"/>
    <col min="50" max="50" width="10.42578125" style="5" bestFit="1" customWidth="1"/>
    <col min="51" max="51" width="8.7109375" style="5" customWidth="1"/>
    <col min="52" max="52" width="2.7109375" style="5" customWidth="1"/>
    <col min="53" max="54" width="8.7109375" style="5" customWidth="1"/>
    <col min="55" max="55" width="2.7109375" style="5" customWidth="1"/>
    <col min="56" max="57" width="8.7109375" style="5" customWidth="1"/>
    <col min="58" max="58" width="2.7109375" style="5" customWidth="1"/>
    <col min="59" max="60" width="8.7109375" style="5" customWidth="1"/>
    <col min="61" max="61" width="2.7109375" style="5" customWidth="1"/>
    <col min="62" max="63" width="8.7109375" style="5" customWidth="1"/>
    <col min="64" max="64" width="2.7109375" style="5" customWidth="1"/>
    <col min="65" max="66" width="8.7109375" style="5" customWidth="1"/>
    <col min="67" max="67" width="2.7109375" style="5" customWidth="1"/>
    <col min="68" max="69" width="8.7109375" style="5" customWidth="1"/>
    <col min="70" max="70" width="2.7109375" style="5" customWidth="1"/>
    <col min="71" max="71" width="8.7109375" style="5" customWidth="1"/>
    <col min="72" max="72" width="10.42578125" style="5" bestFit="1" customWidth="1"/>
    <col min="73" max="73" width="2.7109375" style="5" customWidth="1"/>
    <col min="74" max="74" width="10.42578125" style="5" bestFit="1" customWidth="1"/>
    <col min="75" max="75" width="8.7109375" style="5" customWidth="1"/>
    <col min="76" max="76" width="2.7109375" style="5" customWidth="1"/>
    <col min="77" max="77" width="8.7109375" style="5" customWidth="1"/>
    <col min="78" max="78" width="10.85546875" style="5" customWidth="1"/>
    <col min="79" max="79" width="2.7109375" style="5" customWidth="1"/>
    <col min="80" max="81" width="8.7109375" style="5" customWidth="1"/>
    <col min="82" max="82" width="2.7109375" style="5" customWidth="1"/>
    <col min="83" max="84" width="8.7109375" style="5" customWidth="1"/>
    <col min="85" max="85" width="2.7109375" style="5" customWidth="1"/>
    <col min="86" max="87" width="8.7109375" style="5" customWidth="1"/>
    <col min="88" max="88" width="2.7109375" style="5" customWidth="1"/>
    <col min="89" max="90" width="8.7109375" style="5" customWidth="1"/>
    <col min="91" max="91" width="2.7109375" style="5" customWidth="1"/>
    <col min="92" max="93" width="8.7109375" style="5" customWidth="1"/>
    <col min="94" max="94" width="2.7109375" style="5" customWidth="1"/>
    <col min="95" max="95" width="8.7109375" style="5" customWidth="1"/>
    <col min="96" max="96" width="10.42578125" style="5" bestFit="1" customWidth="1"/>
    <col min="97" max="97" width="2.7109375" style="5" customWidth="1"/>
    <col min="98" max="98" width="10.42578125" style="5" bestFit="1" customWidth="1"/>
    <col min="99" max="99" width="8.7109375" style="5" customWidth="1"/>
    <col min="100" max="100" width="2.7109375" style="5" customWidth="1"/>
    <col min="101" max="102" width="8.7109375" style="5" customWidth="1"/>
    <col min="103" max="103" width="2.7109375" style="5" customWidth="1"/>
    <col min="104" max="105" width="8.7109375" style="5" customWidth="1"/>
    <col min="106" max="106" width="2.7109375" style="5" customWidth="1"/>
    <col min="107" max="108" width="8.7109375" style="5" customWidth="1"/>
    <col min="109" max="109" width="2.7109375" style="5" customWidth="1"/>
    <col min="110" max="110" width="8.7109375" style="5" customWidth="1"/>
    <col min="111" max="111" width="8.7109375" style="5" hidden="1" customWidth="1"/>
    <col min="112" max="112" width="2.7109375" style="5" hidden="1" customWidth="1"/>
    <col min="113" max="114" width="8.7109375" style="5" hidden="1" customWidth="1"/>
    <col min="115" max="115" width="2.7109375" style="5" hidden="1" customWidth="1"/>
    <col min="116" max="117" width="8.7109375" style="5" hidden="1" customWidth="1"/>
    <col min="118" max="118" width="2.7109375" style="5" hidden="1" customWidth="1"/>
    <col min="119" max="119" width="8.7109375" style="5" hidden="1" customWidth="1"/>
    <col min="120" max="120" width="10.42578125" style="5" bestFit="1" customWidth="1"/>
    <col min="121" max="121" width="2.7109375" style="5" customWidth="1"/>
    <col min="122" max="122" width="10.42578125" style="5" bestFit="1" customWidth="1"/>
    <col min="123" max="123" width="11.5703125" style="5" bestFit="1" customWidth="1"/>
    <col min="124" max="124" width="4.42578125" style="5" bestFit="1" customWidth="1"/>
    <col min="125" max="125" width="13.28515625" style="5" bestFit="1" customWidth="1"/>
    <col min="126" max="16384" width="11.42578125" style="5"/>
  </cols>
  <sheetData>
    <row r="1" spans="1:125" ht="26.25" x14ac:dyDescent="0.4">
      <c r="A1" s="4" t="s">
        <v>73</v>
      </c>
      <c r="B1" s="76" t="s">
        <v>0</v>
      </c>
      <c r="C1" s="232">
        <v>1</v>
      </c>
      <c r="D1" s="233"/>
      <c r="E1" s="233"/>
      <c r="F1" s="232">
        <v>2</v>
      </c>
      <c r="G1" s="233"/>
      <c r="H1" s="233"/>
      <c r="I1" s="232">
        <v>1</v>
      </c>
      <c r="J1" s="233"/>
      <c r="K1" s="233"/>
      <c r="L1" s="233">
        <v>2</v>
      </c>
      <c r="M1" s="233"/>
      <c r="N1" s="233"/>
      <c r="O1" s="233">
        <v>3</v>
      </c>
      <c r="P1" s="233"/>
      <c r="Q1" s="233"/>
      <c r="R1" s="233">
        <v>4</v>
      </c>
      <c r="S1" s="233"/>
      <c r="T1" s="233"/>
      <c r="U1" s="233">
        <v>5</v>
      </c>
      <c r="V1" s="233"/>
      <c r="W1" s="300"/>
      <c r="X1" s="216" t="s">
        <v>1</v>
      </c>
      <c r="Y1" s="217"/>
      <c r="Z1" s="218"/>
      <c r="AA1" s="234">
        <v>6</v>
      </c>
      <c r="AB1" s="227"/>
      <c r="AC1" s="227"/>
      <c r="AD1" s="227">
        <v>7</v>
      </c>
      <c r="AE1" s="227"/>
      <c r="AF1" s="227"/>
      <c r="AG1" s="227">
        <v>8</v>
      </c>
      <c r="AH1" s="227"/>
      <c r="AI1" s="227"/>
      <c r="AJ1" s="227">
        <v>9</v>
      </c>
      <c r="AK1" s="227"/>
      <c r="AL1" s="227"/>
      <c r="AM1" s="227">
        <v>10</v>
      </c>
      <c r="AN1" s="227"/>
      <c r="AO1" s="227"/>
      <c r="AP1" s="227">
        <v>11</v>
      </c>
      <c r="AQ1" s="227"/>
      <c r="AR1" s="227"/>
      <c r="AS1" s="227">
        <v>12</v>
      </c>
      <c r="AT1" s="227"/>
      <c r="AU1" s="228"/>
      <c r="AV1" s="216" t="s">
        <v>1</v>
      </c>
      <c r="AW1" s="217"/>
      <c r="AX1" s="218"/>
      <c r="AY1" s="229">
        <v>13</v>
      </c>
      <c r="AZ1" s="230"/>
      <c r="BA1" s="230"/>
      <c r="BB1" s="230">
        <v>14</v>
      </c>
      <c r="BC1" s="230"/>
      <c r="BD1" s="230"/>
      <c r="BE1" s="230">
        <v>15</v>
      </c>
      <c r="BF1" s="230"/>
      <c r="BG1" s="230"/>
      <c r="BH1" s="230">
        <v>16</v>
      </c>
      <c r="BI1" s="230"/>
      <c r="BJ1" s="230"/>
      <c r="BK1" s="230">
        <v>17</v>
      </c>
      <c r="BL1" s="230"/>
      <c r="BM1" s="230"/>
      <c r="BN1" s="230">
        <v>18</v>
      </c>
      <c r="BO1" s="230"/>
      <c r="BP1" s="230"/>
      <c r="BQ1" s="230">
        <v>19</v>
      </c>
      <c r="BR1" s="230"/>
      <c r="BS1" s="231"/>
      <c r="BT1" s="216" t="s">
        <v>1</v>
      </c>
      <c r="BU1" s="217"/>
      <c r="BV1" s="218"/>
      <c r="BW1" s="223">
        <v>20</v>
      </c>
      <c r="BX1" s="224"/>
      <c r="BY1" s="224"/>
      <c r="BZ1" s="224">
        <v>21</v>
      </c>
      <c r="CA1" s="224"/>
      <c r="CB1" s="224"/>
      <c r="CC1" s="224">
        <v>22</v>
      </c>
      <c r="CD1" s="224"/>
      <c r="CE1" s="224"/>
      <c r="CF1" s="224">
        <v>23</v>
      </c>
      <c r="CG1" s="224"/>
      <c r="CH1" s="224"/>
      <c r="CI1" s="224">
        <v>24</v>
      </c>
      <c r="CJ1" s="224"/>
      <c r="CK1" s="224"/>
      <c r="CL1" s="224">
        <v>25</v>
      </c>
      <c r="CM1" s="224"/>
      <c r="CN1" s="224"/>
      <c r="CO1" s="224">
        <v>26</v>
      </c>
      <c r="CP1" s="224"/>
      <c r="CQ1" s="225"/>
      <c r="CR1" s="216" t="s">
        <v>1</v>
      </c>
      <c r="CS1" s="217"/>
      <c r="CT1" s="218"/>
      <c r="CU1" s="234">
        <v>27</v>
      </c>
      <c r="CV1" s="227"/>
      <c r="CW1" s="227"/>
      <c r="CX1" s="227">
        <v>28</v>
      </c>
      <c r="CY1" s="227"/>
      <c r="CZ1" s="227"/>
      <c r="DA1" s="227">
        <v>29</v>
      </c>
      <c r="DB1" s="227"/>
      <c r="DC1" s="227"/>
      <c r="DD1" s="227">
        <v>30</v>
      </c>
      <c r="DE1" s="227"/>
      <c r="DF1" s="227"/>
      <c r="DG1" s="303">
        <v>2</v>
      </c>
      <c r="DH1" s="303"/>
      <c r="DI1" s="303"/>
      <c r="DJ1" s="303">
        <v>3</v>
      </c>
      <c r="DK1" s="303"/>
      <c r="DL1" s="303"/>
      <c r="DM1" s="303">
        <v>4</v>
      </c>
      <c r="DN1" s="303"/>
      <c r="DO1" s="304"/>
      <c r="DP1" s="216" t="s">
        <v>1</v>
      </c>
      <c r="DQ1" s="217"/>
      <c r="DR1" s="218"/>
      <c r="DS1" s="219" t="s">
        <v>1</v>
      </c>
      <c r="DT1" s="220"/>
      <c r="DU1" s="221"/>
    </row>
    <row r="2" spans="1:125" ht="19.5" thickBot="1" x14ac:dyDescent="0.3">
      <c r="A2" s="6" t="s">
        <v>2</v>
      </c>
      <c r="B2" s="77" t="s">
        <v>3</v>
      </c>
      <c r="C2" s="222" t="s">
        <v>10</v>
      </c>
      <c r="D2" s="207"/>
      <c r="E2" s="207"/>
      <c r="F2" s="222" t="s">
        <v>11</v>
      </c>
      <c r="G2" s="207"/>
      <c r="H2" s="207"/>
      <c r="I2" s="222" t="s">
        <v>5</v>
      </c>
      <c r="J2" s="207"/>
      <c r="K2" s="207"/>
      <c r="L2" s="207" t="s">
        <v>6</v>
      </c>
      <c r="M2" s="207"/>
      <c r="N2" s="207"/>
      <c r="O2" s="207" t="s">
        <v>7</v>
      </c>
      <c r="P2" s="207"/>
      <c r="Q2" s="207"/>
      <c r="R2" s="207" t="s">
        <v>8</v>
      </c>
      <c r="S2" s="207"/>
      <c r="T2" s="207"/>
      <c r="U2" s="207" t="s">
        <v>8</v>
      </c>
      <c r="V2" s="207"/>
      <c r="W2" s="299"/>
      <c r="X2" s="197" t="s">
        <v>9</v>
      </c>
      <c r="Y2" s="198"/>
      <c r="Z2" s="199"/>
      <c r="AA2" s="211" t="s">
        <v>10</v>
      </c>
      <c r="AB2" s="212"/>
      <c r="AC2" s="212"/>
      <c r="AD2" s="212" t="s">
        <v>11</v>
      </c>
      <c r="AE2" s="212"/>
      <c r="AF2" s="212"/>
      <c r="AG2" s="212" t="s">
        <v>4</v>
      </c>
      <c r="AH2" s="212"/>
      <c r="AI2" s="212"/>
      <c r="AJ2" s="212" t="s">
        <v>5</v>
      </c>
      <c r="AK2" s="212"/>
      <c r="AL2" s="212"/>
      <c r="AM2" s="212" t="s">
        <v>6</v>
      </c>
      <c r="AN2" s="212"/>
      <c r="AO2" s="212"/>
      <c r="AP2" s="212" t="s">
        <v>7</v>
      </c>
      <c r="AQ2" s="212"/>
      <c r="AR2" s="212"/>
      <c r="AS2" s="212" t="s">
        <v>8</v>
      </c>
      <c r="AT2" s="212"/>
      <c r="AU2" s="213"/>
      <c r="AV2" s="197" t="s">
        <v>12</v>
      </c>
      <c r="AW2" s="198"/>
      <c r="AX2" s="199"/>
      <c r="AY2" s="206" t="s">
        <v>10</v>
      </c>
      <c r="AZ2" s="203"/>
      <c r="BA2" s="203"/>
      <c r="BB2" s="203" t="s">
        <v>11</v>
      </c>
      <c r="BC2" s="203"/>
      <c r="BD2" s="203"/>
      <c r="BE2" s="203" t="s">
        <v>4</v>
      </c>
      <c r="BF2" s="203"/>
      <c r="BG2" s="203"/>
      <c r="BH2" s="203" t="s">
        <v>5</v>
      </c>
      <c r="BI2" s="203"/>
      <c r="BJ2" s="203"/>
      <c r="BK2" s="203" t="s">
        <v>6</v>
      </c>
      <c r="BL2" s="203"/>
      <c r="BM2" s="203"/>
      <c r="BN2" s="203" t="s">
        <v>7</v>
      </c>
      <c r="BO2" s="203"/>
      <c r="BP2" s="203"/>
      <c r="BQ2" s="203" t="s">
        <v>8</v>
      </c>
      <c r="BR2" s="203"/>
      <c r="BS2" s="204"/>
      <c r="BT2" s="197" t="s">
        <v>13</v>
      </c>
      <c r="BU2" s="198"/>
      <c r="BV2" s="199"/>
      <c r="BW2" s="205" t="s">
        <v>10</v>
      </c>
      <c r="BX2" s="195"/>
      <c r="BY2" s="195"/>
      <c r="BZ2" s="195" t="s">
        <v>11</v>
      </c>
      <c r="CA2" s="195"/>
      <c r="CB2" s="195"/>
      <c r="CC2" s="195" t="s">
        <v>4</v>
      </c>
      <c r="CD2" s="195"/>
      <c r="CE2" s="195"/>
      <c r="CF2" s="195" t="s">
        <v>5</v>
      </c>
      <c r="CG2" s="195"/>
      <c r="CH2" s="195"/>
      <c r="CI2" s="195" t="s">
        <v>6</v>
      </c>
      <c r="CJ2" s="195"/>
      <c r="CK2" s="195"/>
      <c r="CL2" s="195" t="s">
        <v>7</v>
      </c>
      <c r="CM2" s="195"/>
      <c r="CN2" s="195"/>
      <c r="CO2" s="195" t="s">
        <v>8</v>
      </c>
      <c r="CP2" s="195"/>
      <c r="CQ2" s="196"/>
      <c r="CR2" s="197" t="s">
        <v>14</v>
      </c>
      <c r="CS2" s="198"/>
      <c r="CT2" s="199"/>
      <c r="CU2" s="211" t="s">
        <v>10</v>
      </c>
      <c r="CV2" s="212"/>
      <c r="CW2" s="212"/>
      <c r="CX2" s="212" t="s">
        <v>11</v>
      </c>
      <c r="CY2" s="212"/>
      <c r="CZ2" s="212"/>
      <c r="DA2" s="212" t="s">
        <v>4</v>
      </c>
      <c r="DB2" s="212"/>
      <c r="DC2" s="212"/>
      <c r="DD2" s="212" t="s">
        <v>5</v>
      </c>
      <c r="DE2" s="212"/>
      <c r="DF2" s="212"/>
      <c r="DG2" s="301" t="s">
        <v>6</v>
      </c>
      <c r="DH2" s="301"/>
      <c r="DI2" s="301"/>
      <c r="DJ2" s="301" t="s">
        <v>7</v>
      </c>
      <c r="DK2" s="301"/>
      <c r="DL2" s="301"/>
      <c r="DM2" s="301" t="s">
        <v>37</v>
      </c>
      <c r="DN2" s="301"/>
      <c r="DO2" s="302"/>
      <c r="DP2" s="197" t="s">
        <v>15</v>
      </c>
      <c r="DQ2" s="198"/>
      <c r="DR2" s="199"/>
      <c r="DS2" s="192" t="s">
        <v>16</v>
      </c>
      <c r="DT2" s="193"/>
      <c r="DU2" s="194"/>
    </row>
    <row r="3" spans="1:125" s="17" customFormat="1" ht="17.100000000000001" customHeight="1" thickBot="1" x14ac:dyDescent="0.2">
      <c r="A3" s="7" t="s">
        <v>17</v>
      </c>
      <c r="B3" s="78" t="s">
        <v>18</v>
      </c>
      <c r="C3" s="8" t="s">
        <v>19</v>
      </c>
      <c r="D3" s="9" t="s">
        <v>20</v>
      </c>
      <c r="E3" s="10" t="s">
        <v>21</v>
      </c>
      <c r="F3" s="8" t="s">
        <v>19</v>
      </c>
      <c r="G3" s="9" t="s">
        <v>20</v>
      </c>
      <c r="H3" s="10" t="s">
        <v>21</v>
      </c>
      <c r="I3" s="169" t="s">
        <v>19</v>
      </c>
      <c r="J3" s="9" t="s">
        <v>20</v>
      </c>
      <c r="K3" s="10" t="s">
        <v>21</v>
      </c>
      <c r="L3" s="11" t="s">
        <v>19</v>
      </c>
      <c r="M3" s="9" t="s">
        <v>20</v>
      </c>
      <c r="N3" s="10" t="s">
        <v>21</v>
      </c>
      <c r="O3" s="11" t="s">
        <v>19</v>
      </c>
      <c r="P3" s="9" t="s">
        <v>20</v>
      </c>
      <c r="Q3" s="10" t="s">
        <v>21</v>
      </c>
      <c r="R3" s="11" t="s">
        <v>19</v>
      </c>
      <c r="S3" s="9" t="s">
        <v>20</v>
      </c>
      <c r="T3" s="10" t="s">
        <v>21</v>
      </c>
      <c r="U3" s="11" t="s">
        <v>19</v>
      </c>
      <c r="V3" s="9" t="s">
        <v>20</v>
      </c>
      <c r="W3" s="12" t="s">
        <v>21</v>
      </c>
      <c r="X3" s="8" t="s">
        <v>19</v>
      </c>
      <c r="Y3" s="13" t="s">
        <v>20</v>
      </c>
      <c r="Z3" s="12" t="s">
        <v>21</v>
      </c>
      <c r="AA3" s="8" t="s">
        <v>19</v>
      </c>
      <c r="AB3" s="9" t="s">
        <v>20</v>
      </c>
      <c r="AC3" s="10" t="s">
        <v>21</v>
      </c>
      <c r="AD3" s="8" t="s">
        <v>19</v>
      </c>
      <c r="AE3" s="9" t="s">
        <v>20</v>
      </c>
      <c r="AF3" s="10" t="s">
        <v>21</v>
      </c>
      <c r="AG3" s="8" t="s">
        <v>19</v>
      </c>
      <c r="AH3" s="9" t="s">
        <v>20</v>
      </c>
      <c r="AI3" s="10" t="s">
        <v>21</v>
      </c>
      <c r="AJ3" s="11" t="s">
        <v>19</v>
      </c>
      <c r="AK3" s="9" t="s">
        <v>20</v>
      </c>
      <c r="AL3" s="10" t="s">
        <v>21</v>
      </c>
      <c r="AM3" s="11" t="s">
        <v>19</v>
      </c>
      <c r="AN3" s="9" t="s">
        <v>20</v>
      </c>
      <c r="AO3" s="10" t="s">
        <v>21</v>
      </c>
      <c r="AP3" s="11" t="s">
        <v>19</v>
      </c>
      <c r="AQ3" s="9" t="s">
        <v>20</v>
      </c>
      <c r="AR3" s="10" t="s">
        <v>21</v>
      </c>
      <c r="AS3" s="11" t="s">
        <v>19</v>
      </c>
      <c r="AT3" s="9" t="s">
        <v>20</v>
      </c>
      <c r="AU3" s="12" t="s">
        <v>21</v>
      </c>
      <c r="AV3" s="8" t="s">
        <v>19</v>
      </c>
      <c r="AW3" s="13" t="s">
        <v>20</v>
      </c>
      <c r="AX3" s="12" t="s">
        <v>21</v>
      </c>
      <c r="AY3" s="8" t="s">
        <v>19</v>
      </c>
      <c r="AZ3" s="9" t="s">
        <v>20</v>
      </c>
      <c r="BA3" s="10" t="s">
        <v>21</v>
      </c>
      <c r="BB3" s="11" t="s">
        <v>19</v>
      </c>
      <c r="BC3" s="9" t="s">
        <v>20</v>
      </c>
      <c r="BD3" s="10" t="s">
        <v>21</v>
      </c>
      <c r="BE3" s="11" t="s">
        <v>19</v>
      </c>
      <c r="BF3" s="9" t="s">
        <v>20</v>
      </c>
      <c r="BG3" s="10" t="s">
        <v>21</v>
      </c>
      <c r="BH3" s="11" t="s">
        <v>19</v>
      </c>
      <c r="BI3" s="9" t="s">
        <v>20</v>
      </c>
      <c r="BJ3" s="10" t="s">
        <v>21</v>
      </c>
      <c r="BK3" s="11" t="s">
        <v>19</v>
      </c>
      <c r="BL3" s="9" t="s">
        <v>20</v>
      </c>
      <c r="BM3" s="10" t="s">
        <v>21</v>
      </c>
      <c r="BN3" s="11" t="s">
        <v>19</v>
      </c>
      <c r="BO3" s="9" t="s">
        <v>20</v>
      </c>
      <c r="BP3" s="10" t="s">
        <v>21</v>
      </c>
      <c r="BQ3" s="11" t="s">
        <v>19</v>
      </c>
      <c r="BR3" s="9" t="s">
        <v>20</v>
      </c>
      <c r="BS3" s="12" t="s">
        <v>21</v>
      </c>
      <c r="BT3" s="8" t="s">
        <v>19</v>
      </c>
      <c r="BU3" s="13" t="s">
        <v>20</v>
      </c>
      <c r="BV3" s="12" t="s">
        <v>21</v>
      </c>
      <c r="BW3" s="8" t="s">
        <v>19</v>
      </c>
      <c r="BX3" s="9" t="s">
        <v>20</v>
      </c>
      <c r="BY3" s="10" t="s">
        <v>21</v>
      </c>
      <c r="BZ3" s="11" t="s">
        <v>19</v>
      </c>
      <c r="CA3" s="9" t="s">
        <v>20</v>
      </c>
      <c r="CB3" s="10" t="s">
        <v>21</v>
      </c>
      <c r="CC3" s="11" t="s">
        <v>19</v>
      </c>
      <c r="CD3" s="9" t="s">
        <v>20</v>
      </c>
      <c r="CE3" s="10" t="s">
        <v>21</v>
      </c>
      <c r="CF3" s="11" t="s">
        <v>19</v>
      </c>
      <c r="CG3" s="9" t="s">
        <v>20</v>
      </c>
      <c r="CH3" s="10" t="s">
        <v>21</v>
      </c>
      <c r="CI3" s="11" t="s">
        <v>19</v>
      </c>
      <c r="CJ3" s="9" t="s">
        <v>20</v>
      </c>
      <c r="CK3" s="10" t="s">
        <v>21</v>
      </c>
      <c r="CL3" s="11" t="s">
        <v>19</v>
      </c>
      <c r="CM3" s="9" t="s">
        <v>20</v>
      </c>
      <c r="CN3" s="10" t="s">
        <v>21</v>
      </c>
      <c r="CO3" s="11" t="s">
        <v>19</v>
      </c>
      <c r="CP3" s="9" t="s">
        <v>20</v>
      </c>
      <c r="CQ3" s="12" t="s">
        <v>21</v>
      </c>
      <c r="CR3" s="8" t="s">
        <v>19</v>
      </c>
      <c r="CS3" s="13" t="s">
        <v>20</v>
      </c>
      <c r="CT3" s="12" t="s">
        <v>21</v>
      </c>
      <c r="CU3" s="8" t="s">
        <v>19</v>
      </c>
      <c r="CV3" s="9" t="s">
        <v>20</v>
      </c>
      <c r="CW3" s="10" t="s">
        <v>21</v>
      </c>
      <c r="CX3" s="11" t="s">
        <v>19</v>
      </c>
      <c r="CY3" s="9" t="s">
        <v>20</v>
      </c>
      <c r="CZ3" s="10" t="s">
        <v>21</v>
      </c>
      <c r="DA3" s="11" t="s">
        <v>19</v>
      </c>
      <c r="DB3" s="9" t="s">
        <v>20</v>
      </c>
      <c r="DC3" s="10" t="s">
        <v>21</v>
      </c>
      <c r="DD3" s="11" t="s">
        <v>19</v>
      </c>
      <c r="DE3" s="9" t="s">
        <v>20</v>
      </c>
      <c r="DF3" s="10" t="s">
        <v>21</v>
      </c>
      <c r="DG3" s="11" t="s">
        <v>19</v>
      </c>
      <c r="DH3" s="9" t="s">
        <v>20</v>
      </c>
      <c r="DI3" s="12" t="s">
        <v>21</v>
      </c>
      <c r="DJ3" s="11" t="s">
        <v>19</v>
      </c>
      <c r="DK3" s="9" t="s">
        <v>20</v>
      </c>
      <c r="DL3" s="12" t="s">
        <v>21</v>
      </c>
      <c r="DM3" s="11" t="s">
        <v>19</v>
      </c>
      <c r="DN3" s="9" t="s">
        <v>20</v>
      </c>
      <c r="DO3" s="12" t="s">
        <v>21</v>
      </c>
      <c r="DP3" s="8" t="s">
        <v>19</v>
      </c>
      <c r="DQ3" s="13" t="s">
        <v>20</v>
      </c>
      <c r="DR3" s="12" t="s">
        <v>21</v>
      </c>
      <c r="DS3" s="14" t="s">
        <v>19</v>
      </c>
      <c r="DT3" s="15" t="s">
        <v>20</v>
      </c>
      <c r="DU3" s="16" t="s">
        <v>21</v>
      </c>
    </row>
    <row r="4" spans="1:125" s="26" customFormat="1" ht="17.100000000000001" customHeight="1" thickBot="1" x14ac:dyDescent="0.25">
      <c r="A4" s="122" t="s">
        <v>22</v>
      </c>
      <c r="B4" s="19">
        <v>8000</v>
      </c>
      <c r="C4" s="20"/>
      <c r="D4" s="21"/>
      <c r="E4" s="1">
        <f>$B4*D4</f>
        <v>0</v>
      </c>
      <c r="F4" s="20"/>
      <c r="G4" s="21"/>
      <c r="H4" s="63">
        <f>$B4*G4</f>
        <v>0</v>
      </c>
      <c r="I4" s="31"/>
      <c r="J4" s="168"/>
      <c r="K4" s="1">
        <f>$B4*J4</f>
        <v>0</v>
      </c>
      <c r="L4" s="22"/>
      <c r="M4" s="21"/>
      <c r="N4" s="1">
        <f>$B4*M4</f>
        <v>0</v>
      </c>
      <c r="O4" s="22"/>
      <c r="P4" s="21"/>
      <c r="Q4" s="1">
        <f>$B4*P4</f>
        <v>0</v>
      </c>
      <c r="R4" s="23"/>
      <c r="S4" s="21"/>
      <c r="T4" s="1">
        <f>$B4*S4</f>
        <v>0</v>
      </c>
      <c r="U4" s="24"/>
      <c r="V4" s="21"/>
      <c r="W4" s="63">
        <f>$B4*V4</f>
        <v>0</v>
      </c>
      <c r="X4" s="69">
        <f>C4+F4+I4+L4+O4+R4+U4</f>
        <v>0</v>
      </c>
      <c r="Y4" s="66">
        <f>D4+G4+J4+M4+P4+S4+V4</f>
        <v>0</v>
      </c>
      <c r="Z4" s="72">
        <f>E4+H4+K4+N4+Q4+T4+W4</f>
        <v>0</v>
      </c>
      <c r="AA4" s="25"/>
      <c r="AB4" s="21"/>
      <c r="AC4" s="1">
        <f>$B4*AB4</f>
        <v>0</v>
      </c>
      <c r="AD4" s="24"/>
      <c r="AE4" s="21"/>
      <c r="AF4" s="1">
        <f>$B4*AE4</f>
        <v>0</v>
      </c>
      <c r="AG4" s="24"/>
      <c r="AH4" s="21"/>
      <c r="AI4" s="1">
        <f>$B4*AH4</f>
        <v>0</v>
      </c>
      <c r="AJ4" s="24"/>
      <c r="AK4" s="21"/>
      <c r="AL4" s="1">
        <f>$B4*AK4</f>
        <v>0</v>
      </c>
      <c r="AM4" s="24"/>
      <c r="AN4" s="21"/>
      <c r="AO4" s="1">
        <f>$B4*AN4</f>
        <v>0</v>
      </c>
      <c r="AP4" s="24"/>
      <c r="AQ4" s="21"/>
      <c r="AR4" s="1">
        <f>$B4*AQ4</f>
        <v>0</v>
      </c>
      <c r="AS4" s="24"/>
      <c r="AT4" s="21"/>
      <c r="AU4" s="1">
        <f>$B4*AT4</f>
        <v>0</v>
      </c>
      <c r="AV4" s="69">
        <f>AA4+AD4+AG4+AJ4+AM4+AP4+AS4</f>
        <v>0</v>
      </c>
      <c r="AW4" s="66">
        <f>AB4+AE4+AH4+AK4+AN4+AQ4+AT4</f>
        <v>0</v>
      </c>
      <c r="AX4" s="47">
        <f>AC4+AF4+AI4+AL4+AO4+AR4+AU4</f>
        <v>0</v>
      </c>
      <c r="AY4" s="24"/>
      <c r="AZ4" s="21"/>
      <c r="BA4" s="1">
        <f>$B4*AZ4</f>
        <v>0</v>
      </c>
      <c r="BB4" s="24"/>
      <c r="BC4" s="21"/>
      <c r="BD4" s="1">
        <f>$B4*BC4</f>
        <v>0</v>
      </c>
      <c r="BE4" s="24"/>
      <c r="BF4" s="21"/>
      <c r="BG4" s="1">
        <f>$B4*BF4</f>
        <v>0</v>
      </c>
      <c r="BH4" s="24"/>
      <c r="BI4" s="21"/>
      <c r="BJ4" s="1">
        <f>$B4*BI4</f>
        <v>0</v>
      </c>
      <c r="BK4" s="24"/>
      <c r="BL4" s="21"/>
      <c r="BM4" s="1">
        <f>$B4*BL4</f>
        <v>0</v>
      </c>
      <c r="BN4" s="24"/>
      <c r="BO4" s="21"/>
      <c r="BP4" s="1">
        <f>$B4*BO4</f>
        <v>0</v>
      </c>
      <c r="BQ4" s="24"/>
      <c r="BR4" s="21"/>
      <c r="BS4" s="1">
        <f>$B4*BR4</f>
        <v>0</v>
      </c>
      <c r="BT4" s="69">
        <f>AY4+BB4+BE4+BH4+BK4+BN4+BQ4</f>
        <v>0</v>
      </c>
      <c r="BU4" s="66">
        <f>AZ4+BC4+BF4+BI4+BL4+BO4+BR4</f>
        <v>0</v>
      </c>
      <c r="BV4" s="47">
        <f>BA4+BD4+BG4+BJ4+BM4+BP4+BS4</f>
        <v>0</v>
      </c>
      <c r="BW4" s="24"/>
      <c r="BX4" s="21"/>
      <c r="BY4" s="1">
        <f>$B4*BX4</f>
        <v>0</v>
      </c>
      <c r="BZ4" s="24"/>
      <c r="CA4" s="21"/>
      <c r="CB4" s="1">
        <f>$B4*CA4</f>
        <v>0</v>
      </c>
      <c r="CC4" s="24"/>
      <c r="CD4" s="21"/>
      <c r="CE4" s="1">
        <f>$B4*CD4</f>
        <v>0</v>
      </c>
      <c r="CF4" s="24"/>
      <c r="CG4" s="21"/>
      <c r="CH4" s="1">
        <f>$B4*CG4</f>
        <v>0</v>
      </c>
      <c r="CI4" s="24"/>
      <c r="CJ4" s="21"/>
      <c r="CK4" s="1">
        <f>$B4*CJ4</f>
        <v>0</v>
      </c>
      <c r="CL4" s="24"/>
      <c r="CM4" s="21"/>
      <c r="CN4" s="1">
        <f>$B4*CM4</f>
        <v>0</v>
      </c>
      <c r="CO4" s="24"/>
      <c r="CP4" s="21"/>
      <c r="CQ4" s="1">
        <f>$B4*CP4</f>
        <v>0</v>
      </c>
      <c r="CR4" s="69">
        <f>BW4+BZ4+CC4+CF4+CI4+CL4+CO4</f>
        <v>0</v>
      </c>
      <c r="CS4" s="66">
        <f>BX4+CA4+CD4+CG4+CJ4+CM4+CP4</f>
        <v>0</v>
      </c>
      <c r="CT4" s="47">
        <f>BY4+CB4+CE4+CH4+CK4+CN4+CQ4</f>
        <v>0</v>
      </c>
      <c r="CU4" s="24"/>
      <c r="CV4" s="21"/>
      <c r="CW4" s="1">
        <f>$B4*CV4</f>
        <v>0</v>
      </c>
      <c r="CX4" s="24"/>
      <c r="CY4" s="21"/>
      <c r="CZ4" s="1">
        <f>$B4*CY4</f>
        <v>0</v>
      </c>
      <c r="DA4" s="24"/>
      <c r="DB4" s="21"/>
      <c r="DC4" s="1">
        <f>$B4*DB4</f>
        <v>0</v>
      </c>
      <c r="DD4" s="24"/>
      <c r="DE4" s="21"/>
      <c r="DF4" s="1">
        <f>$B4*DE4</f>
        <v>0</v>
      </c>
      <c r="DG4" s="24"/>
      <c r="DH4" s="21"/>
      <c r="DI4" s="1">
        <f>$B4*DH4</f>
        <v>0</v>
      </c>
      <c r="DJ4" s="24"/>
      <c r="DK4" s="21"/>
      <c r="DL4" s="1">
        <f>$B4*DK4</f>
        <v>0</v>
      </c>
      <c r="DM4" s="24"/>
      <c r="DN4" s="21"/>
      <c r="DO4" s="1">
        <f>$B4*DN4</f>
        <v>0</v>
      </c>
      <c r="DP4" s="69">
        <f>CU4+CX4+DA4+DD4+DG4+DJ4+DM4</f>
        <v>0</v>
      </c>
      <c r="DQ4" s="66">
        <f>CV4+CY4+DB4+DE4+DH4+DK4+DN4</f>
        <v>0</v>
      </c>
      <c r="DR4" s="47">
        <f>CW4+CZ4+DC4+DF4+DI4+DL4+DO4</f>
        <v>0</v>
      </c>
      <c r="DS4" s="48">
        <f>X4+AV4+CR4+DP4</f>
        <v>0</v>
      </c>
      <c r="DT4" s="49">
        <f>Y4+AW4+BU4+CS4+DQ4</f>
        <v>0</v>
      </c>
      <c r="DU4" s="50">
        <f>Z4+AX4+BV4+CT4+DR4</f>
        <v>0</v>
      </c>
    </row>
    <row r="5" spans="1:125" s="26" customFormat="1" ht="17.100000000000001" customHeight="1" thickBot="1" x14ac:dyDescent="0.25">
      <c r="A5" s="93" t="s">
        <v>23</v>
      </c>
      <c r="B5" s="19">
        <v>8000</v>
      </c>
      <c r="C5" s="29"/>
      <c r="D5" s="30"/>
      <c r="E5" s="2">
        <f t="shared" ref="E5:E17" si="0">$B5*D5</f>
        <v>0</v>
      </c>
      <c r="F5" s="29"/>
      <c r="G5" s="30"/>
      <c r="H5" s="64">
        <f t="shared" ref="H5:H17" si="1">$B5*G5</f>
        <v>0</v>
      </c>
      <c r="I5" s="31"/>
      <c r="J5" s="156"/>
      <c r="K5" s="2">
        <f t="shared" ref="K5:K16" si="2">$B5*J5</f>
        <v>0</v>
      </c>
      <c r="L5" s="158"/>
      <c r="M5" s="30"/>
      <c r="N5" s="2">
        <f t="shared" ref="N5:N16" si="3">$B5*M5</f>
        <v>0</v>
      </c>
      <c r="O5" s="128"/>
      <c r="P5" s="30"/>
      <c r="Q5" s="2">
        <f t="shared" ref="Q5:Q16" si="4">$B5*P5</f>
        <v>0</v>
      </c>
      <c r="R5" s="32"/>
      <c r="S5" s="30"/>
      <c r="T5" s="2">
        <f t="shared" ref="T5:T16" si="5">$B5*S5</f>
        <v>0</v>
      </c>
      <c r="U5" s="33"/>
      <c r="V5" s="30"/>
      <c r="W5" s="64">
        <f t="shared" ref="W5:W16" si="6">$B5*V5</f>
        <v>0</v>
      </c>
      <c r="X5" s="70">
        <f t="shared" ref="X5:Z16" si="7">C5+F5+I5+L5+O5+R5+U5</f>
        <v>0</v>
      </c>
      <c r="Y5" s="67">
        <f t="shared" si="7"/>
        <v>0</v>
      </c>
      <c r="Z5" s="73">
        <f t="shared" si="7"/>
        <v>0</v>
      </c>
      <c r="AA5" s="35"/>
      <c r="AB5" s="30"/>
      <c r="AC5" s="2">
        <f t="shared" ref="AC5:AC16" si="8">$B5*AB5</f>
        <v>0</v>
      </c>
      <c r="AD5" s="33"/>
      <c r="AE5" s="30"/>
      <c r="AF5" s="2">
        <f t="shared" ref="AF5:AF16" si="9">$B5*AE5</f>
        <v>0</v>
      </c>
      <c r="AG5" s="33"/>
      <c r="AH5" s="30"/>
      <c r="AI5" s="2">
        <f t="shared" ref="AI5:AI16" si="10">$B5*AH5</f>
        <v>0</v>
      </c>
      <c r="AJ5" s="33"/>
      <c r="AK5" s="30"/>
      <c r="AL5" s="2">
        <f t="shared" ref="AL5:AL16" si="11">$B5*AK5</f>
        <v>0</v>
      </c>
      <c r="AM5" s="33"/>
      <c r="AN5" s="30"/>
      <c r="AO5" s="2">
        <f t="shared" ref="AO5:AO16" si="12">$B5*AN5</f>
        <v>0</v>
      </c>
      <c r="AP5" s="33"/>
      <c r="AQ5" s="30"/>
      <c r="AR5" s="2">
        <f t="shared" ref="AR5:AR16" si="13">$B5*AQ5</f>
        <v>0</v>
      </c>
      <c r="AS5" s="33"/>
      <c r="AT5" s="30"/>
      <c r="AU5" s="2">
        <f t="shared" ref="AU5:AU16" si="14">$B5*AT5</f>
        <v>0</v>
      </c>
      <c r="AV5" s="70">
        <f t="shared" ref="AV5:AX16" si="15">AA5+AD5+AG5+AJ5+AM5+AP5+AS5</f>
        <v>0</v>
      </c>
      <c r="AW5" s="67">
        <f t="shared" si="15"/>
        <v>0</v>
      </c>
      <c r="AX5" s="51">
        <f t="shared" si="15"/>
        <v>0</v>
      </c>
      <c r="AY5" s="33"/>
      <c r="AZ5" s="30"/>
      <c r="BA5" s="2">
        <f t="shared" ref="BA5:BA16" si="16">$B5*AZ5</f>
        <v>0</v>
      </c>
      <c r="BB5" s="33"/>
      <c r="BC5" s="30"/>
      <c r="BD5" s="2">
        <f t="shared" ref="BD5:BD16" si="17">$B5*BC5</f>
        <v>0</v>
      </c>
      <c r="BE5" s="33"/>
      <c r="BF5" s="30"/>
      <c r="BG5" s="2">
        <f t="shared" ref="BG5:BG16" si="18">$B5*BF5</f>
        <v>0</v>
      </c>
      <c r="BH5" s="33"/>
      <c r="BI5" s="30"/>
      <c r="BJ5" s="2">
        <f t="shared" ref="BJ5:BJ16" si="19">$B5*BI5</f>
        <v>0</v>
      </c>
      <c r="BK5" s="33"/>
      <c r="BL5" s="30"/>
      <c r="BM5" s="2">
        <f t="shared" ref="BM5:BM16" si="20">$B5*BL5</f>
        <v>0</v>
      </c>
      <c r="BN5" s="33"/>
      <c r="BO5" s="30"/>
      <c r="BP5" s="2">
        <f t="shared" ref="BP5:BP16" si="21">$B5*BO5</f>
        <v>0</v>
      </c>
      <c r="BQ5" s="33"/>
      <c r="BR5" s="30"/>
      <c r="BS5" s="2">
        <f t="shared" ref="BS5:BS16" si="22">$B5*BR5</f>
        <v>0</v>
      </c>
      <c r="BT5" s="70">
        <f t="shared" ref="BT5:BV16" si="23">AY5+BB5+BE5+BH5+BK5+BN5+BQ5</f>
        <v>0</v>
      </c>
      <c r="BU5" s="67">
        <f t="shared" si="23"/>
        <v>0</v>
      </c>
      <c r="BV5" s="51">
        <f t="shared" si="23"/>
        <v>0</v>
      </c>
      <c r="BW5" s="33"/>
      <c r="BX5" s="30"/>
      <c r="BY5" s="2">
        <f t="shared" ref="BY5:BY16" si="24">$B5*BX5</f>
        <v>0</v>
      </c>
      <c r="BZ5" s="33"/>
      <c r="CA5" s="30"/>
      <c r="CB5" s="2">
        <f t="shared" ref="CB5:CB16" si="25">$B5*CA5</f>
        <v>0</v>
      </c>
      <c r="CC5" s="33"/>
      <c r="CD5" s="30"/>
      <c r="CE5" s="2">
        <f t="shared" ref="CE5:CE16" si="26">$B5*CD5</f>
        <v>0</v>
      </c>
      <c r="CF5" s="33"/>
      <c r="CG5" s="30"/>
      <c r="CH5" s="2">
        <f t="shared" ref="CH5:CH16" si="27">$B5*CG5</f>
        <v>0</v>
      </c>
      <c r="CI5" s="33"/>
      <c r="CJ5" s="30"/>
      <c r="CK5" s="2">
        <f t="shared" ref="CK5:CK16" si="28">$B5*CJ5</f>
        <v>0</v>
      </c>
      <c r="CL5" s="33"/>
      <c r="CM5" s="30"/>
      <c r="CN5" s="2">
        <f t="shared" ref="CN5:CN16" si="29">$B5*CM5</f>
        <v>0</v>
      </c>
      <c r="CO5" s="33"/>
      <c r="CP5" s="30"/>
      <c r="CQ5" s="2">
        <f t="shared" ref="CQ5:CQ16" si="30">$B5*CP5</f>
        <v>0</v>
      </c>
      <c r="CR5" s="70">
        <f t="shared" ref="CR5:CT16" si="31">BW5+BZ5+CC5+CF5+CI5+CL5+CO5</f>
        <v>0</v>
      </c>
      <c r="CS5" s="67">
        <f t="shared" si="31"/>
        <v>0</v>
      </c>
      <c r="CT5" s="51">
        <f t="shared" si="31"/>
        <v>0</v>
      </c>
      <c r="CU5" s="33"/>
      <c r="CV5" s="30"/>
      <c r="CW5" s="2">
        <f t="shared" ref="CW5:CW16" si="32">$B5*CV5</f>
        <v>0</v>
      </c>
      <c r="CX5" s="33"/>
      <c r="CY5" s="30"/>
      <c r="CZ5" s="2">
        <f t="shared" ref="CZ5:CZ16" si="33">$B5*CY5</f>
        <v>0</v>
      </c>
      <c r="DA5" s="33"/>
      <c r="DB5" s="30"/>
      <c r="DC5" s="2">
        <f t="shared" ref="DC5:DC16" si="34">$B5*DB5</f>
        <v>0</v>
      </c>
      <c r="DD5" s="33"/>
      <c r="DE5" s="30"/>
      <c r="DF5" s="2">
        <f t="shared" ref="DF5:DF16" si="35">$B5*DE5</f>
        <v>0</v>
      </c>
      <c r="DG5" s="33"/>
      <c r="DH5" s="30"/>
      <c r="DI5" s="2">
        <f t="shared" ref="DI5:DI16" si="36">$B5*DH5</f>
        <v>0</v>
      </c>
      <c r="DJ5" s="33"/>
      <c r="DK5" s="30"/>
      <c r="DL5" s="2">
        <f t="shared" ref="DL5:DL16" si="37">$B5*DK5</f>
        <v>0</v>
      </c>
      <c r="DM5" s="33"/>
      <c r="DN5" s="30"/>
      <c r="DO5" s="2">
        <f t="shared" ref="DO5:DO16" si="38">$B5*DN5</f>
        <v>0</v>
      </c>
      <c r="DP5" s="70">
        <f t="shared" ref="DP5:DR16" si="39">CU5+CX5+DA5+DD5+DG5+DJ5+DM5</f>
        <v>0</v>
      </c>
      <c r="DQ5" s="67">
        <f t="shared" si="39"/>
        <v>0</v>
      </c>
      <c r="DR5" s="51">
        <f t="shared" si="39"/>
        <v>0</v>
      </c>
      <c r="DS5" s="52">
        <f t="shared" ref="DS5:DS16" si="40">X5+AV5+CR5+DP5</f>
        <v>0</v>
      </c>
      <c r="DT5" s="53">
        <f t="shared" ref="DT5:DU16" si="41">Y5+AW5+BU5+CS5+DQ5</f>
        <v>0</v>
      </c>
      <c r="DU5" s="54">
        <f t="shared" si="41"/>
        <v>0</v>
      </c>
    </row>
    <row r="6" spans="1:125" s="26" customFormat="1" ht="17.100000000000001" customHeight="1" thickBot="1" x14ac:dyDescent="0.25">
      <c r="A6" s="93" t="s">
        <v>24</v>
      </c>
      <c r="B6" s="19">
        <v>8000</v>
      </c>
      <c r="C6" s="29"/>
      <c r="D6" s="30"/>
      <c r="E6" s="2">
        <f t="shared" si="0"/>
        <v>0</v>
      </c>
      <c r="F6" s="29"/>
      <c r="G6" s="30"/>
      <c r="H6" s="64">
        <f t="shared" si="1"/>
        <v>0</v>
      </c>
      <c r="I6" s="31"/>
      <c r="J6" s="156"/>
      <c r="K6" s="2">
        <f t="shared" si="2"/>
        <v>0</v>
      </c>
      <c r="L6" s="158"/>
      <c r="M6" s="30"/>
      <c r="N6" s="2">
        <f t="shared" si="3"/>
        <v>0</v>
      </c>
      <c r="O6" s="128"/>
      <c r="P6" s="30"/>
      <c r="Q6" s="2">
        <f t="shared" si="4"/>
        <v>0</v>
      </c>
      <c r="R6" s="32"/>
      <c r="S6" s="30"/>
      <c r="T6" s="2">
        <f t="shared" si="5"/>
        <v>0</v>
      </c>
      <c r="U6" s="33"/>
      <c r="V6" s="30"/>
      <c r="W6" s="64">
        <f t="shared" si="6"/>
        <v>0</v>
      </c>
      <c r="X6" s="70">
        <f t="shared" si="7"/>
        <v>0</v>
      </c>
      <c r="Y6" s="67">
        <f t="shared" si="7"/>
        <v>0</v>
      </c>
      <c r="Z6" s="73">
        <f t="shared" si="7"/>
        <v>0</v>
      </c>
      <c r="AA6" s="35"/>
      <c r="AB6" s="30"/>
      <c r="AC6" s="2">
        <f t="shared" si="8"/>
        <v>0</v>
      </c>
      <c r="AD6" s="33"/>
      <c r="AE6" s="30"/>
      <c r="AF6" s="2">
        <f t="shared" si="9"/>
        <v>0</v>
      </c>
      <c r="AG6" s="33"/>
      <c r="AH6" s="30"/>
      <c r="AI6" s="2">
        <f t="shared" si="10"/>
        <v>0</v>
      </c>
      <c r="AJ6" s="33"/>
      <c r="AK6" s="30"/>
      <c r="AL6" s="2">
        <f t="shared" si="11"/>
        <v>0</v>
      </c>
      <c r="AM6" s="33"/>
      <c r="AN6" s="30"/>
      <c r="AO6" s="2">
        <f t="shared" si="12"/>
        <v>0</v>
      </c>
      <c r="AP6" s="33"/>
      <c r="AQ6" s="30"/>
      <c r="AR6" s="2">
        <f t="shared" si="13"/>
        <v>0</v>
      </c>
      <c r="AS6" s="33"/>
      <c r="AT6" s="30"/>
      <c r="AU6" s="2">
        <f t="shared" si="14"/>
        <v>0</v>
      </c>
      <c r="AV6" s="70">
        <f t="shared" si="15"/>
        <v>0</v>
      </c>
      <c r="AW6" s="67">
        <f t="shared" si="15"/>
        <v>0</v>
      </c>
      <c r="AX6" s="51">
        <f t="shared" si="15"/>
        <v>0</v>
      </c>
      <c r="AY6" s="33"/>
      <c r="AZ6" s="30"/>
      <c r="BA6" s="2">
        <f t="shared" si="16"/>
        <v>0</v>
      </c>
      <c r="BB6" s="33"/>
      <c r="BC6" s="30"/>
      <c r="BD6" s="2">
        <f t="shared" si="17"/>
        <v>0</v>
      </c>
      <c r="BE6" s="33"/>
      <c r="BF6" s="30"/>
      <c r="BG6" s="2">
        <f t="shared" si="18"/>
        <v>0</v>
      </c>
      <c r="BH6" s="33"/>
      <c r="BI6" s="30"/>
      <c r="BJ6" s="2">
        <f t="shared" si="19"/>
        <v>0</v>
      </c>
      <c r="BK6" s="33"/>
      <c r="BL6" s="30"/>
      <c r="BM6" s="2">
        <f t="shared" si="20"/>
        <v>0</v>
      </c>
      <c r="BN6" s="33"/>
      <c r="BO6" s="30"/>
      <c r="BP6" s="2">
        <f t="shared" si="21"/>
        <v>0</v>
      </c>
      <c r="BQ6" s="33"/>
      <c r="BR6" s="30"/>
      <c r="BS6" s="2">
        <f t="shared" si="22"/>
        <v>0</v>
      </c>
      <c r="BT6" s="70">
        <f t="shared" si="23"/>
        <v>0</v>
      </c>
      <c r="BU6" s="67">
        <f t="shared" si="23"/>
        <v>0</v>
      </c>
      <c r="BV6" s="51">
        <f t="shared" si="23"/>
        <v>0</v>
      </c>
      <c r="BW6" s="33"/>
      <c r="BX6" s="30"/>
      <c r="BY6" s="2">
        <f t="shared" si="24"/>
        <v>0</v>
      </c>
      <c r="BZ6" s="33"/>
      <c r="CA6" s="30"/>
      <c r="CB6" s="2">
        <f t="shared" si="25"/>
        <v>0</v>
      </c>
      <c r="CC6" s="33"/>
      <c r="CD6" s="30"/>
      <c r="CE6" s="2">
        <f t="shared" si="26"/>
        <v>0</v>
      </c>
      <c r="CF6" s="33"/>
      <c r="CG6" s="30"/>
      <c r="CH6" s="2">
        <f t="shared" si="27"/>
        <v>0</v>
      </c>
      <c r="CI6" s="33"/>
      <c r="CJ6" s="30"/>
      <c r="CK6" s="2">
        <f t="shared" si="28"/>
        <v>0</v>
      </c>
      <c r="CL6" s="33"/>
      <c r="CM6" s="30"/>
      <c r="CN6" s="2">
        <f t="shared" si="29"/>
        <v>0</v>
      </c>
      <c r="CO6" s="33"/>
      <c r="CP6" s="30"/>
      <c r="CQ6" s="2">
        <f t="shared" si="30"/>
        <v>0</v>
      </c>
      <c r="CR6" s="70">
        <f t="shared" si="31"/>
        <v>0</v>
      </c>
      <c r="CS6" s="67">
        <f t="shared" si="31"/>
        <v>0</v>
      </c>
      <c r="CT6" s="51">
        <f t="shared" si="31"/>
        <v>0</v>
      </c>
      <c r="CU6" s="33"/>
      <c r="CV6" s="30"/>
      <c r="CW6" s="2">
        <f t="shared" si="32"/>
        <v>0</v>
      </c>
      <c r="CX6" s="33"/>
      <c r="CY6" s="30"/>
      <c r="CZ6" s="2">
        <f t="shared" si="33"/>
        <v>0</v>
      </c>
      <c r="DA6" s="33"/>
      <c r="DB6" s="30"/>
      <c r="DC6" s="2">
        <f t="shared" si="34"/>
        <v>0</v>
      </c>
      <c r="DD6" s="33"/>
      <c r="DE6" s="30"/>
      <c r="DF6" s="2">
        <f t="shared" si="35"/>
        <v>0</v>
      </c>
      <c r="DG6" s="33"/>
      <c r="DH6" s="30"/>
      <c r="DI6" s="2">
        <f t="shared" si="36"/>
        <v>0</v>
      </c>
      <c r="DJ6" s="33"/>
      <c r="DK6" s="30"/>
      <c r="DL6" s="2">
        <f t="shared" si="37"/>
        <v>0</v>
      </c>
      <c r="DM6" s="33"/>
      <c r="DN6" s="30"/>
      <c r="DO6" s="2">
        <f t="shared" si="38"/>
        <v>0</v>
      </c>
      <c r="DP6" s="70">
        <f t="shared" si="39"/>
        <v>0</v>
      </c>
      <c r="DQ6" s="67">
        <f t="shared" si="39"/>
        <v>0</v>
      </c>
      <c r="DR6" s="51">
        <f t="shared" si="39"/>
        <v>0</v>
      </c>
      <c r="DS6" s="52">
        <f t="shared" si="40"/>
        <v>0</v>
      </c>
      <c r="DT6" s="53">
        <f t="shared" si="41"/>
        <v>0</v>
      </c>
      <c r="DU6" s="54">
        <f t="shared" si="41"/>
        <v>0</v>
      </c>
    </row>
    <row r="7" spans="1:125" s="26" customFormat="1" ht="17.100000000000001" customHeight="1" thickBot="1" x14ac:dyDescent="0.25">
      <c r="A7" s="93" t="s">
        <v>25</v>
      </c>
      <c r="B7" s="19">
        <v>8000</v>
      </c>
      <c r="C7" s="29"/>
      <c r="D7" s="30"/>
      <c r="E7" s="2">
        <f t="shared" si="0"/>
        <v>0</v>
      </c>
      <c r="F7" s="29"/>
      <c r="G7" s="30"/>
      <c r="H7" s="64">
        <f t="shared" si="1"/>
        <v>0</v>
      </c>
      <c r="I7" s="31"/>
      <c r="J7" s="156"/>
      <c r="K7" s="2">
        <f t="shared" si="2"/>
        <v>0</v>
      </c>
      <c r="L7" s="158"/>
      <c r="M7" s="30"/>
      <c r="N7" s="2">
        <f t="shared" si="3"/>
        <v>0</v>
      </c>
      <c r="O7" s="128"/>
      <c r="P7" s="30"/>
      <c r="Q7" s="2">
        <f t="shared" si="4"/>
        <v>0</v>
      </c>
      <c r="R7" s="32"/>
      <c r="S7" s="30"/>
      <c r="T7" s="2">
        <f t="shared" si="5"/>
        <v>0</v>
      </c>
      <c r="U7" s="33"/>
      <c r="V7" s="30"/>
      <c r="W7" s="64">
        <f t="shared" si="6"/>
        <v>0</v>
      </c>
      <c r="X7" s="70">
        <f t="shared" si="7"/>
        <v>0</v>
      </c>
      <c r="Y7" s="67">
        <f t="shared" si="7"/>
        <v>0</v>
      </c>
      <c r="Z7" s="73">
        <f t="shared" si="7"/>
        <v>0</v>
      </c>
      <c r="AA7" s="35"/>
      <c r="AB7" s="30"/>
      <c r="AC7" s="2">
        <f t="shared" si="8"/>
        <v>0</v>
      </c>
      <c r="AD7" s="33"/>
      <c r="AE7" s="30"/>
      <c r="AF7" s="2">
        <f t="shared" si="9"/>
        <v>0</v>
      </c>
      <c r="AG7" s="33"/>
      <c r="AH7" s="30"/>
      <c r="AI7" s="2">
        <f t="shared" si="10"/>
        <v>0</v>
      </c>
      <c r="AJ7" s="33"/>
      <c r="AK7" s="30"/>
      <c r="AL7" s="2">
        <f t="shared" si="11"/>
        <v>0</v>
      </c>
      <c r="AM7" s="33"/>
      <c r="AN7" s="30"/>
      <c r="AO7" s="2">
        <f t="shared" si="12"/>
        <v>0</v>
      </c>
      <c r="AP7" s="33"/>
      <c r="AQ7" s="30"/>
      <c r="AR7" s="2">
        <f t="shared" si="13"/>
        <v>0</v>
      </c>
      <c r="AS7" s="33"/>
      <c r="AT7" s="30"/>
      <c r="AU7" s="2">
        <f t="shared" si="14"/>
        <v>0</v>
      </c>
      <c r="AV7" s="70">
        <f t="shared" si="15"/>
        <v>0</v>
      </c>
      <c r="AW7" s="67">
        <f t="shared" si="15"/>
        <v>0</v>
      </c>
      <c r="AX7" s="51">
        <f t="shared" si="15"/>
        <v>0</v>
      </c>
      <c r="AY7" s="33"/>
      <c r="AZ7" s="30"/>
      <c r="BA7" s="2">
        <f t="shared" si="16"/>
        <v>0</v>
      </c>
      <c r="BB7" s="33"/>
      <c r="BC7" s="30"/>
      <c r="BD7" s="2">
        <f t="shared" si="17"/>
        <v>0</v>
      </c>
      <c r="BE7" s="33"/>
      <c r="BF7" s="30"/>
      <c r="BG7" s="2">
        <f t="shared" si="18"/>
        <v>0</v>
      </c>
      <c r="BH7" s="33"/>
      <c r="BI7" s="30"/>
      <c r="BJ7" s="2">
        <f t="shared" si="19"/>
        <v>0</v>
      </c>
      <c r="BK7" s="33"/>
      <c r="BL7" s="30"/>
      <c r="BM7" s="2">
        <f t="shared" si="20"/>
        <v>0</v>
      </c>
      <c r="BN7" s="33"/>
      <c r="BO7" s="30"/>
      <c r="BP7" s="2">
        <f t="shared" si="21"/>
        <v>0</v>
      </c>
      <c r="BQ7" s="33"/>
      <c r="BR7" s="30"/>
      <c r="BS7" s="2">
        <f t="shared" si="22"/>
        <v>0</v>
      </c>
      <c r="BT7" s="70">
        <f t="shared" si="23"/>
        <v>0</v>
      </c>
      <c r="BU7" s="67">
        <f t="shared" si="23"/>
        <v>0</v>
      </c>
      <c r="BV7" s="51">
        <f t="shared" si="23"/>
        <v>0</v>
      </c>
      <c r="BW7" s="33"/>
      <c r="BX7" s="30"/>
      <c r="BY7" s="2">
        <f t="shared" si="24"/>
        <v>0</v>
      </c>
      <c r="BZ7" s="33"/>
      <c r="CA7" s="30"/>
      <c r="CB7" s="2">
        <f t="shared" si="25"/>
        <v>0</v>
      </c>
      <c r="CC7" s="33"/>
      <c r="CD7" s="30"/>
      <c r="CE7" s="2">
        <f t="shared" si="26"/>
        <v>0</v>
      </c>
      <c r="CF7" s="33"/>
      <c r="CG7" s="30"/>
      <c r="CH7" s="2">
        <f t="shared" si="27"/>
        <v>0</v>
      </c>
      <c r="CI7" s="33"/>
      <c r="CJ7" s="30"/>
      <c r="CK7" s="2">
        <f t="shared" si="28"/>
        <v>0</v>
      </c>
      <c r="CL7" s="33"/>
      <c r="CM7" s="30"/>
      <c r="CN7" s="2">
        <f t="shared" si="29"/>
        <v>0</v>
      </c>
      <c r="CO7" s="33"/>
      <c r="CP7" s="30"/>
      <c r="CQ7" s="2">
        <f t="shared" si="30"/>
        <v>0</v>
      </c>
      <c r="CR7" s="70">
        <f t="shared" si="31"/>
        <v>0</v>
      </c>
      <c r="CS7" s="67">
        <f t="shared" si="31"/>
        <v>0</v>
      </c>
      <c r="CT7" s="51">
        <f t="shared" si="31"/>
        <v>0</v>
      </c>
      <c r="CU7" s="33"/>
      <c r="CV7" s="30"/>
      <c r="CW7" s="2">
        <f t="shared" si="32"/>
        <v>0</v>
      </c>
      <c r="CX7" s="33"/>
      <c r="CY7" s="30"/>
      <c r="CZ7" s="2">
        <f t="shared" si="33"/>
        <v>0</v>
      </c>
      <c r="DA7" s="33"/>
      <c r="DB7" s="30"/>
      <c r="DC7" s="2">
        <f t="shared" si="34"/>
        <v>0</v>
      </c>
      <c r="DD7" s="33"/>
      <c r="DE7" s="30"/>
      <c r="DF7" s="2">
        <f t="shared" si="35"/>
        <v>0</v>
      </c>
      <c r="DG7" s="33"/>
      <c r="DH7" s="30"/>
      <c r="DI7" s="2">
        <f t="shared" si="36"/>
        <v>0</v>
      </c>
      <c r="DJ7" s="33"/>
      <c r="DK7" s="30"/>
      <c r="DL7" s="2">
        <f t="shared" si="37"/>
        <v>0</v>
      </c>
      <c r="DM7" s="33"/>
      <c r="DN7" s="30"/>
      <c r="DO7" s="2">
        <f t="shared" si="38"/>
        <v>0</v>
      </c>
      <c r="DP7" s="70">
        <f t="shared" si="39"/>
        <v>0</v>
      </c>
      <c r="DQ7" s="67">
        <f t="shared" si="39"/>
        <v>0</v>
      </c>
      <c r="DR7" s="51">
        <f t="shared" si="39"/>
        <v>0</v>
      </c>
      <c r="DS7" s="52">
        <f t="shared" si="40"/>
        <v>0</v>
      </c>
      <c r="DT7" s="53">
        <f t="shared" si="41"/>
        <v>0</v>
      </c>
      <c r="DU7" s="54">
        <f t="shared" si="41"/>
        <v>0</v>
      </c>
    </row>
    <row r="8" spans="1:125" s="26" customFormat="1" ht="17.100000000000001" customHeight="1" thickBot="1" x14ac:dyDescent="0.25">
      <c r="A8" s="93" t="s">
        <v>26</v>
      </c>
      <c r="B8" s="19">
        <v>8000</v>
      </c>
      <c r="C8" s="29"/>
      <c r="D8" s="30"/>
      <c r="E8" s="2">
        <f t="shared" si="0"/>
        <v>0</v>
      </c>
      <c r="F8" s="29"/>
      <c r="G8" s="30"/>
      <c r="H8" s="64">
        <f t="shared" si="1"/>
        <v>0</v>
      </c>
      <c r="I8" s="31"/>
      <c r="J8" s="156"/>
      <c r="K8" s="2">
        <f t="shared" si="2"/>
        <v>0</v>
      </c>
      <c r="L8" s="158"/>
      <c r="M8" s="30"/>
      <c r="N8" s="2">
        <f t="shared" si="3"/>
        <v>0</v>
      </c>
      <c r="O8" s="35"/>
      <c r="P8" s="30"/>
      <c r="Q8" s="2">
        <f t="shared" si="4"/>
        <v>0</v>
      </c>
      <c r="R8" s="32"/>
      <c r="S8" s="30"/>
      <c r="T8" s="2">
        <f t="shared" si="5"/>
        <v>0</v>
      </c>
      <c r="U8" s="33"/>
      <c r="V8" s="30"/>
      <c r="W8" s="64">
        <f t="shared" si="6"/>
        <v>0</v>
      </c>
      <c r="X8" s="70">
        <f t="shared" si="7"/>
        <v>0</v>
      </c>
      <c r="Y8" s="67">
        <f t="shared" si="7"/>
        <v>0</v>
      </c>
      <c r="Z8" s="73">
        <f t="shared" si="7"/>
        <v>0</v>
      </c>
      <c r="AA8" s="35"/>
      <c r="AB8" s="30"/>
      <c r="AC8" s="2">
        <f t="shared" si="8"/>
        <v>0</v>
      </c>
      <c r="AD8" s="33"/>
      <c r="AE8" s="30"/>
      <c r="AF8" s="2">
        <f t="shared" si="9"/>
        <v>0</v>
      </c>
      <c r="AG8" s="33"/>
      <c r="AH8" s="30"/>
      <c r="AI8" s="2">
        <f t="shared" si="10"/>
        <v>0</v>
      </c>
      <c r="AJ8" s="33"/>
      <c r="AK8" s="30"/>
      <c r="AL8" s="2">
        <f t="shared" si="11"/>
        <v>0</v>
      </c>
      <c r="AM8" s="33"/>
      <c r="AN8" s="30"/>
      <c r="AO8" s="2">
        <f t="shared" si="12"/>
        <v>0</v>
      </c>
      <c r="AP8" s="33"/>
      <c r="AQ8" s="30"/>
      <c r="AR8" s="2">
        <f t="shared" si="13"/>
        <v>0</v>
      </c>
      <c r="AS8" s="33"/>
      <c r="AT8" s="30"/>
      <c r="AU8" s="2">
        <f t="shared" si="14"/>
        <v>0</v>
      </c>
      <c r="AV8" s="70">
        <f t="shared" si="15"/>
        <v>0</v>
      </c>
      <c r="AW8" s="67">
        <f t="shared" si="15"/>
        <v>0</v>
      </c>
      <c r="AX8" s="51">
        <f t="shared" si="15"/>
        <v>0</v>
      </c>
      <c r="AY8" s="33"/>
      <c r="AZ8" s="30"/>
      <c r="BA8" s="2">
        <f t="shared" si="16"/>
        <v>0</v>
      </c>
      <c r="BB8" s="33"/>
      <c r="BC8" s="30"/>
      <c r="BD8" s="2">
        <f t="shared" si="17"/>
        <v>0</v>
      </c>
      <c r="BE8" s="33"/>
      <c r="BF8" s="30"/>
      <c r="BG8" s="2">
        <f t="shared" si="18"/>
        <v>0</v>
      </c>
      <c r="BH8" s="33"/>
      <c r="BI8" s="30"/>
      <c r="BJ8" s="2">
        <f t="shared" si="19"/>
        <v>0</v>
      </c>
      <c r="BK8" s="33"/>
      <c r="BL8" s="30"/>
      <c r="BM8" s="2">
        <f t="shared" si="20"/>
        <v>0</v>
      </c>
      <c r="BN8" s="33"/>
      <c r="BO8" s="30"/>
      <c r="BP8" s="2">
        <f t="shared" si="21"/>
        <v>0</v>
      </c>
      <c r="BQ8" s="33"/>
      <c r="BR8" s="30"/>
      <c r="BS8" s="2">
        <f t="shared" si="22"/>
        <v>0</v>
      </c>
      <c r="BT8" s="70">
        <f t="shared" si="23"/>
        <v>0</v>
      </c>
      <c r="BU8" s="67">
        <f t="shared" si="23"/>
        <v>0</v>
      </c>
      <c r="BV8" s="51">
        <f t="shared" si="23"/>
        <v>0</v>
      </c>
      <c r="BW8" s="33"/>
      <c r="BX8" s="30"/>
      <c r="BY8" s="2">
        <f t="shared" si="24"/>
        <v>0</v>
      </c>
      <c r="BZ8" s="33"/>
      <c r="CA8" s="30"/>
      <c r="CB8" s="2">
        <f t="shared" si="25"/>
        <v>0</v>
      </c>
      <c r="CC8" s="33"/>
      <c r="CD8" s="30"/>
      <c r="CE8" s="2">
        <f t="shared" si="26"/>
        <v>0</v>
      </c>
      <c r="CF8" s="33"/>
      <c r="CG8" s="30"/>
      <c r="CH8" s="2">
        <f t="shared" si="27"/>
        <v>0</v>
      </c>
      <c r="CI8" s="33"/>
      <c r="CJ8" s="30"/>
      <c r="CK8" s="2">
        <f t="shared" si="28"/>
        <v>0</v>
      </c>
      <c r="CL8" s="33"/>
      <c r="CM8" s="30"/>
      <c r="CN8" s="2">
        <f t="shared" si="29"/>
        <v>0</v>
      </c>
      <c r="CO8" s="33"/>
      <c r="CP8" s="30"/>
      <c r="CQ8" s="2">
        <f t="shared" si="30"/>
        <v>0</v>
      </c>
      <c r="CR8" s="70">
        <f t="shared" si="31"/>
        <v>0</v>
      </c>
      <c r="CS8" s="67">
        <f t="shared" si="31"/>
        <v>0</v>
      </c>
      <c r="CT8" s="51">
        <f t="shared" si="31"/>
        <v>0</v>
      </c>
      <c r="CU8" s="33"/>
      <c r="CV8" s="30"/>
      <c r="CW8" s="2">
        <f t="shared" si="32"/>
        <v>0</v>
      </c>
      <c r="CX8" s="33"/>
      <c r="CY8" s="30"/>
      <c r="CZ8" s="2">
        <f t="shared" si="33"/>
        <v>0</v>
      </c>
      <c r="DA8" s="33"/>
      <c r="DB8" s="30"/>
      <c r="DC8" s="2">
        <f t="shared" si="34"/>
        <v>0</v>
      </c>
      <c r="DD8" s="33"/>
      <c r="DE8" s="30"/>
      <c r="DF8" s="2">
        <f t="shared" si="35"/>
        <v>0</v>
      </c>
      <c r="DG8" s="33"/>
      <c r="DH8" s="30"/>
      <c r="DI8" s="2">
        <f t="shared" si="36"/>
        <v>0</v>
      </c>
      <c r="DJ8" s="33"/>
      <c r="DK8" s="30"/>
      <c r="DL8" s="2">
        <f t="shared" si="37"/>
        <v>0</v>
      </c>
      <c r="DM8" s="33"/>
      <c r="DN8" s="30"/>
      <c r="DO8" s="2">
        <f t="shared" si="38"/>
        <v>0</v>
      </c>
      <c r="DP8" s="70">
        <f t="shared" si="39"/>
        <v>0</v>
      </c>
      <c r="DQ8" s="67">
        <f t="shared" si="39"/>
        <v>0</v>
      </c>
      <c r="DR8" s="51">
        <f t="shared" si="39"/>
        <v>0</v>
      </c>
      <c r="DS8" s="52">
        <f t="shared" si="40"/>
        <v>0</v>
      </c>
      <c r="DT8" s="53">
        <f t="shared" si="41"/>
        <v>0</v>
      </c>
      <c r="DU8" s="54">
        <f t="shared" si="41"/>
        <v>0</v>
      </c>
    </row>
    <row r="9" spans="1:125" s="26" customFormat="1" ht="17.100000000000001" customHeight="1" thickBot="1" x14ac:dyDescent="0.25">
      <c r="A9" s="93" t="s">
        <v>27</v>
      </c>
      <c r="B9" s="19">
        <v>8000</v>
      </c>
      <c r="C9" s="29"/>
      <c r="D9" s="30"/>
      <c r="E9" s="2">
        <f t="shared" si="0"/>
        <v>0</v>
      </c>
      <c r="F9" s="29"/>
      <c r="G9" s="30"/>
      <c r="H9" s="64">
        <f t="shared" si="1"/>
        <v>0</v>
      </c>
      <c r="I9" s="31"/>
      <c r="J9" s="156"/>
      <c r="K9" s="2">
        <f t="shared" si="2"/>
        <v>0</v>
      </c>
      <c r="L9" s="158"/>
      <c r="M9" s="30"/>
      <c r="N9" s="2">
        <f t="shared" si="3"/>
        <v>0</v>
      </c>
      <c r="O9" s="128"/>
      <c r="P9" s="30"/>
      <c r="Q9" s="2">
        <f t="shared" si="4"/>
        <v>0</v>
      </c>
      <c r="R9" s="31"/>
      <c r="S9" s="30"/>
      <c r="T9" s="2">
        <f t="shared" si="5"/>
        <v>0</v>
      </c>
      <c r="U9" s="33"/>
      <c r="V9" s="30"/>
      <c r="W9" s="64">
        <f t="shared" si="6"/>
        <v>0</v>
      </c>
      <c r="X9" s="70">
        <f t="shared" si="7"/>
        <v>0</v>
      </c>
      <c r="Y9" s="67">
        <f t="shared" si="7"/>
        <v>0</v>
      </c>
      <c r="Z9" s="73">
        <f t="shared" si="7"/>
        <v>0</v>
      </c>
      <c r="AA9" s="35"/>
      <c r="AB9" s="30"/>
      <c r="AC9" s="2">
        <f t="shared" si="8"/>
        <v>0</v>
      </c>
      <c r="AD9" s="33"/>
      <c r="AE9" s="30"/>
      <c r="AF9" s="2">
        <f t="shared" si="9"/>
        <v>0</v>
      </c>
      <c r="AG9" s="33"/>
      <c r="AH9" s="30"/>
      <c r="AI9" s="2">
        <f t="shared" si="10"/>
        <v>0</v>
      </c>
      <c r="AJ9" s="33"/>
      <c r="AK9" s="30"/>
      <c r="AL9" s="2">
        <f t="shared" si="11"/>
        <v>0</v>
      </c>
      <c r="AM9" s="33"/>
      <c r="AN9" s="30"/>
      <c r="AO9" s="2">
        <f t="shared" si="12"/>
        <v>0</v>
      </c>
      <c r="AP9" s="33"/>
      <c r="AQ9" s="30"/>
      <c r="AR9" s="2">
        <f t="shared" si="13"/>
        <v>0</v>
      </c>
      <c r="AS9" s="33"/>
      <c r="AT9" s="30"/>
      <c r="AU9" s="2">
        <f t="shared" si="14"/>
        <v>0</v>
      </c>
      <c r="AV9" s="70">
        <f t="shared" si="15"/>
        <v>0</v>
      </c>
      <c r="AW9" s="67">
        <f t="shared" si="15"/>
        <v>0</v>
      </c>
      <c r="AX9" s="51">
        <f t="shared" si="15"/>
        <v>0</v>
      </c>
      <c r="AY9" s="33"/>
      <c r="AZ9" s="30"/>
      <c r="BA9" s="2">
        <f t="shared" si="16"/>
        <v>0</v>
      </c>
      <c r="BB9" s="33"/>
      <c r="BC9" s="30"/>
      <c r="BD9" s="2">
        <f t="shared" si="17"/>
        <v>0</v>
      </c>
      <c r="BE9" s="33"/>
      <c r="BF9" s="30"/>
      <c r="BG9" s="2">
        <f t="shared" si="18"/>
        <v>0</v>
      </c>
      <c r="BH9" s="33"/>
      <c r="BI9" s="30"/>
      <c r="BJ9" s="2">
        <f t="shared" si="19"/>
        <v>0</v>
      </c>
      <c r="BK9" s="33"/>
      <c r="BL9" s="30"/>
      <c r="BM9" s="2">
        <f t="shared" si="20"/>
        <v>0</v>
      </c>
      <c r="BN9" s="33"/>
      <c r="BO9" s="30"/>
      <c r="BP9" s="2">
        <f t="shared" si="21"/>
        <v>0</v>
      </c>
      <c r="BQ9" s="33"/>
      <c r="BR9" s="30"/>
      <c r="BS9" s="2">
        <f t="shared" si="22"/>
        <v>0</v>
      </c>
      <c r="BT9" s="70">
        <f t="shared" si="23"/>
        <v>0</v>
      </c>
      <c r="BU9" s="67">
        <f t="shared" si="23"/>
        <v>0</v>
      </c>
      <c r="BV9" s="51">
        <f t="shared" si="23"/>
        <v>0</v>
      </c>
      <c r="BW9" s="33"/>
      <c r="BX9" s="30"/>
      <c r="BY9" s="2">
        <f t="shared" si="24"/>
        <v>0</v>
      </c>
      <c r="BZ9" s="33"/>
      <c r="CA9" s="30"/>
      <c r="CB9" s="2">
        <f t="shared" si="25"/>
        <v>0</v>
      </c>
      <c r="CC9" s="33"/>
      <c r="CD9" s="30"/>
      <c r="CE9" s="2">
        <f t="shared" si="26"/>
        <v>0</v>
      </c>
      <c r="CF9" s="33"/>
      <c r="CG9" s="30"/>
      <c r="CH9" s="2">
        <f t="shared" si="27"/>
        <v>0</v>
      </c>
      <c r="CI9" s="33"/>
      <c r="CJ9" s="30"/>
      <c r="CK9" s="2">
        <f t="shared" si="28"/>
        <v>0</v>
      </c>
      <c r="CL9" s="33"/>
      <c r="CM9" s="30"/>
      <c r="CN9" s="2">
        <f t="shared" si="29"/>
        <v>0</v>
      </c>
      <c r="CO9" s="33"/>
      <c r="CP9" s="30"/>
      <c r="CQ9" s="2">
        <f t="shared" si="30"/>
        <v>0</v>
      </c>
      <c r="CR9" s="70">
        <f t="shared" si="31"/>
        <v>0</v>
      </c>
      <c r="CS9" s="67">
        <f t="shared" si="31"/>
        <v>0</v>
      </c>
      <c r="CT9" s="51">
        <f t="shared" si="31"/>
        <v>0</v>
      </c>
      <c r="CU9" s="33"/>
      <c r="CV9" s="30"/>
      <c r="CW9" s="2">
        <f t="shared" si="32"/>
        <v>0</v>
      </c>
      <c r="CX9" s="33"/>
      <c r="CY9" s="30"/>
      <c r="CZ9" s="2">
        <f t="shared" si="33"/>
        <v>0</v>
      </c>
      <c r="DA9" s="33"/>
      <c r="DB9" s="30"/>
      <c r="DC9" s="2">
        <f t="shared" si="34"/>
        <v>0</v>
      </c>
      <c r="DD9" s="33"/>
      <c r="DE9" s="30"/>
      <c r="DF9" s="2">
        <f t="shared" si="35"/>
        <v>0</v>
      </c>
      <c r="DG9" s="33"/>
      <c r="DH9" s="30"/>
      <c r="DI9" s="2">
        <f t="shared" si="36"/>
        <v>0</v>
      </c>
      <c r="DJ9" s="33"/>
      <c r="DK9" s="30"/>
      <c r="DL9" s="2">
        <f t="shared" si="37"/>
        <v>0</v>
      </c>
      <c r="DM9" s="33"/>
      <c r="DN9" s="30"/>
      <c r="DO9" s="2">
        <f t="shared" si="38"/>
        <v>0</v>
      </c>
      <c r="DP9" s="70">
        <f t="shared" si="39"/>
        <v>0</v>
      </c>
      <c r="DQ9" s="67">
        <f t="shared" si="39"/>
        <v>0</v>
      </c>
      <c r="DR9" s="51">
        <f t="shared" si="39"/>
        <v>0</v>
      </c>
      <c r="DS9" s="52">
        <f t="shared" si="40"/>
        <v>0</v>
      </c>
      <c r="DT9" s="53">
        <f t="shared" si="41"/>
        <v>0</v>
      </c>
      <c r="DU9" s="54">
        <f t="shared" si="41"/>
        <v>0</v>
      </c>
    </row>
    <row r="10" spans="1:125" s="26" customFormat="1" ht="17.100000000000001" customHeight="1" thickBot="1" x14ac:dyDescent="0.25">
      <c r="A10" s="93" t="s">
        <v>29</v>
      </c>
      <c r="B10" s="19">
        <v>8000</v>
      </c>
      <c r="C10" s="29"/>
      <c r="D10" s="30"/>
      <c r="E10" s="2">
        <f t="shared" si="0"/>
        <v>0</v>
      </c>
      <c r="F10" s="29"/>
      <c r="G10" s="30"/>
      <c r="H10" s="64">
        <f t="shared" si="1"/>
        <v>0</v>
      </c>
      <c r="I10" s="31"/>
      <c r="J10" s="156"/>
      <c r="K10" s="2">
        <f t="shared" si="2"/>
        <v>0</v>
      </c>
      <c r="L10" s="158"/>
      <c r="M10" s="30"/>
      <c r="N10" s="2">
        <f t="shared" si="3"/>
        <v>0</v>
      </c>
      <c r="O10" s="128"/>
      <c r="P10" s="30"/>
      <c r="Q10" s="2">
        <f t="shared" si="4"/>
        <v>0</v>
      </c>
      <c r="R10" s="31"/>
      <c r="S10" s="30"/>
      <c r="T10" s="2">
        <f t="shared" si="5"/>
        <v>0</v>
      </c>
      <c r="U10" s="33"/>
      <c r="V10" s="30"/>
      <c r="W10" s="64">
        <f t="shared" si="6"/>
        <v>0</v>
      </c>
      <c r="X10" s="70">
        <f t="shared" si="7"/>
        <v>0</v>
      </c>
      <c r="Y10" s="67">
        <f t="shared" si="7"/>
        <v>0</v>
      </c>
      <c r="Z10" s="73">
        <f t="shared" si="7"/>
        <v>0</v>
      </c>
      <c r="AA10" s="35"/>
      <c r="AB10" s="30"/>
      <c r="AC10" s="2">
        <f t="shared" si="8"/>
        <v>0</v>
      </c>
      <c r="AD10" s="33"/>
      <c r="AE10" s="30"/>
      <c r="AF10" s="2">
        <f t="shared" si="9"/>
        <v>0</v>
      </c>
      <c r="AG10" s="33"/>
      <c r="AH10" s="30"/>
      <c r="AI10" s="2">
        <f t="shared" si="10"/>
        <v>0</v>
      </c>
      <c r="AJ10" s="33"/>
      <c r="AK10" s="30"/>
      <c r="AL10" s="2">
        <f t="shared" si="11"/>
        <v>0</v>
      </c>
      <c r="AM10" s="33"/>
      <c r="AN10" s="30"/>
      <c r="AO10" s="2">
        <f t="shared" si="12"/>
        <v>0</v>
      </c>
      <c r="AP10" s="33"/>
      <c r="AQ10" s="30"/>
      <c r="AR10" s="2">
        <f t="shared" si="13"/>
        <v>0</v>
      </c>
      <c r="AS10" s="33"/>
      <c r="AT10" s="30"/>
      <c r="AU10" s="2">
        <f t="shared" si="14"/>
        <v>0</v>
      </c>
      <c r="AV10" s="70">
        <f t="shared" si="15"/>
        <v>0</v>
      </c>
      <c r="AW10" s="67">
        <f t="shared" si="15"/>
        <v>0</v>
      </c>
      <c r="AX10" s="51">
        <f t="shared" si="15"/>
        <v>0</v>
      </c>
      <c r="AY10" s="33"/>
      <c r="AZ10" s="30"/>
      <c r="BA10" s="2">
        <f t="shared" si="16"/>
        <v>0</v>
      </c>
      <c r="BB10" s="33"/>
      <c r="BC10" s="30"/>
      <c r="BD10" s="2">
        <f t="shared" si="17"/>
        <v>0</v>
      </c>
      <c r="BE10" s="33"/>
      <c r="BF10" s="30"/>
      <c r="BG10" s="2">
        <f t="shared" si="18"/>
        <v>0</v>
      </c>
      <c r="BH10" s="33"/>
      <c r="BI10" s="30"/>
      <c r="BJ10" s="2">
        <f t="shared" si="19"/>
        <v>0</v>
      </c>
      <c r="BK10" s="33"/>
      <c r="BL10" s="30"/>
      <c r="BM10" s="2">
        <f t="shared" si="20"/>
        <v>0</v>
      </c>
      <c r="BN10" s="33"/>
      <c r="BO10" s="30"/>
      <c r="BP10" s="2">
        <f t="shared" si="21"/>
        <v>0</v>
      </c>
      <c r="BQ10" s="33"/>
      <c r="BR10" s="30"/>
      <c r="BS10" s="2">
        <f t="shared" si="22"/>
        <v>0</v>
      </c>
      <c r="BT10" s="70">
        <f t="shared" si="23"/>
        <v>0</v>
      </c>
      <c r="BU10" s="67">
        <f t="shared" si="23"/>
        <v>0</v>
      </c>
      <c r="BV10" s="51">
        <f t="shared" si="23"/>
        <v>0</v>
      </c>
      <c r="BW10" s="33"/>
      <c r="BX10" s="30"/>
      <c r="BY10" s="2">
        <f t="shared" si="24"/>
        <v>0</v>
      </c>
      <c r="BZ10" s="33"/>
      <c r="CA10" s="30"/>
      <c r="CB10" s="2">
        <f t="shared" si="25"/>
        <v>0</v>
      </c>
      <c r="CC10" s="33"/>
      <c r="CD10" s="30"/>
      <c r="CE10" s="2">
        <f t="shared" si="26"/>
        <v>0</v>
      </c>
      <c r="CF10" s="33"/>
      <c r="CG10" s="30"/>
      <c r="CH10" s="2">
        <f t="shared" si="27"/>
        <v>0</v>
      </c>
      <c r="CI10" s="33"/>
      <c r="CJ10" s="30"/>
      <c r="CK10" s="2">
        <f t="shared" si="28"/>
        <v>0</v>
      </c>
      <c r="CL10" s="33"/>
      <c r="CM10" s="30"/>
      <c r="CN10" s="2">
        <f t="shared" si="29"/>
        <v>0</v>
      </c>
      <c r="CO10" s="33"/>
      <c r="CP10" s="30"/>
      <c r="CQ10" s="2">
        <f t="shared" si="30"/>
        <v>0</v>
      </c>
      <c r="CR10" s="70">
        <f t="shared" si="31"/>
        <v>0</v>
      </c>
      <c r="CS10" s="67">
        <f t="shared" si="31"/>
        <v>0</v>
      </c>
      <c r="CT10" s="51">
        <f t="shared" si="31"/>
        <v>0</v>
      </c>
      <c r="CU10" s="33"/>
      <c r="CV10" s="30"/>
      <c r="CW10" s="2">
        <f t="shared" si="32"/>
        <v>0</v>
      </c>
      <c r="CX10" s="33"/>
      <c r="CY10" s="30"/>
      <c r="CZ10" s="2">
        <f t="shared" si="33"/>
        <v>0</v>
      </c>
      <c r="DA10" s="33"/>
      <c r="DB10" s="30"/>
      <c r="DC10" s="2">
        <f t="shared" si="34"/>
        <v>0</v>
      </c>
      <c r="DD10" s="33"/>
      <c r="DE10" s="30"/>
      <c r="DF10" s="2">
        <f t="shared" si="35"/>
        <v>0</v>
      </c>
      <c r="DG10" s="33"/>
      <c r="DH10" s="30"/>
      <c r="DI10" s="2">
        <f t="shared" si="36"/>
        <v>0</v>
      </c>
      <c r="DJ10" s="33"/>
      <c r="DK10" s="30"/>
      <c r="DL10" s="2">
        <f t="shared" si="37"/>
        <v>0</v>
      </c>
      <c r="DM10" s="33"/>
      <c r="DN10" s="30"/>
      <c r="DO10" s="2">
        <f t="shared" si="38"/>
        <v>0</v>
      </c>
      <c r="DP10" s="70">
        <f t="shared" si="39"/>
        <v>0</v>
      </c>
      <c r="DQ10" s="67">
        <f t="shared" si="39"/>
        <v>0</v>
      </c>
      <c r="DR10" s="51">
        <f t="shared" si="39"/>
        <v>0</v>
      </c>
      <c r="DS10" s="52">
        <f t="shared" si="40"/>
        <v>0</v>
      </c>
      <c r="DT10" s="53">
        <f t="shared" si="41"/>
        <v>0</v>
      </c>
      <c r="DU10" s="54">
        <f t="shared" si="41"/>
        <v>0</v>
      </c>
    </row>
    <row r="11" spans="1:125" s="26" customFormat="1" ht="17.100000000000001" customHeight="1" thickBot="1" x14ac:dyDescent="0.25">
      <c r="A11" s="93" t="s">
        <v>31</v>
      </c>
      <c r="B11" s="19">
        <v>8000</v>
      </c>
      <c r="C11" s="29"/>
      <c r="D11" s="30"/>
      <c r="E11" s="2">
        <f t="shared" si="0"/>
        <v>0</v>
      </c>
      <c r="F11" s="29"/>
      <c r="G11" s="30"/>
      <c r="H11" s="64">
        <f t="shared" si="1"/>
        <v>0</v>
      </c>
      <c r="I11" s="31"/>
      <c r="J11" s="156"/>
      <c r="K11" s="2">
        <f t="shared" si="2"/>
        <v>0</v>
      </c>
      <c r="L11" s="159"/>
      <c r="M11" s="30"/>
      <c r="N11" s="2">
        <f t="shared" si="3"/>
        <v>0</v>
      </c>
      <c r="O11" s="128"/>
      <c r="P11" s="30"/>
      <c r="Q11" s="2">
        <f t="shared" si="4"/>
        <v>0</v>
      </c>
      <c r="R11" s="31"/>
      <c r="S11" s="30"/>
      <c r="T11" s="2">
        <f t="shared" si="5"/>
        <v>0</v>
      </c>
      <c r="U11" s="33"/>
      <c r="V11" s="30"/>
      <c r="W11" s="64">
        <f t="shared" si="6"/>
        <v>0</v>
      </c>
      <c r="X11" s="70">
        <f t="shared" si="7"/>
        <v>0</v>
      </c>
      <c r="Y11" s="67">
        <f t="shared" si="7"/>
        <v>0</v>
      </c>
      <c r="Z11" s="73">
        <f t="shared" si="7"/>
        <v>0</v>
      </c>
      <c r="AA11" s="35"/>
      <c r="AB11" s="30"/>
      <c r="AC11" s="2">
        <f t="shared" si="8"/>
        <v>0</v>
      </c>
      <c r="AD11" s="33"/>
      <c r="AE11" s="30"/>
      <c r="AF11" s="2">
        <f t="shared" si="9"/>
        <v>0</v>
      </c>
      <c r="AG11" s="33"/>
      <c r="AH11" s="30"/>
      <c r="AI11" s="2">
        <f t="shared" si="10"/>
        <v>0</v>
      </c>
      <c r="AJ11" s="33"/>
      <c r="AK11" s="30"/>
      <c r="AL11" s="2">
        <f t="shared" si="11"/>
        <v>0</v>
      </c>
      <c r="AM11" s="33"/>
      <c r="AN11" s="30"/>
      <c r="AO11" s="2">
        <f t="shared" si="12"/>
        <v>0</v>
      </c>
      <c r="AP11" s="33"/>
      <c r="AQ11" s="99"/>
      <c r="AR11" s="2">
        <f t="shared" si="13"/>
        <v>0</v>
      </c>
      <c r="AS11" s="33"/>
      <c r="AT11" s="30"/>
      <c r="AU11" s="2">
        <f t="shared" si="14"/>
        <v>0</v>
      </c>
      <c r="AV11" s="70">
        <f t="shared" si="15"/>
        <v>0</v>
      </c>
      <c r="AW11" s="67">
        <f t="shared" si="15"/>
        <v>0</v>
      </c>
      <c r="AX11" s="51">
        <f t="shared" si="15"/>
        <v>0</v>
      </c>
      <c r="AY11" s="33"/>
      <c r="AZ11" s="30"/>
      <c r="BA11" s="2">
        <f t="shared" si="16"/>
        <v>0</v>
      </c>
      <c r="BB11" s="33"/>
      <c r="BC11" s="30"/>
      <c r="BD11" s="2">
        <f t="shared" si="17"/>
        <v>0</v>
      </c>
      <c r="BE11" s="33"/>
      <c r="BF11" s="30"/>
      <c r="BG11" s="2">
        <f t="shared" si="18"/>
        <v>0</v>
      </c>
      <c r="BH11" s="33"/>
      <c r="BI11" s="30"/>
      <c r="BJ11" s="2">
        <f t="shared" si="19"/>
        <v>0</v>
      </c>
      <c r="BK11" s="33"/>
      <c r="BL11" s="30"/>
      <c r="BM11" s="2">
        <f t="shared" si="20"/>
        <v>0</v>
      </c>
      <c r="BN11" s="33"/>
      <c r="BO11" s="30"/>
      <c r="BP11" s="2">
        <f t="shared" si="21"/>
        <v>0</v>
      </c>
      <c r="BQ11" s="33"/>
      <c r="BR11" s="30"/>
      <c r="BS11" s="2">
        <f t="shared" si="22"/>
        <v>0</v>
      </c>
      <c r="BT11" s="70">
        <f t="shared" si="23"/>
        <v>0</v>
      </c>
      <c r="BU11" s="67">
        <f t="shared" si="23"/>
        <v>0</v>
      </c>
      <c r="BV11" s="51">
        <f t="shared" si="23"/>
        <v>0</v>
      </c>
      <c r="BW11" s="33"/>
      <c r="BX11" s="30"/>
      <c r="BY11" s="2">
        <f t="shared" si="24"/>
        <v>0</v>
      </c>
      <c r="BZ11" s="33"/>
      <c r="CA11" s="30"/>
      <c r="CB11" s="2">
        <f t="shared" si="25"/>
        <v>0</v>
      </c>
      <c r="CC11" s="33"/>
      <c r="CD11" s="30"/>
      <c r="CE11" s="2">
        <f t="shared" si="26"/>
        <v>0</v>
      </c>
      <c r="CF11" s="33"/>
      <c r="CG11" s="30"/>
      <c r="CH11" s="2">
        <f t="shared" si="27"/>
        <v>0</v>
      </c>
      <c r="CI11" s="33"/>
      <c r="CJ11" s="30"/>
      <c r="CK11" s="2">
        <f t="shared" si="28"/>
        <v>0</v>
      </c>
      <c r="CL11" s="33"/>
      <c r="CM11" s="30"/>
      <c r="CN11" s="2">
        <f t="shared" si="29"/>
        <v>0</v>
      </c>
      <c r="CO11" s="33"/>
      <c r="CP11" s="30"/>
      <c r="CQ11" s="2">
        <f t="shared" si="30"/>
        <v>0</v>
      </c>
      <c r="CR11" s="70">
        <f t="shared" si="31"/>
        <v>0</v>
      </c>
      <c r="CS11" s="67">
        <f t="shared" si="31"/>
        <v>0</v>
      </c>
      <c r="CT11" s="51">
        <f t="shared" si="31"/>
        <v>0</v>
      </c>
      <c r="CU11" s="33"/>
      <c r="CV11" s="30"/>
      <c r="CW11" s="2">
        <f t="shared" si="32"/>
        <v>0</v>
      </c>
      <c r="CX11" s="33"/>
      <c r="CY11" s="30"/>
      <c r="CZ11" s="2">
        <f t="shared" si="33"/>
        <v>0</v>
      </c>
      <c r="DA11" s="33"/>
      <c r="DB11" s="30"/>
      <c r="DC11" s="2">
        <f t="shared" si="34"/>
        <v>0</v>
      </c>
      <c r="DD11" s="33"/>
      <c r="DE11" s="30"/>
      <c r="DF11" s="2">
        <f t="shared" si="35"/>
        <v>0</v>
      </c>
      <c r="DG11" s="33"/>
      <c r="DH11" s="30"/>
      <c r="DI11" s="2">
        <f t="shared" si="36"/>
        <v>0</v>
      </c>
      <c r="DJ11" s="33"/>
      <c r="DK11" s="30"/>
      <c r="DL11" s="2">
        <f t="shared" si="37"/>
        <v>0</v>
      </c>
      <c r="DM11" s="33"/>
      <c r="DN11" s="30"/>
      <c r="DO11" s="2">
        <f t="shared" si="38"/>
        <v>0</v>
      </c>
      <c r="DP11" s="70">
        <f t="shared" si="39"/>
        <v>0</v>
      </c>
      <c r="DQ11" s="67">
        <f t="shared" si="39"/>
        <v>0</v>
      </c>
      <c r="DR11" s="51">
        <f t="shared" si="39"/>
        <v>0</v>
      </c>
      <c r="DS11" s="52">
        <f t="shared" si="40"/>
        <v>0</v>
      </c>
      <c r="DT11" s="53">
        <f t="shared" si="41"/>
        <v>0</v>
      </c>
      <c r="DU11" s="54">
        <f t="shared" si="41"/>
        <v>0</v>
      </c>
    </row>
    <row r="12" spans="1:125" s="26" customFormat="1" ht="17.100000000000001" customHeight="1" thickBot="1" x14ac:dyDescent="0.25">
      <c r="A12" s="93" t="s">
        <v>68</v>
      </c>
      <c r="B12" s="19">
        <v>7000</v>
      </c>
      <c r="C12" s="29"/>
      <c r="D12" s="30"/>
      <c r="E12" s="2">
        <f t="shared" si="0"/>
        <v>0</v>
      </c>
      <c r="F12" s="29"/>
      <c r="G12" s="30"/>
      <c r="H12" s="64">
        <f t="shared" si="1"/>
        <v>0</v>
      </c>
      <c r="I12" s="31"/>
      <c r="J12" s="156"/>
      <c r="K12" s="2">
        <f t="shared" si="2"/>
        <v>0</v>
      </c>
      <c r="L12" s="158"/>
      <c r="M12" s="30"/>
      <c r="N12" s="2">
        <f t="shared" si="3"/>
        <v>0</v>
      </c>
      <c r="O12" s="128"/>
      <c r="P12" s="30"/>
      <c r="Q12" s="2">
        <f t="shared" si="4"/>
        <v>0</v>
      </c>
      <c r="R12" s="31"/>
      <c r="S12" s="30"/>
      <c r="T12" s="2">
        <f t="shared" si="5"/>
        <v>0</v>
      </c>
      <c r="U12" s="33"/>
      <c r="V12" s="30"/>
      <c r="W12" s="64">
        <f t="shared" si="6"/>
        <v>0</v>
      </c>
      <c r="X12" s="70">
        <f t="shared" si="7"/>
        <v>0</v>
      </c>
      <c r="Y12" s="67">
        <f t="shared" si="7"/>
        <v>0</v>
      </c>
      <c r="Z12" s="73">
        <f t="shared" si="7"/>
        <v>0</v>
      </c>
      <c r="AA12" s="35"/>
      <c r="AB12" s="30"/>
      <c r="AC12" s="2">
        <f t="shared" si="8"/>
        <v>0</v>
      </c>
      <c r="AD12" s="33"/>
      <c r="AE12" s="30"/>
      <c r="AF12" s="2">
        <f t="shared" si="9"/>
        <v>0</v>
      </c>
      <c r="AG12" s="33"/>
      <c r="AH12" s="30"/>
      <c r="AI12" s="2">
        <f t="shared" si="10"/>
        <v>0</v>
      </c>
      <c r="AJ12" s="33"/>
      <c r="AK12" s="30"/>
      <c r="AL12" s="2">
        <f t="shared" si="11"/>
        <v>0</v>
      </c>
      <c r="AM12" s="33"/>
      <c r="AN12" s="30"/>
      <c r="AO12" s="2">
        <f t="shared" si="12"/>
        <v>0</v>
      </c>
      <c r="AP12" s="33"/>
      <c r="AQ12" s="30"/>
      <c r="AR12" s="2">
        <f t="shared" si="13"/>
        <v>0</v>
      </c>
      <c r="AS12" s="33"/>
      <c r="AT12" s="30"/>
      <c r="AU12" s="2">
        <f t="shared" si="14"/>
        <v>0</v>
      </c>
      <c r="AV12" s="70">
        <f t="shared" si="15"/>
        <v>0</v>
      </c>
      <c r="AW12" s="67">
        <f t="shared" si="15"/>
        <v>0</v>
      </c>
      <c r="AX12" s="51">
        <f t="shared" si="15"/>
        <v>0</v>
      </c>
      <c r="AY12" s="33"/>
      <c r="AZ12" s="30"/>
      <c r="BA12" s="2">
        <f t="shared" si="16"/>
        <v>0</v>
      </c>
      <c r="BB12" s="33"/>
      <c r="BC12" s="30"/>
      <c r="BD12" s="2">
        <f t="shared" si="17"/>
        <v>0</v>
      </c>
      <c r="BE12" s="33"/>
      <c r="BF12" s="30"/>
      <c r="BG12" s="2">
        <f t="shared" si="18"/>
        <v>0</v>
      </c>
      <c r="BH12" s="33"/>
      <c r="BI12" s="30"/>
      <c r="BJ12" s="2">
        <f t="shared" si="19"/>
        <v>0</v>
      </c>
      <c r="BK12" s="33"/>
      <c r="BL12" s="30"/>
      <c r="BM12" s="2">
        <f t="shared" si="20"/>
        <v>0</v>
      </c>
      <c r="BN12" s="33"/>
      <c r="BO12" s="30"/>
      <c r="BP12" s="2">
        <f t="shared" si="21"/>
        <v>0</v>
      </c>
      <c r="BQ12" s="33"/>
      <c r="BR12" s="30"/>
      <c r="BS12" s="2">
        <f t="shared" si="22"/>
        <v>0</v>
      </c>
      <c r="BT12" s="70">
        <f t="shared" si="23"/>
        <v>0</v>
      </c>
      <c r="BU12" s="67">
        <f t="shared" si="23"/>
        <v>0</v>
      </c>
      <c r="BV12" s="51">
        <f t="shared" si="23"/>
        <v>0</v>
      </c>
      <c r="BW12" s="33"/>
      <c r="BX12" s="30"/>
      <c r="BY12" s="2">
        <f t="shared" si="24"/>
        <v>0</v>
      </c>
      <c r="BZ12" s="33"/>
      <c r="CA12" s="30"/>
      <c r="CB12" s="2">
        <f t="shared" si="25"/>
        <v>0</v>
      </c>
      <c r="CC12" s="33"/>
      <c r="CD12" s="30"/>
      <c r="CE12" s="2">
        <f t="shared" si="26"/>
        <v>0</v>
      </c>
      <c r="CF12" s="33"/>
      <c r="CG12" s="30"/>
      <c r="CH12" s="2">
        <f t="shared" si="27"/>
        <v>0</v>
      </c>
      <c r="CI12" s="33"/>
      <c r="CJ12" s="30"/>
      <c r="CK12" s="2">
        <f t="shared" si="28"/>
        <v>0</v>
      </c>
      <c r="CL12" s="33"/>
      <c r="CM12" s="30"/>
      <c r="CN12" s="2">
        <f t="shared" si="29"/>
        <v>0</v>
      </c>
      <c r="CO12" s="33"/>
      <c r="CP12" s="30"/>
      <c r="CQ12" s="2">
        <f t="shared" si="30"/>
        <v>0</v>
      </c>
      <c r="CR12" s="70">
        <f t="shared" si="31"/>
        <v>0</v>
      </c>
      <c r="CS12" s="67">
        <f t="shared" si="31"/>
        <v>0</v>
      </c>
      <c r="CT12" s="51">
        <f t="shared" si="31"/>
        <v>0</v>
      </c>
      <c r="CU12" s="33"/>
      <c r="CV12" s="30"/>
      <c r="CW12" s="2">
        <f t="shared" si="32"/>
        <v>0</v>
      </c>
      <c r="CX12" s="33"/>
      <c r="CY12" s="30"/>
      <c r="CZ12" s="2">
        <f t="shared" si="33"/>
        <v>0</v>
      </c>
      <c r="DA12" s="33"/>
      <c r="DB12" s="30"/>
      <c r="DC12" s="2">
        <f t="shared" si="34"/>
        <v>0</v>
      </c>
      <c r="DD12" s="33"/>
      <c r="DE12" s="30"/>
      <c r="DF12" s="2">
        <f t="shared" si="35"/>
        <v>0</v>
      </c>
      <c r="DG12" s="33"/>
      <c r="DH12" s="30"/>
      <c r="DI12" s="2">
        <f t="shared" si="36"/>
        <v>0</v>
      </c>
      <c r="DJ12" s="33"/>
      <c r="DK12" s="30"/>
      <c r="DL12" s="2">
        <f t="shared" si="37"/>
        <v>0</v>
      </c>
      <c r="DM12" s="33"/>
      <c r="DN12" s="30"/>
      <c r="DO12" s="2">
        <f t="shared" si="38"/>
        <v>0</v>
      </c>
      <c r="DP12" s="70">
        <f t="shared" si="39"/>
        <v>0</v>
      </c>
      <c r="DQ12" s="67">
        <f t="shared" si="39"/>
        <v>0</v>
      </c>
      <c r="DR12" s="51">
        <f t="shared" si="39"/>
        <v>0</v>
      </c>
      <c r="DS12" s="52">
        <f t="shared" si="40"/>
        <v>0</v>
      </c>
      <c r="DT12" s="53">
        <f t="shared" si="41"/>
        <v>0</v>
      </c>
      <c r="DU12" s="54">
        <f t="shared" si="41"/>
        <v>0</v>
      </c>
    </row>
    <row r="13" spans="1:125" s="26" customFormat="1" ht="17.100000000000001" customHeight="1" thickBot="1" x14ac:dyDescent="0.25">
      <c r="A13" s="93" t="s">
        <v>70</v>
      </c>
      <c r="B13" s="19">
        <v>8000</v>
      </c>
      <c r="C13" s="29"/>
      <c r="D13" s="30"/>
      <c r="E13" s="2">
        <f t="shared" si="0"/>
        <v>0</v>
      </c>
      <c r="F13" s="29"/>
      <c r="G13" s="30"/>
      <c r="H13" s="64">
        <f t="shared" si="1"/>
        <v>0</v>
      </c>
      <c r="I13" s="31"/>
      <c r="J13" s="156"/>
      <c r="K13" s="2">
        <f t="shared" si="2"/>
        <v>0</v>
      </c>
      <c r="L13" s="158"/>
      <c r="M13" s="30"/>
      <c r="N13" s="2">
        <f t="shared" si="3"/>
        <v>0</v>
      </c>
      <c r="O13" s="128"/>
      <c r="P13" s="30"/>
      <c r="Q13" s="2">
        <f t="shared" si="4"/>
        <v>0</v>
      </c>
      <c r="R13" s="31"/>
      <c r="S13" s="30"/>
      <c r="T13" s="2">
        <f t="shared" si="5"/>
        <v>0</v>
      </c>
      <c r="U13" s="33"/>
      <c r="V13" s="30"/>
      <c r="W13" s="64">
        <f t="shared" si="6"/>
        <v>0</v>
      </c>
      <c r="X13" s="70">
        <f t="shared" si="7"/>
        <v>0</v>
      </c>
      <c r="Y13" s="67">
        <f t="shared" si="7"/>
        <v>0</v>
      </c>
      <c r="Z13" s="73">
        <f t="shared" si="7"/>
        <v>0</v>
      </c>
      <c r="AA13" s="35"/>
      <c r="AB13" s="30"/>
      <c r="AC13" s="2">
        <f t="shared" si="8"/>
        <v>0</v>
      </c>
      <c r="AD13" s="33"/>
      <c r="AE13" s="30"/>
      <c r="AF13" s="2">
        <f t="shared" si="9"/>
        <v>0</v>
      </c>
      <c r="AG13" s="33"/>
      <c r="AH13" s="30"/>
      <c r="AI13" s="2">
        <f t="shared" si="10"/>
        <v>0</v>
      </c>
      <c r="AJ13" s="33"/>
      <c r="AK13" s="30"/>
      <c r="AL13" s="2">
        <f t="shared" si="11"/>
        <v>0</v>
      </c>
      <c r="AM13" s="33"/>
      <c r="AN13" s="30"/>
      <c r="AO13" s="2">
        <f t="shared" si="12"/>
        <v>0</v>
      </c>
      <c r="AP13" s="33"/>
      <c r="AQ13" s="30"/>
      <c r="AR13" s="2">
        <f t="shared" si="13"/>
        <v>0</v>
      </c>
      <c r="AS13" s="33"/>
      <c r="AT13" s="30"/>
      <c r="AU13" s="2">
        <f t="shared" si="14"/>
        <v>0</v>
      </c>
      <c r="AV13" s="70">
        <f t="shared" si="15"/>
        <v>0</v>
      </c>
      <c r="AW13" s="67">
        <f t="shared" si="15"/>
        <v>0</v>
      </c>
      <c r="AX13" s="51">
        <f t="shared" si="15"/>
        <v>0</v>
      </c>
      <c r="AY13" s="33"/>
      <c r="AZ13" s="30"/>
      <c r="BA13" s="2">
        <f t="shared" si="16"/>
        <v>0</v>
      </c>
      <c r="BB13" s="33"/>
      <c r="BC13" s="30"/>
      <c r="BD13" s="2">
        <f t="shared" si="17"/>
        <v>0</v>
      </c>
      <c r="BE13" s="33"/>
      <c r="BF13" s="30"/>
      <c r="BG13" s="2">
        <f t="shared" si="18"/>
        <v>0</v>
      </c>
      <c r="BH13" s="33"/>
      <c r="BI13" s="30"/>
      <c r="BJ13" s="2">
        <f t="shared" si="19"/>
        <v>0</v>
      </c>
      <c r="BK13" s="33"/>
      <c r="BL13" s="30"/>
      <c r="BM13" s="2">
        <f t="shared" si="20"/>
        <v>0</v>
      </c>
      <c r="BN13" s="33"/>
      <c r="BO13" s="30"/>
      <c r="BP13" s="2">
        <f t="shared" si="21"/>
        <v>0</v>
      </c>
      <c r="BQ13" s="33"/>
      <c r="BR13" s="30"/>
      <c r="BS13" s="2">
        <f t="shared" si="22"/>
        <v>0</v>
      </c>
      <c r="BT13" s="70">
        <f t="shared" si="23"/>
        <v>0</v>
      </c>
      <c r="BU13" s="67">
        <f t="shared" si="23"/>
        <v>0</v>
      </c>
      <c r="BV13" s="51">
        <f t="shared" si="23"/>
        <v>0</v>
      </c>
      <c r="BW13" s="33"/>
      <c r="BX13" s="30"/>
      <c r="BY13" s="2">
        <f t="shared" si="24"/>
        <v>0</v>
      </c>
      <c r="BZ13" s="33"/>
      <c r="CA13" s="30"/>
      <c r="CB13" s="2">
        <f t="shared" si="25"/>
        <v>0</v>
      </c>
      <c r="CC13" s="33"/>
      <c r="CD13" s="30"/>
      <c r="CE13" s="2">
        <f t="shared" si="26"/>
        <v>0</v>
      </c>
      <c r="CF13" s="33"/>
      <c r="CG13" s="30"/>
      <c r="CH13" s="2">
        <f t="shared" si="27"/>
        <v>0</v>
      </c>
      <c r="CI13" s="33"/>
      <c r="CJ13" s="30"/>
      <c r="CK13" s="2">
        <f t="shared" si="28"/>
        <v>0</v>
      </c>
      <c r="CL13" s="33"/>
      <c r="CM13" s="30"/>
      <c r="CN13" s="2">
        <f t="shared" si="29"/>
        <v>0</v>
      </c>
      <c r="CO13" s="33"/>
      <c r="CP13" s="30"/>
      <c r="CQ13" s="2">
        <f t="shared" si="30"/>
        <v>0</v>
      </c>
      <c r="CR13" s="70">
        <f t="shared" si="31"/>
        <v>0</v>
      </c>
      <c r="CS13" s="67">
        <f t="shared" si="31"/>
        <v>0</v>
      </c>
      <c r="CT13" s="51">
        <f t="shared" si="31"/>
        <v>0</v>
      </c>
      <c r="CU13" s="33"/>
      <c r="CV13" s="30"/>
      <c r="CW13" s="2">
        <f t="shared" si="32"/>
        <v>0</v>
      </c>
      <c r="CX13" s="33"/>
      <c r="CY13" s="30"/>
      <c r="CZ13" s="2">
        <f t="shared" si="33"/>
        <v>0</v>
      </c>
      <c r="DA13" s="33"/>
      <c r="DB13" s="30"/>
      <c r="DC13" s="2">
        <f t="shared" si="34"/>
        <v>0</v>
      </c>
      <c r="DD13" s="33"/>
      <c r="DE13" s="30"/>
      <c r="DF13" s="2">
        <f t="shared" si="35"/>
        <v>0</v>
      </c>
      <c r="DG13" s="33"/>
      <c r="DH13" s="30"/>
      <c r="DI13" s="2">
        <f t="shared" si="36"/>
        <v>0</v>
      </c>
      <c r="DJ13" s="33"/>
      <c r="DK13" s="30"/>
      <c r="DL13" s="2">
        <f t="shared" si="37"/>
        <v>0</v>
      </c>
      <c r="DM13" s="33"/>
      <c r="DN13" s="30"/>
      <c r="DO13" s="2">
        <f t="shared" si="38"/>
        <v>0</v>
      </c>
      <c r="DP13" s="70">
        <f t="shared" si="39"/>
        <v>0</v>
      </c>
      <c r="DQ13" s="67">
        <f t="shared" si="39"/>
        <v>0</v>
      </c>
      <c r="DR13" s="51">
        <f t="shared" si="39"/>
        <v>0</v>
      </c>
      <c r="DS13" s="52">
        <f t="shared" si="40"/>
        <v>0</v>
      </c>
      <c r="DT13" s="53">
        <f t="shared" si="41"/>
        <v>0</v>
      </c>
      <c r="DU13" s="54">
        <f t="shared" si="41"/>
        <v>0</v>
      </c>
    </row>
    <row r="14" spans="1:125" s="26" customFormat="1" ht="17.100000000000001" customHeight="1" thickBot="1" x14ac:dyDescent="0.25">
      <c r="A14" s="93" t="s">
        <v>32</v>
      </c>
      <c r="B14" s="19">
        <v>8000</v>
      </c>
      <c r="C14" s="29"/>
      <c r="D14" s="30"/>
      <c r="E14" s="2">
        <f t="shared" si="0"/>
        <v>0</v>
      </c>
      <c r="F14" s="29"/>
      <c r="G14" s="30"/>
      <c r="H14" s="64">
        <f t="shared" si="1"/>
        <v>0</v>
      </c>
      <c r="I14" s="31"/>
      <c r="J14" s="156"/>
      <c r="K14" s="2">
        <f t="shared" si="2"/>
        <v>0</v>
      </c>
      <c r="L14" s="158"/>
      <c r="M14" s="30"/>
      <c r="N14" s="2">
        <f t="shared" si="3"/>
        <v>0</v>
      </c>
      <c r="O14" s="128"/>
      <c r="P14" s="30"/>
      <c r="Q14" s="2">
        <f t="shared" si="4"/>
        <v>0</v>
      </c>
      <c r="R14" s="31"/>
      <c r="S14" s="30"/>
      <c r="T14" s="2">
        <f t="shared" si="5"/>
        <v>0</v>
      </c>
      <c r="U14" s="33"/>
      <c r="V14" s="30"/>
      <c r="W14" s="64">
        <f t="shared" si="6"/>
        <v>0</v>
      </c>
      <c r="X14" s="70">
        <f t="shared" si="7"/>
        <v>0</v>
      </c>
      <c r="Y14" s="67">
        <f t="shared" si="7"/>
        <v>0</v>
      </c>
      <c r="Z14" s="73">
        <f t="shared" si="7"/>
        <v>0</v>
      </c>
      <c r="AA14" s="35"/>
      <c r="AB14" s="30"/>
      <c r="AC14" s="2">
        <f t="shared" si="8"/>
        <v>0</v>
      </c>
      <c r="AD14" s="33"/>
      <c r="AE14" s="30"/>
      <c r="AF14" s="2">
        <f t="shared" si="9"/>
        <v>0</v>
      </c>
      <c r="AG14" s="33"/>
      <c r="AH14" s="30"/>
      <c r="AI14" s="2">
        <f t="shared" si="10"/>
        <v>0</v>
      </c>
      <c r="AJ14" s="33"/>
      <c r="AK14" s="30"/>
      <c r="AL14" s="2">
        <f t="shared" si="11"/>
        <v>0</v>
      </c>
      <c r="AM14" s="33"/>
      <c r="AN14" s="30"/>
      <c r="AO14" s="2">
        <f t="shared" si="12"/>
        <v>0</v>
      </c>
      <c r="AP14" s="33"/>
      <c r="AQ14" s="30"/>
      <c r="AR14" s="2">
        <f t="shared" si="13"/>
        <v>0</v>
      </c>
      <c r="AS14" s="33"/>
      <c r="AT14" s="30"/>
      <c r="AU14" s="2">
        <f t="shared" si="14"/>
        <v>0</v>
      </c>
      <c r="AV14" s="70">
        <f t="shared" si="15"/>
        <v>0</v>
      </c>
      <c r="AW14" s="67">
        <f t="shared" si="15"/>
        <v>0</v>
      </c>
      <c r="AX14" s="51">
        <f t="shared" si="15"/>
        <v>0</v>
      </c>
      <c r="AY14" s="33"/>
      <c r="AZ14" s="30"/>
      <c r="BA14" s="2">
        <f t="shared" si="16"/>
        <v>0</v>
      </c>
      <c r="BB14" s="33"/>
      <c r="BC14" s="30"/>
      <c r="BD14" s="2">
        <f t="shared" si="17"/>
        <v>0</v>
      </c>
      <c r="BE14" s="33"/>
      <c r="BF14" s="30"/>
      <c r="BG14" s="2">
        <f t="shared" si="18"/>
        <v>0</v>
      </c>
      <c r="BH14" s="33"/>
      <c r="BI14" s="30"/>
      <c r="BJ14" s="2">
        <f t="shared" si="19"/>
        <v>0</v>
      </c>
      <c r="BK14" s="33"/>
      <c r="BL14" s="30"/>
      <c r="BM14" s="2">
        <f t="shared" si="20"/>
        <v>0</v>
      </c>
      <c r="BN14" s="33"/>
      <c r="BO14" s="30"/>
      <c r="BP14" s="2">
        <f t="shared" si="21"/>
        <v>0</v>
      </c>
      <c r="BQ14" s="33"/>
      <c r="BR14" s="30"/>
      <c r="BS14" s="2">
        <f t="shared" si="22"/>
        <v>0</v>
      </c>
      <c r="BT14" s="70">
        <f t="shared" si="23"/>
        <v>0</v>
      </c>
      <c r="BU14" s="67">
        <f t="shared" si="23"/>
        <v>0</v>
      </c>
      <c r="BV14" s="51">
        <f t="shared" si="23"/>
        <v>0</v>
      </c>
      <c r="BW14" s="33"/>
      <c r="BX14" s="30"/>
      <c r="BY14" s="2">
        <f t="shared" si="24"/>
        <v>0</v>
      </c>
      <c r="BZ14" s="33"/>
      <c r="CA14" s="30"/>
      <c r="CB14" s="2">
        <f t="shared" si="25"/>
        <v>0</v>
      </c>
      <c r="CC14" s="33"/>
      <c r="CD14" s="30"/>
      <c r="CE14" s="2">
        <f t="shared" si="26"/>
        <v>0</v>
      </c>
      <c r="CF14" s="33"/>
      <c r="CG14" s="30"/>
      <c r="CH14" s="2">
        <f t="shared" si="27"/>
        <v>0</v>
      </c>
      <c r="CI14" s="33"/>
      <c r="CJ14" s="30"/>
      <c r="CK14" s="2">
        <f t="shared" si="28"/>
        <v>0</v>
      </c>
      <c r="CL14" s="33"/>
      <c r="CM14" s="30"/>
      <c r="CN14" s="2">
        <f t="shared" si="29"/>
        <v>0</v>
      </c>
      <c r="CO14" s="33"/>
      <c r="CP14" s="30"/>
      <c r="CQ14" s="2">
        <f t="shared" si="30"/>
        <v>0</v>
      </c>
      <c r="CR14" s="70">
        <f t="shared" si="31"/>
        <v>0</v>
      </c>
      <c r="CS14" s="67">
        <f t="shared" si="31"/>
        <v>0</v>
      </c>
      <c r="CT14" s="51">
        <f t="shared" si="31"/>
        <v>0</v>
      </c>
      <c r="CU14" s="33"/>
      <c r="CV14" s="30"/>
      <c r="CW14" s="2">
        <f t="shared" si="32"/>
        <v>0</v>
      </c>
      <c r="CX14" s="33"/>
      <c r="CY14" s="30"/>
      <c r="CZ14" s="2">
        <f t="shared" si="33"/>
        <v>0</v>
      </c>
      <c r="DA14" s="33"/>
      <c r="DB14" s="30"/>
      <c r="DC14" s="2">
        <f t="shared" si="34"/>
        <v>0</v>
      </c>
      <c r="DD14" s="33"/>
      <c r="DE14" s="30"/>
      <c r="DF14" s="2">
        <f t="shared" si="35"/>
        <v>0</v>
      </c>
      <c r="DG14" s="33"/>
      <c r="DH14" s="30"/>
      <c r="DI14" s="2">
        <f t="shared" si="36"/>
        <v>0</v>
      </c>
      <c r="DJ14" s="33"/>
      <c r="DK14" s="30"/>
      <c r="DL14" s="2">
        <f t="shared" si="37"/>
        <v>0</v>
      </c>
      <c r="DM14" s="33"/>
      <c r="DN14" s="30"/>
      <c r="DO14" s="2">
        <f t="shared" si="38"/>
        <v>0</v>
      </c>
      <c r="DP14" s="70">
        <f t="shared" si="39"/>
        <v>0</v>
      </c>
      <c r="DQ14" s="67">
        <f t="shared" si="39"/>
        <v>0</v>
      </c>
      <c r="DR14" s="51">
        <f t="shared" si="39"/>
        <v>0</v>
      </c>
      <c r="DS14" s="52">
        <f t="shared" si="40"/>
        <v>0</v>
      </c>
      <c r="DT14" s="53">
        <f t="shared" si="41"/>
        <v>0</v>
      </c>
      <c r="DU14" s="54">
        <f t="shared" si="41"/>
        <v>0</v>
      </c>
    </row>
    <row r="15" spans="1:125" s="26" customFormat="1" ht="17.100000000000001" customHeight="1" thickBot="1" x14ac:dyDescent="0.25">
      <c r="A15" s="93" t="s">
        <v>36</v>
      </c>
      <c r="B15" s="19">
        <v>8000</v>
      </c>
      <c r="C15" s="29"/>
      <c r="D15" s="30"/>
      <c r="E15" s="2">
        <f t="shared" si="0"/>
        <v>0</v>
      </c>
      <c r="F15" s="29"/>
      <c r="G15" s="30"/>
      <c r="H15" s="64">
        <f t="shared" si="1"/>
        <v>0</v>
      </c>
      <c r="I15" s="31"/>
      <c r="J15" s="156"/>
      <c r="K15" s="2">
        <f t="shared" si="2"/>
        <v>0</v>
      </c>
      <c r="L15" s="158"/>
      <c r="M15" s="30"/>
      <c r="N15" s="2">
        <f t="shared" si="3"/>
        <v>0</v>
      </c>
      <c r="O15" s="128"/>
      <c r="P15" s="30"/>
      <c r="Q15" s="2">
        <f t="shared" si="4"/>
        <v>0</v>
      </c>
      <c r="R15" s="31"/>
      <c r="S15" s="30"/>
      <c r="T15" s="2">
        <f t="shared" si="5"/>
        <v>0</v>
      </c>
      <c r="U15" s="33"/>
      <c r="V15" s="30"/>
      <c r="W15" s="64">
        <f t="shared" si="6"/>
        <v>0</v>
      </c>
      <c r="X15" s="70">
        <f t="shared" si="7"/>
        <v>0</v>
      </c>
      <c r="Y15" s="67">
        <f t="shared" si="7"/>
        <v>0</v>
      </c>
      <c r="Z15" s="73">
        <f t="shared" si="7"/>
        <v>0</v>
      </c>
      <c r="AA15" s="35"/>
      <c r="AB15" s="30"/>
      <c r="AC15" s="2">
        <f t="shared" si="8"/>
        <v>0</v>
      </c>
      <c r="AD15" s="33"/>
      <c r="AE15" s="30"/>
      <c r="AF15" s="2">
        <f t="shared" si="9"/>
        <v>0</v>
      </c>
      <c r="AG15" s="33"/>
      <c r="AH15" s="30"/>
      <c r="AI15" s="2">
        <f t="shared" si="10"/>
        <v>0</v>
      </c>
      <c r="AJ15" s="33"/>
      <c r="AK15" s="30"/>
      <c r="AL15" s="2">
        <f t="shared" si="11"/>
        <v>0</v>
      </c>
      <c r="AM15" s="33"/>
      <c r="AN15" s="30"/>
      <c r="AO15" s="2">
        <f t="shared" si="12"/>
        <v>0</v>
      </c>
      <c r="AP15" s="33"/>
      <c r="AQ15" s="30"/>
      <c r="AR15" s="2">
        <f t="shared" si="13"/>
        <v>0</v>
      </c>
      <c r="AS15" s="33"/>
      <c r="AT15" s="30"/>
      <c r="AU15" s="2">
        <f t="shared" si="14"/>
        <v>0</v>
      </c>
      <c r="AV15" s="70">
        <f t="shared" si="15"/>
        <v>0</v>
      </c>
      <c r="AW15" s="67">
        <f t="shared" si="15"/>
        <v>0</v>
      </c>
      <c r="AX15" s="51">
        <f t="shared" si="15"/>
        <v>0</v>
      </c>
      <c r="AY15" s="33"/>
      <c r="AZ15" s="30"/>
      <c r="BA15" s="2">
        <f t="shared" si="16"/>
        <v>0</v>
      </c>
      <c r="BB15" s="33"/>
      <c r="BC15" s="30"/>
      <c r="BD15" s="2">
        <f t="shared" si="17"/>
        <v>0</v>
      </c>
      <c r="BE15" s="33"/>
      <c r="BF15" s="30"/>
      <c r="BG15" s="2">
        <f t="shared" si="18"/>
        <v>0</v>
      </c>
      <c r="BH15" s="33"/>
      <c r="BI15" s="30"/>
      <c r="BJ15" s="2">
        <f t="shared" si="19"/>
        <v>0</v>
      </c>
      <c r="BK15" s="33"/>
      <c r="BL15" s="30"/>
      <c r="BM15" s="2">
        <f t="shared" si="20"/>
        <v>0</v>
      </c>
      <c r="BN15" s="33"/>
      <c r="BO15" s="30"/>
      <c r="BP15" s="2">
        <f t="shared" si="21"/>
        <v>0</v>
      </c>
      <c r="BQ15" s="33"/>
      <c r="BR15" s="30"/>
      <c r="BS15" s="2">
        <f t="shared" si="22"/>
        <v>0</v>
      </c>
      <c r="BT15" s="70">
        <f t="shared" si="23"/>
        <v>0</v>
      </c>
      <c r="BU15" s="67">
        <f t="shared" si="23"/>
        <v>0</v>
      </c>
      <c r="BV15" s="51">
        <f t="shared" si="23"/>
        <v>0</v>
      </c>
      <c r="BW15" s="33"/>
      <c r="BX15" s="30"/>
      <c r="BY15" s="2">
        <f t="shared" si="24"/>
        <v>0</v>
      </c>
      <c r="BZ15" s="33"/>
      <c r="CA15" s="30"/>
      <c r="CB15" s="2">
        <f t="shared" si="25"/>
        <v>0</v>
      </c>
      <c r="CC15" s="33"/>
      <c r="CD15" s="30"/>
      <c r="CE15" s="2">
        <f t="shared" si="26"/>
        <v>0</v>
      </c>
      <c r="CF15" s="33"/>
      <c r="CG15" s="30"/>
      <c r="CH15" s="2">
        <f t="shared" si="27"/>
        <v>0</v>
      </c>
      <c r="CI15" s="33"/>
      <c r="CJ15" s="30"/>
      <c r="CK15" s="2">
        <f t="shared" si="28"/>
        <v>0</v>
      </c>
      <c r="CL15" s="33"/>
      <c r="CM15" s="30"/>
      <c r="CN15" s="2">
        <f t="shared" si="29"/>
        <v>0</v>
      </c>
      <c r="CO15" s="33"/>
      <c r="CP15" s="30"/>
      <c r="CQ15" s="2">
        <f t="shared" si="30"/>
        <v>0</v>
      </c>
      <c r="CR15" s="70">
        <f t="shared" si="31"/>
        <v>0</v>
      </c>
      <c r="CS15" s="67">
        <f t="shared" si="31"/>
        <v>0</v>
      </c>
      <c r="CT15" s="51">
        <f t="shared" si="31"/>
        <v>0</v>
      </c>
      <c r="CU15" s="33"/>
      <c r="CV15" s="30"/>
      <c r="CW15" s="2">
        <f t="shared" si="32"/>
        <v>0</v>
      </c>
      <c r="CX15" s="33"/>
      <c r="CY15" s="30"/>
      <c r="CZ15" s="2">
        <f t="shared" si="33"/>
        <v>0</v>
      </c>
      <c r="DA15" s="33"/>
      <c r="DB15" s="30"/>
      <c r="DC15" s="2">
        <f t="shared" si="34"/>
        <v>0</v>
      </c>
      <c r="DD15" s="33"/>
      <c r="DE15" s="30"/>
      <c r="DF15" s="2">
        <f t="shared" si="35"/>
        <v>0</v>
      </c>
      <c r="DG15" s="33"/>
      <c r="DH15" s="30"/>
      <c r="DI15" s="2">
        <f t="shared" si="36"/>
        <v>0</v>
      </c>
      <c r="DJ15" s="33"/>
      <c r="DK15" s="30"/>
      <c r="DL15" s="2">
        <f t="shared" si="37"/>
        <v>0</v>
      </c>
      <c r="DM15" s="33"/>
      <c r="DN15" s="30"/>
      <c r="DO15" s="2">
        <f t="shared" si="38"/>
        <v>0</v>
      </c>
      <c r="DP15" s="70">
        <f t="shared" si="39"/>
        <v>0</v>
      </c>
      <c r="DQ15" s="67">
        <f t="shared" si="39"/>
        <v>0</v>
      </c>
      <c r="DR15" s="51">
        <f t="shared" si="39"/>
        <v>0</v>
      </c>
      <c r="DS15" s="52">
        <f t="shared" si="40"/>
        <v>0</v>
      </c>
      <c r="DT15" s="53">
        <f t="shared" si="41"/>
        <v>0</v>
      </c>
      <c r="DU15" s="54">
        <f t="shared" si="41"/>
        <v>0</v>
      </c>
    </row>
    <row r="16" spans="1:125" s="26" customFormat="1" ht="17.100000000000001" customHeight="1" thickBot="1" x14ac:dyDescent="0.25">
      <c r="A16" s="93" t="s">
        <v>33</v>
      </c>
      <c r="B16" s="19">
        <v>8000</v>
      </c>
      <c r="C16" s="29"/>
      <c r="D16" s="30"/>
      <c r="E16" s="2">
        <f t="shared" si="0"/>
        <v>0</v>
      </c>
      <c r="F16" s="29"/>
      <c r="G16" s="30"/>
      <c r="H16" s="64">
        <f t="shared" si="1"/>
        <v>0</v>
      </c>
      <c r="I16" s="31"/>
      <c r="J16" s="156"/>
      <c r="K16" s="2">
        <f t="shared" si="2"/>
        <v>0</v>
      </c>
      <c r="L16" s="158"/>
      <c r="M16" s="30"/>
      <c r="N16" s="2">
        <f t="shared" si="3"/>
        <v>0</v>
      </c>
      <c r="O16" s="128"/>
      <c r="P16" s="30"/>
      <c r="Q16" s="2">
        <f t="shared" si="4"/>
        <v>0</v>
      </c>
      <c r="R16" s="31"/>
      <c r="S16" s="30"/>
      <c r="T16" s="2">
        <f t="shared" si="5"/>
        <v>0</v>
      </c>
      <c r="U16" s="33"/>
      <c r="V16" s="30"/>
      <c r="W16" s="64">
        <f t="shared" si="6"/>
        <v>0</v>
      </c>
      <c r="X16" s="70">
        <f t="shared" si="7"/>
        <v>0</v>
      </c>
      <c r="Y16" s="67">
        <f t="shared" si="7"/>
        <v>0</v>
      </c>
      <c r="Z16" s="73">
        <f t="shared" si="7"/>
        <v>0</v>
      </c>
      <c r="AA16" s="35"/>
      <c r="AB16" s="30"/>
      <c r="AC16" s="2">
        <f t="shared" si="8"/>
        <v>0</v>
      </c>
      <c r="AD16" s="33"/>
      <c r="AE16" s="30"/>
      <c r="AF16" s="2">
        <f t="shared" si="9"/>
        <v>0</v>
      </c>
      <c r="AG16" s="33"/>
      <c r="AH16" s="30"/>
      <c r="AI16" s="2">
        <f t="shared" si="10"/>
        <v>0</v>
      </c>
      <c r="AJ16" s="33"/>
      <c r="AK16" s="30"/>
      <c r="AL16" s="2">
        <f t="shared" si="11"/>
        <v>0</v>
      </c>
      <c r="AM16" s="33"/>
      <c r="AN16" s="30"/>
      <c r="AO16" s="2">
        <f t="shared" si="12"/>
        <v>0</v>
      </c>
      <c r="AP16" s="33"/>
      <c r="AQ16" s="30"/>
      <c r="AR16" s="2">
        <f t="shared" si="13"/>
        <v>0</v>
      </c>
      <c r="AS16" s="33"/>
      <c r="AT16" s="30"/>
      <c r="AU16" s="2">
        <f t="shared" si="14"/>
        <v>0</v>
      </c>
      <c r="AV16" s="70">
        <f t="shared" si="15"/>
        <v>0</v>
      </c>
      <c r="AW16" s="67">
        <f t="shared" si="15"/>
        <v>0</v>
      </c>
      <c r="AX16" s="51">
        <f>AC16+AF16+AI16+AL16+AO16+AR16+AU16</f>
        <v>0</v>
      </c>
      <c r="AY16" s="33"/>
      <c r="AZ16" s="30"/>
      <c r="BA16" s="2">
        <f t="shared" si="16"/>
        <v>0</v>
      </c>
      <c r="BB16" s="33"/>
      <c r="BC16" s="30"/>
      <c r="BD16" s="2">
        <f t="shared" si="17"/>
        <v>0</v>
      </c>
      <c r="BE16" s="33"/>
      <c r="BF16" s="30"/>
      <c r="BG16" s="2">
        <f t="shared" si="18"/>
        <v>0</v>
      </c>
      <c r="BH16" s="33"/>
      <c r="BI16" s="30"/>
      <c r="BJ16" s="2">
        <f t="shared" si="19"/>
        <v>0</v>
      </c>
      <c r="BK16" s="33"/>
      <c r="BL16" s="30"/>
      <c r="BM16" s="2">
        <f t="shared" si="20"/>
        <v>0</v>
      </c>
      <c r="BN16" s="33"/>
      <c r="BO16" s="30"/>
      <c r="BP16" s="2">
        <f t="shared" si="21"/>
        <v>0</v>
      </c>
      <c r="BQ16" s="33"/>
      <c r="BR16" s="30"/>
      <c r="BS16" s="2">
        <f t="shared" si="22"/>
        <v>0</v>
      </c>
      <c r="BT16" s="70">
        <f t="shared" si="23"/>
        <v>0</v>
      </c>
      <c r="BU16" s="67">
        <f t="shared" si="23"/>
        <v>0</v>
      </c>
      <c r="BV16" s="51">
        <f t="shared" si="23"/>
        <v>0</v>
      </c>
      <c r="BW16" s="33"/>
      <c r="BX16" s="30"/>
      <c r="BY16" s="2">
        <f t="shared" si="24"/>
        <v>0</v>
      </c>
      <c r="BZ16" s="33"/>
      <c r="CA16" s="30"/>
      <c r="CB16" s="2">
        <f t="shared" si="25"/>
        <v>0</v>
      </c>
      <c r="CC16" s="33"/>
      <c r="CD16" s="30"/>
      <c r="CE16" s="2">
        <f t="shared" si="26"/>
        <v>0</v>
      </c>
      <c r="CF16" s="33"/>
      <c r="CG16" s="30"/>
      <c r="CH16" s="2">
        <f t="shared" si="27"/>
        <v>0</v>
      </c>
      <c r="CI16" s="33"/>
      <c r="CJ16" s="30"/>
      <c r="CK16" s="2">
        <f t="shared" si="28"/>
        <v>0</v>
      </c>
      <c r="CL16" s="33"/>
      <c r="CM16" s="30"/>
      <c r="CN16" s="2">
        <f t="shared" si="29"/>
        <v>0</v>
      </c>
      <c r="CO16" s="33"/>
      <c r="CP16" s="30"/>
      <c r="CQ16" s="2">
        <f t="shared" si="30"/>
        <v>0</v>
      </c>
      <c r="CR16" s="70">
        <f t="shared" si="31"/>
        <v>0</v>
      </c>
      <c r="CS16" s="67">
        <f t="shared" si="31"/>
        <v>0</v>
      </c>
      <c r="CT16" s="51">
        <f t="shared" si="31"/>
        <v>0</v>
      </c>
      <c r="CU16" s="33"/>
      <c r="CV16" s="30"/>
      <c r="CW16" s="2">
        <f t="shared" si="32"/>
        <v>0</v>
      </c>
      <c r="CX16" s="33"/>
      <c r="CY16" s="30"/>
      <c r="CZ16" s="2">
        <f t="shared" si="33"/>
        <v>0</v>
      </c>
      <c r="DA16" s="33"/>
      <c r="DB16" s="30"/>
      <c r="DC16" s="2">
        <f t="shared" si="34"/>
        <v>0</v>
      </c>
      <c r="DD16" s="33"/>
      <c r="DE16" s="30"/>
      <c r="DF16" s="2">
        <f t="shared" si="35"/>
        <v>0</v>
      </c>
      <c r="DG16" s="33"/>
      <c r="DH16" s="30"/>
      <c r="DI16" s="2">
        <f t="shared" si="36"/>
        <v>0</v>
      </c>
      <c r="DJ16" s="33"/>
      <c r="DK16" s="30"/>
      <c r="DL16" s="2">
        <f t="shared" si="37"/>
        <v>0</v>
      </c>
      <c r="DM16" s="33"/>
      <c r="DN16" s="30"/>
      <c r="DO16" s="2">
        <f t="shared" si="38"/>
        <v>0</v>
      </c>
      <c r="DP16" s="70">
        <f t="shared" si="39"/>
        <v>0</v>
      </c>
      <c r="DQ16" s="67">
        <f t="shared" si="39"/>
        <v>0</v>
      </c>
      <c r="DR16" s="51">
        <f t="shared" si="39"/>
        <v>0</v>
      </c>
      <c r="DS16" s="52">
        <f t="shared" si="40"/>
        <v>0</v>
      </c>
      <c r="DT16" s="53">
        <f t="shared" si="41"/>
        <v>0</v>
      </c>
      <c r="DU16" s="54">
        <f>Z16+AX16+BV16+CT16+DR16</f>
        <v>0</v>
      </c>
    </row>
    <row r="17" spans="1:125" s="26" customFormat="1" ht="17.100000000000001" customHeight="1" thickBot="1" x14ac:dyDescent="0.25">
      <c r="A17" s="27" t="s">
        <v>48</v>
      </c>
      <c r="B17" s="19">
        <v>8000</v>
      </c>
      <c r="C17" s="38"/>
      <c r="D17" s="39"/>
      <c r="E17" s="3">
        <f t="shared" si="0"/>
        <v>0</v>
      </c>
      <c r="F17" s="38"/>
      <c r="G17" s="39"/>
      <c r="H17" s="65">
        <f t="shared" si="1"/>
        <v>0</v>
      </c>
      <c r="I17" s="155"/>
      <c r="J17" s="156"/>
      <c r="K17" s="2">
        <f t="shared" ref="K17:K21" si="42">$B17*J17</f>
        <v>0</v>
      </c>
      <c r="L17" s="171"/>
      <c r="M17" s="30"/>
      <c r="N17" s="2">
        <f t="shared" ref="N17:N22" si="43">$B17*M17</f>
        <v>0</v>
      </c>
      <c r="O17" s="171"/>
      <c r="P17" s="30"/>
      <c r="Q17" s="2">
        <f t="shared" ref="Q17:Q22" si="44">$B17*P17</f>
        <v>0</v>
      </c>
      <c r="R17" s="171"/>
      <c r="S17" s="30"/>
      <c r="T17" s="2">
        <f t="shared" ref="T17:T22" si="45">$B17*S17</f>
        <v>0</v>
      </c>
      <c r="U17" s="172"/>
      <c r="V17" s="30"/>
      <c r="W17" s="64">
        <f t="shared" ref="W17:W22" si="46">$B17*V17</f>
        <v>0</v>
      </c>
      <c r="X17" s="70">
        <f t="shared" ref="X17:X22" si="47">C17+F17+I17+L17+O17+R17+U17</f>
        <v>0</v>
      </c>
      <c r="Y17" s="67">
        <f t="shared" ref="Y17:Y22" si="48">D17+G17+J17+M17+P17+S17+V17</f>
        <v>0</v>
      </c>
      <c r="Z17" s="73">
        <f t="shared" ref="Z17:Z22" si="49">E17+H17+K17+N17+Q17+T17+W17</f>
        <v>0</v>
      </c>
      <c r="AA17" s="172"/>
      <c r="AB17" s="30"/>
      <c r="AC17" s="2">
        <f t="shared" ref="AC17:AC22" si="50">$B17*AB17</f>
        <v>0</v>
      </c>
      <c r="AD17" s="33"/>
      <c r="AE17" s="30"/>
      <c r="AF17" s="2">
        <f t="shared" ref="AF17:AF22" si="51">$B17*AE17</f>
        <v>0</v>
      </c>
      <c r="AG17" s="33"/>
      <c r="AH17" s="30"/>
      <c r="AI17" s="2">
        <f t="shared" ref="AI17:AI22" si="52">$B17*AH17</f>
        <v>0</v>
      </c>
      <c r="AJ17" s="33"/>
      <c r="AK17" s="30"/>
      <c r="AL17" s="2">
        <f t="shared" ref="AL17:AL22" si="53">$B17*AK17</f>
        <v>0</v>
      </c>
      <c r="AM17" s="33"/>
      <c r="AN17" s="30"/>
      <c r="AO17" s="2">
        <f t="shared" ref="AO17:AO22" si="54">$B17*AN17</f>
        <v>0</v>
      </c>
      <c r="AP17" s="33"/>
      <c r="AQ17" s="30"/>
      <c r="AR17" s="2">
        <f t="shared" ref="AR17:AR22" si="55">$B17*AQ17</f>
        <v>0</v>
      </c>
      <c r="AS17" s="33"/>
      <c r="AT17" s="30"/>
      <c r="AU17" s="2">
        <f t="shared" ref="AU17:AU22" si="56">$B17*AT17</f>
        <v>0</v>
      </c>
      <c r="AV17" s="70">
        <f t="shared" ref="AV17:AV22" si="57">AA17+AD17+AG17+AJ17+AM17+AP17+AS17</f>
        <v>0</v>
      </c>
      <c r="AW17" s="67">
        <f t="shared" ref="AW17:AW22" si="58">AB17+AE17+AH17+AK17+AN17+AQ17+AT17</f>
        <v>0</v>
      </c>
      <c r="AX17" s="51">
        <f t="shared" ref="AX17:AX22" si="59">AC17+AF17+AI17+AL17+AO17+AR17+AU17</f>
        <v>0</v>
      </c>
      <c r="AY17" s="33"/>
      <c r="AZ17" s="30"/>
      <c r="BA17" s="2">
        <f t="shared" ref="BA17:BA22" si="60">$B17*AZ17</f>
        <v>0</v>
      </c>
      <c r="BB17" s="33"/>
      <c r="BC17" s="30"/>
      <c r="BD17" s="2">
        <f t="shared" ref="BD17:BD22" si="61">$B17*BC17</f>
        <v>0</v>
      </c>
      <c r="BE17" s="33"/>
      <c r="BF17" s="30"/>
      <c r="BG17" s="2">
        <f t="shared" ref="BG17:BG22" si="62">$B17*BF17</f>
        <v>0</v>
      </c>
      <c r="BH17" s="33"/>
      <c r="BI17" s="30"/>
      <c r="BJ17" s="2">
        <f t="shared" ref="BJ17:BJ22" si="63">$B17*BI17</f>
        <v>0</v>
      </c>
      <c r="BK17" s="33"/>
      <c r="BL17" s="30"/>
      <c r="BM17" s="2">
        <f t="shared" ref="BM17:BM22" si="64">$B17*BL17</f>
        <v>0</v>
      </c>
      <c r="BN17" s="33"/>
      <c r="BO17" s="30"/>
      <c r="BP17" s="2">
        <f t="shared" ref="BP17:BP22" si="65">$B17*BO17</f>
        <v>0</v>
      </c>
      <c r="BQ17" s="33"/>
      <c r="BR17" s="30"/>
      <c r="BS17" s="2">
        <f t="shared" ref="BS17:BS22" si="66">$B17*BR17</f>
        <v>0</v>
      </c>
      <c r="BT17" s="70">
        <f t="shared" ref="BT17:BT22" si="67">AY17+BB17+BE17+BH17+BK17+BN17+BQ17</f>
        <v>0</v>
      </c>
      <c r="BU17" s="67">
        <f t="shared" ref="BU17:BU22" si="68">AZ17+BC17+BF17+BI17+BL17+BO17+BR17</f>
        <v>0</v>
      </c>
      <c r="BV17" s="51">
        <f t="shared" ref="BV17:BV22" si="69">BA17+BD17+BG17+BJ17+BM17+BP17+BS17</f>
        <v>0</v>
      </c>
      <c r="BW17" s="33"/>
      <c r="BX17" s="30"/>
      <c r="BY17" s="2">
        <f t="shared" ref="BY17:BY22" si="70">$B17*BX17</f>
        <v>0</v>
      </c>
      <c r="BZ17" s="33"/>
      <c r="CA17" s="30"/>
      <c r="CB17" s="2">
        <f t="shared" ref="CB17:CB22" si="71">$B17*CA17</f>
        <v>0</v>
      </c>
      <c r="CC17" s="33"/>
      <c r="CD17" s="30"/>
      <c r="CE17" s="2">
        <f t="shared" ref="CE17:CE22" si="72">$B17*CD17</f>
        <v>0</v>
      </c>
      <c r="CF17" s="33"/>
      <c r="CG17" s="30"/>
      <c r="CH17" s="2">
        <f t="shared" ref="CH17:CH22" si="73">$B17*CG17</f>
        <v>0</v>
      </c>
      <c r="CI17" s="33"/>
      <c r="CJ17" s="30"/>
      <c r="CK17" s="2">
        <f t="shared" ref="CK17:CK22" si="74">$B17*CJ17</f>
        <v>0</v>
      </c>
      <c r="CL17" s="33"/>
      <c r="CM17" s="30"/>
      <c r="CN17" s="2">
        <f t="shared" ref="CN17:CN22" si="75">$B17*CM17</f>
        <v>0</v>
      </c>
      <c r="CO17" s="33"/>
      <c r="CP17" s="30"/>
      <c r="CQ17" s="2">
        <f t="shared" ref="CQ17:CQ22" si="76">$B17*CP17</f>
        <v>0</v>
      </c>
      <c r="CR17" s="70">
        <f t="shared" ref="CR17:CR22" si="77">BW17+BZ17+CC17+CF17+CI17+CL17+CO17</f>
        <v>0</v>
      </c>
      <c r="CS17" s="67">
        <f t="shared" ref="CS17:CS22" si="78">BX17+CA17+CD17+CG17+CJ17+CM17+CP17</f>
        <v>0</v>
      </c>
      <c r="CT17" s="51">
        <f t="shared" ref="CT17:CT22" si="79">BY17+CB17+CE17+CH17+CK17+CN17+CQ17</f>
        <v>0</v>
      </c>
      <c r="CU17" s="33"/>
      <c r="CV17" s="30"/>
      <c r="CW17" s="2">
        <f t="shared" ref="CW17:CW22" si="80">$B17*CV17</f>
        <v>0</v>
      </c>
      <c r="CX17" s="33"/>
      <c r="CY17" s="30"/>
      <c r="CZ17" s="2">
        <f t="shared" ref="CZ17:CZ22" si="81">$B17*CY17</f>
        <v>0</v>
      </c>
      <c r="DA17" s="33"/>
      <c r="DB17" s="30"/>
      <c r="DC17" s="2">
        <f t="shared" ref="DC17:DC22" si="82">$B17*DB17</f>
        <v>0</v>
      </c>
      <c r="DD17" s="33"/>
      <c r="DE17" s="30"/>
      <c r="DF17" s="2">
        <f t="shared" ref="DF17:DF22" si="83">$B17*DE17</f>
        <v>0</v>
      </c>
      <c r="DG17" s="33"/>
      <c r="DH17" s="30"/>
      <c r="DI17" s="2">
        <f t="shared" ref="DI17:DI22" si="84">$B17*DH17</f>
        <v>0</v>
      </c>
      <c r="DJ17" s="33"/>
      <c r="DK17" s="30"/>
      <c r="DL17" s="2">
        <f t="shared" ref="DL17:DL22" si="85">$B17*DK17</f>
        <v>0</v>
      </c>
      <c r="DM17" s="33"/>
      <c r="DN17" s="30"/>
      <c r="DO17" s="2">
        <f t="shared" ref="DO17:DO22" si="86">$B17*DN17</f>
        <v>0</v>
      </c>
      <c r="DP17" s="70">
        <f t="shared" ref="DP17:DP22" si="87">CU17+CX17+DA17+DD17+DG17+DJ17+DM17</f>
        <v>0</v>
      </c>
      <c r="DQ17" s="67">
        <f t="shared" ref="DQ17:DQ22" si="88">CV17+CY17+DB17+DE17+DH17+DK17+DN17</f>
        <v>0</v>
      </c>
      <c r="DR17" s="51">
        <f t="shared" ref="DR17:DR22" si="89">CW17+CZ17+DC17+DF17+DI17+DL17+DO17</f>
        <v>0</v>
      </c>
      <c r="DS17" s="52">
        <f t="shared" ref="DS17:DS22" si="90">X17+AV17+CR17+DP17</f>
        <v>0</v>
      </c>
      <c r="DT17" s="53">
        <f t="shared" ref="DT17:DT22" si="91">Y17+AW17+BU17+CS17+DQ17</f>
        <v>0</v>
      </c>
      <c r="DU17" s="54">
        <f t="shared" ref="DU17:DU22" si="92">Z17+AX17+BV17+CT17+DR17</f>
        <v>0</v>
      </c>
    </row>
    <row r="18" spans="1:125" s="26" customFormat="1" ht="17.100000000000001" customHeight="1" thickBot="1" x14ac:dyDescent="0.25">
      <c r="A18" s="124" t="s">
        <v>38</v>
      </c>
      <c r="B18" s="19">
        <v>8000</v>
      </c>
      <c r="C18" s="149"/>
      <c r="D18" s="150"/>
      <c r="E18" s="151"/>
      <c r="F18" s="149"/>
      <c r="G18" s="150"/>
      <c r="H18" s="151"/>
      <c r="I18" s="31"/>
      <c r="J18" s="156"/>
      <c r="K18" s="2">
        <f t="shared" si="42"/>
        <v>0</v>
      </c>
      <c r="L18" s="158"/>
      <c r="M18" s="30"/>
      <c r="N18" s="2">
        <f t="shared" si="43"/>
        <v>0</v>
      </c>
      <c r="O18" s="158"/>
      <c r="P18" s="30"/>
      <c r="Q18" s="2">
        <f t="shared" si="44"/>
        <v>0</v>
      </c>
      <c r="R18" s="158"/>
      <c r="S18" s="30"/>
      <c r="T18" s="2">
        <f t="shared" si="45"/>
        <v>0</v>
      </c>
      <c r="U18" s="159"/>
      <c r="V18" s="30"/>
      <c r="W18" s="64">
        <f t="shared" si="46"/>
        <v>0</v>
      </c>
      <c r="X18" s="70">
        <f t="shared" si="47"/>
        <v>0</v>
      </c>
      <c r="Y18" s="67">
        <f t="shared" si="48"/>
        <v>0</v>
      </c>
      <c r="Z18" s="73">
        <f t="shared" si="49"/>
        <v>0</v>
      </c>
      <c r="AA18" s="159"/>
      <c r="AB18" s="30"/>
      <c r="AC18" s="2">
        <f t="shared" si="50"/>
        <v>0</v>
      </c>
      <c r="AD18" s="33"/>
      <c r="AE18" s="30"/>
      <c r="AF18" s="2">
        <f t="shared" si="51"/>
        <v>0</v>
      </c>
      <c r="AG18" s="33"/>
      <c r="AH18" s="30"/>
      <c r="AI18" s="2">
        <f t="shared" si="52"/>
        <v>0</v>
      </c>
      <c r="AJ18" s="33"/>
      <c r="AK18" s="30"/>
      <c r="AL18" s="2">
        <f t="shared" si="53"/>
        <v>0</v>
      </c>
      <c r="AM18" s="33"/>
      <c r="AN18" s="30"/>
      <c r="AO18" s="2">
        <f t="shared" si="54"/>
        <v>0</v>
      </c>
      <c r="AP18" s="33"/>
      <c r="AQ18" s="30"/>
      <c r="AR18" s="2">
        <f t="shared" si="55"/>
        <v>0</v>
      </c>
      <c r="AS18" s="33"/>
      <c r="AT18" s="30"/>
      <c r="AU18" s="2">
        <f t="shared" si="56"/>
        <v>0</v>
      </c>
      <c r="AV18" s="70">
        <f t="shared" si="57"/>
        <v>0</v>
      </c>
      <c r="AW18" s="67">
        <f t="shared" si="58"/>
        <v>0</v>
      </c>
      <c r="AX18" s="51">
        <f t="shared" si="59"/>
        <v>0</v>
      </c>
      <c r="AY18" s="33"/>
      <c r="AZ18" s="30"/>
      <c r="BA18" s="2">
        <f t="shared" si="60"/>
        <v>0</v>
      </c>
      <c r="BB18" s="33"/>
      <c r="BC18" s="30"/>
      <c r="BD18" s="2">
        <f t="shared" si="61"/>
        <v>0</v>
      </c>
      <c r="BE18" s="33"/>
      <c r="BF18" s="30"/>
      <c r="BG18" s="2">
        <f t="shared" si="62"/>
        <v>0</v>
      </c>
      <c r="BH18" s="33"/>
      <c r="BI18" s="30"/>
      <c r="BJ18" s="2">
        <f t="shared" si="63"/>
        <v>0</v>
      </c>
      <c r="BK18" s="33"/>
      <c r="BL18" s="30"/>
      <c r="BM18" s="2">
        <f t="shared" si="64"/>
        <v>0</v>
      </c>
      <c r="BN18" s="33"/>
      <c r="BO18" s="30"/>
      <c r="BP18" s="2">
        <f t="shared" si="65"/>
        <v>0</v>
      </c>
      <c r="BQ18" s="33"/>
      <c r="BR18" s="30"/>
      <c r="BS18" s="2">
        <f t="shared" si="66"/>
        <v>0</v>
      </c>
      <c r="BT18" s="70">
        <f t="shared" si="67"/>
        <v>0</v>
      </c>
      <c r="BU18" s="67">
        <f t="shared" si="68"/>
        <v>0</v>
      </c>
      <c r="BV18" s="51">
        <f t="shared" si="69"/>
        <v>0</v>
      </c>
      <c r="BW18" s="33"/>
      <c r="BX18" s="30"/>
      <c r="BY18" s="2">
        <f t="shared" si="70"/>
        <v>0</v>
      </c>
      <c r="BZ18" s="33"/>
      <c r="CA18" s="30"/>
      <c r="CB18" s="2">
        <f t="shared" si="71"/>
        <v>0</v>
      </c>
      <c r="CC18" s="33"/>
      <c r="CD18" s="30"/>
      <c r="CE18" s="2">
        <f t="shared" si="72"/>
        <v>0</v>
      </c>
      <c r="CF18" s="33"/>
      <c r="CG18" s="30"/>
      <c r="CH18" s="2">
        <f t="shared" si="73"/>
        <v>0</v>
      </c>
      <c r="CI18" s="33"/>
      <c r="CJ18" s="30"/>
      <c r="CK18" s="2">
        <f t="shared" si="74"/>
        <v>0</v>
      </c>
      <c r="CL18" s="33"/>
      <c r="CM18" s="30"/>
      <c r="CN18" s="2">
        <f t="shared" si="75"/>
        <v>0</v>
      </c>
      <c r="CO18" s="33"/>
      <c r="CP18" s="30"/>
      <c r="CQ18" s="2">
        <f t="shared" si="76"/>
        <v>0</v>
      </c>
      <c r="CR18" s="70">
        <f t="shared" si="77"/>
        <v>0</v>
      </c>
      <c r="CS18" s="67">
        <f t="shared" si="78"/>
        <v>0</v>
      </c>
      <c r="CT18" s="51">
        <f t="shared" si="79"/>
        <v>0</v>
      </c>
      <c r="CU18" s="33"/>
      <c r="CV18" s="30"/>
      <c r="CW18" s="2">
        <f t="shared" si="80"/>
        <v>0</v>
      </c>
      <c r="CX18" s="33"/>
      <c r="CY18" s="30"/>
      <c r="CZ18" s="2">
        <f t="shared" si="81"/>
        <v>0</v>
      </c>
      <c r="DA18" s="33"/>
      <c r="DB18" s="30"/>
      <c r="DC18" s="2">
        <f t="shared" si="82"/>
        <v>0</v>
      </c>
      <c r="DD18" s="33"/>
      <c r="DE18" s="30"/>
      <c r="DF18" s="2">
        <f t="shared" si="83"/>
        <v>0</v>
      </c>
      <c r="DG18" s="33"/>
      <c r="DH18" s="30"/>
      <c r="DI18" s="2">
        <f t="shared" si="84"/>
        <v>0</v>
      </c>
      <c r="DJ18" s="33"/>
      <c r="DK18" s="30"/>
      <c r="DL18" s="2">
        <f t="shared" si="85"/>
        <v>0</v>
      </c>
      <c r="DM18" s="33"/>
      <c r="DN18" s="30"/>
      <c r="DO18" s="2">
        <f t="shared" si="86"/>
        <v>0</v>
      </c>
      <c r="DP18" s="70">
        <f t="shared" si="87"/>
        <v>0</v>
      </c>
      <c r="DQ18" s="67">
        <f t="shared" si="88"/>
        <v>0</v>
      </c>
      <c r="DR18" s="51">
        <f t="shared" si="89"/>
        <v>0</v>
      </c>
      <c r="DS18" s="52">
        <f t="shared" si="90"/>
        <v>0</v>
      </c>
      <c r="DT18" s="53">
        <f t="shared" si="91"/>
        <v>0</v>
      </c>
      <c r="DU18" s="54">
        <f t="shared" si="92"/>
        <v>0</v>
      </c>
    </row>
    <row r="19" spans="1:125" s="26" customFormat="1" ht="17.100000000000001" customHeight="1" x14ac:dyDescent="0.2">
      <c r="A19" s="160" t="s">
        <v>40</v>
      </c>
      <c r="B19" s="154">
        <v>8000</v>
      </c>
      <c r="C19" s="149"/>
      <c r="D19" s="150"/>
      <c r="E19" s="151"/>
      <c r="F19" s="149"/>
      <c r="G19" s="150"/>
      <c r="H19" s="151"/>
      <c r="I19" s="170"/>
      <c r="J19" s="156"/>
      <c r="K19" s="2">
        <f t="shared" si="42"/>
        <v>0</v>
      </c>
      <c r="L19" s="149"/>
      <c r="M19" s="30"/>
      <c r="N19" s="2">
        <f t="shared" si="43"/>
        <v>0</v>
      </c>
      <c r="O19" s="149"/>
      <c r="P19" s="30"/>
      <c r="Q19" s="2">
        <f t="shared" si="44"/>
        <v>0</v>
      </c>
      <c r="R19" s="149"/>
      <c r="S19" s="30"/>
      <c r="T19" s="2">
        <f t="shared" si="45"/>
        <v>0</v>
      </c>
      <c r="U19" s="152"/>
      <c r="V19" s="30"/>
      <c r="W19" s="64">
        <f t="shared" si="46"/>
        <v>0</v>
      </c>
      <c r="X19" s="70">
        <f t="shared" si="47"/>
        <v>0</v>
      </c>
      <c r="Y19" s="67">
        <f t="shared" si="48"/>
        <v>0</v>
      </c>
      <c r="Z19" s="73">
        <f t="shared" si="49"/>
        <v>0</v>
      </c>
      <c r="AA19" s="152"/>
      <c r="AB19" s="30"/>
      <c r="AC19" s="2">
        <f t="shared" si="50"/>
        <v>0</v>
      </c>
      <c r="AD19" s="33"/>
      <c r="AE19" s="30"/>
      <c r="AF19" s="2">
        <f t="shared" si="51"/>
        <v>0</v>
      </c>
      <c r="AG19" s="33"/>
      <c r="AH19" s="30"/>
      <c r="AI19" s="2">
        <f t="shared" si="52"/>
        <v>0</v>
      </c>
      <c r="AJ19" s="33"/>
      <c r="AK19" s="30"/>
      <c r="AL19" s="2">
        <f t="shared" si="53"/>
        <v>0</v>
      </c>
      <c r="AM19" s="33"/>
      <c r="AN19" s="30"/>
      <c r="AO19" s="2">
        <f t="shared" si="54"/>
        <v>0</v>
      </c>
      <c r="AP19" s="33"/>
      <c r="AQ19" s="30"/>
      <c r="AR19" s="2">
        <f t="shared" si="55"/>
        <v>0</v>
      </c>
      <c r="AS19" s="33"/>
      <c r="AT19" s="30"/>
      <c r="AU19" s="2">
        <f t="shared" si="56"/>
        <v>0</v>
      </c>
      <c r="AV19" s="70">
        <f t="shared" si="57"/>
        <v>0</v>
      </c>
      <c r="AW19" s="67">
        <f t="shared" si="58"/>
        <v>0</v>
      </c>
      <c r="AX19" s="51">
        <f t="shared" si="59"/>
        <v>0</v>
      </c>
      <c r="AY19" s="33"/>
      <c r="AZ19" s="30"/>
      <c r="BA19" s="2">
        <f t="shared" si="60"/>
        <v>0</v>
      </c>
      <c r="BB19" s="33"/>
      <c r="BC19" s="30"/>
      <c r="BD19" s="2">
        <f t="shared" si="61"/>
        <v>0</v>
      </c>
      <c r="BE19" s="33"/>
      <c r="BF19" s="30"/>
      <c r="BG19" s="2">
        <f t="shared" si="62"/>
        <v>0</v>
      </c>
      <c r="BH19" s="33"/>
      <c r="BI19" s="30"/>
      <c r="BJ19" s="2">
        <f t="shared" si="63"/>
        <v>0</v>
      </c>
      <c r="BK19" s="33"/>
      <c r="BL19" s="30"/>
      <c r="BM19" s="2">
        <f t="shared" si="64"/>
        <v>0</v>
      </c>
      <c r="BN19" s="33"/>
      <c r="BO19" s="30"/>
      <c r="BP19" s="2">
        <f t="shared" si="65"/>
        <v>0</v>
      </c>
      <c r="BQ19" s="33"/>
      <c r="BR19" s="30"/>
      <c r="BS19" s="2">
        <f t="shared" si="66"/>
        <v>0</v>
      </c>
      <c r="BT19" s="70">
        <f t="shared" si="67"/>
        <v>0</v>
      </c>
      <c r="BU19" s="67">
        <f t="shared" si="68"/>
        <v>0</v>
      </c>
      <c r="BV19" s="51">
        <f t="shared" si="69"/>
        <v>0</v>
      </c>
      <c r="BW19" s="33"/>
      <c r="BX19" s="30"/>
      <c r="BY19" s="2">
        <f t="shared" si="70"/>
        <v>0</v>
      </c>
      <c r="BZ19" s="33"/>
      <c r="CA19" s="30"/>
      <c r="CB19" s="2">
        <f t="shared" si="71"/>
        <v>0</v>
      </c>
      <c r="CC19" s="33"/>
      <c r="CD19" s="30"/>
      <c r="CE19" s="2">
        <f t="shared" si="72"/>
        <v>0</v>
      </c>
      <c r="CF19" s="33"/>
      <c r="CG19" s="30"/>
      <c r="CH19" s="2">
        <f t="shared" si="73"/>
        <v>0</v>
      </c>
      <c r="CI19" s="33"/>
      <c r="CJ19" s="30"/>
      <c r="CK19" s="2">
        <f t="shared" si="74"/>
        <v>0</v>
      </c>
      <c r="CL19" s="33"/>
      <c r="CM19" s="30"/>
      <c r="CN19" s="2">
        <f t="shared" si="75"/>
        <v>0</v>
      </c>
      <c r="CO19" s="33"/>
      <c r="CP19" s="30"/>
      <c r="CQ19" s="2">
        <f t="shared" si="76"/>
        <v>0</v>
      </c>
      <c r="CR19" s="70">
        <f t="shared" si="77"/>
        <v>0</v>
      </c>
      <c r="CS19" s="67">
        <f t="shared" si="78"/>
        <v>0</v>
      </c>
      <c r="CT19" s="51">
        <f t="shared" si="79"/>
        <v>0</v>
      </c>
      <c r="CU19" s="33"/>
      <c r="CV19" s="30"/>
      <c r="CW19" s="2">
        <f t="shared" si="80"/>
        <v>0</v>
      </c>
      <c r="CX19" s="33"/>
      <c r="CY19" s="30"/>
      <c r="CZ19" s="2">
        <f t="shared" si="81"/>
        <v>0</v>
      </c>
      <c r="DA19" s="33"/>
      <c r="DB19" s="30"/>
      <c r="DC19" s="2">
        <f t="shared" si="82"/>
        <v>0</v>
      </c>
      <c r="DD19" s="33"/>
      <c r="DE19" s="30"/>
      <c r="DF19" s="2">
        <f t="shared" si="83"/>
        <v>0</v>
      </c>
      <c r="DG19" s="33"/>
      <c r="DH19" s="30"/>
      <c r="DI19" s="2">
        <f t="shared" si="84"/>
        <v>0</v>
      </c>
      <c r="DJ19" s="33"/>
      <c r="DK19" s="30"/>
      <c r="DL19" s="2">
        <f t="shared" si="85"/>
        <v>0</v>
      </c>
      <c r="DM19" s="33"/>
      <c r="DN19" s="30"/>
      <c r="DO19" s="2">
        <f t="shared" si="86"/>
        <v>0</v>
      </c>
      <c r="DP19" s="70">
        <f t="shared" si="87"/>
        <v>0</v>
      </c>
      <c r="DQ19" s="67">
        <f t="shared" si="88"/>
        <v>0</v>
      </c>
      <c r="DR19" s="51">
        <f t="shared" si="89"/>
        <v>0</v>
      </c>
      <c r="DS19" s="52">
        <f t="shared" si="90"/>
        <v>0</v>
      </c>
      <c r="DT19" s="53">
        <f t="shared" si="91"/>
        <v>0</v>
      </c>
      <c r="DU19" s="54">
        <f t="shared" si="92"/>
        <v>0</v>
      </c>
    </row>
    <row r="20" spans="1:125" s="26" customFormat="1" ht="17.100000000000001" customHeight="1" x14ac:dyDescent="0.2">
      <c r="A20" s="161" t="s">
        <v>35</v>
      </c>
      <c r="B20" s="28">
        <v>8000</v>
      </c>
      <c r="C20" s="158"/>
      <c r="D20" s="156"/>
      <c r="E20" s="157"/>
      <c r="F20" s="158"/>
      <c r="G20" s="156"/>
      <c r="H20" s="157"/>
      <c r="I20" s="31"/>
      <c r="J20" s="156"/>
      <c r="K20" s="2">
        <f t="shared" si="42"/>
        <v>0</v>
      </c>
      <c r="L20" s="158"/>
      <c r="M20" s="30"/>
      <c r="N20" s="2">
        <f t="shared" si="43"/>
        <v>0</v>
      </c>
      <c r="O20" s="158"/>
      <c r="P20" s="30"/>
      <c r="Q20" s="2">
        <f t="shared" si="44"/>
        <v>0</v>
      </c>
      <c r="R20" s="158"/>
      <c r="S20" s="30"/>
      <c r="T20" s="2">
        <f t="shared" si="45"/>
        <v>0</v>
      </c>
      <c r="U20" s="159"/>
      <c r="V20" s="30"/>
      <c r="W20" s="64">
        <f t="shared" si="46"/>
        <v>0</v>
      </c>
      <c r="X20" s="70">
        <f t="shared" si="47"/>
        <v>0</v>
      </c>
      <c r="Y20" s="67">
        <f t="shared" si="48"/>
        <v>0</v>
      </c>
      <c r="Z20" s="73">
        <f t="shared" si="49"/>
        <v>0</v>
      </c>
      <c r="AA20" s="159"/>
      <c r="AB20" s="30"/>
      <c r="AC20" s="2">
        <f t="shared" si="50"/>
        <v>0</v>
      </c>
      <c r="AD20" s="33"/>
      <c r="AE20" s="30"/>
      <c r="AF20" s="2">
        <f t="shared" si="51"/>
        <v>0</v>
      </c>
      <c r="AG20" s="33"/>
      <c r="AH20" s="30"/>
      <c r="AI20" s="2">
        <f t="shared" si="52"/>
        <v>0</v>
      </c>
      <c r="AJ20" s="33"/>
      <c r="AK20" s="30"/>
      <c r="AL20" s="2">
        <f t="shared" si="53"/>
        <v>0</v>
      </c>
      <c r="AM20" s="33"/>
      <c r="AN20" s="30"/>
      <c r="AO20" s="2">
        <f t="shared" si="54"/>
        <v>0</v>
      </c>
      <c r="AP20" s="33"/>
      <c r="AQ20" s="30"/>
      <c r="AR20" s="2">
        <f t="shared" si="55"/>
        <v>0</v>
      </c>
      <c r="AS20" s="33"/>
      <c r="AT20" s="30"/>
      <c r="AU20" s="2">
        <f t="shared" si="56"/>
        <v>0</v>
      </c>
      <c r="AV20" s="70">
        <f t="shared" si="57"/>
        <v>0</v>
      </c>
      <c r="AW20" s="67">
        <f t="shared" si="58"/>
        <v>0</v>
      </c>
      <c r="AX20" s="51">
        <f t="shared" si="59"/>
        <v>0</v>
      </c>
      <c r="AY20" s="33"/>
      <c r="AZ20" s="30"/>
      <c r="BA20" s="2">
        <f t="shared" si="60"/>
        <v>0</v>
      </c>
      <c r="BB20" s="33"/>
      <c r="BC20" s="30"/>
      <c r="BD20" s="2">
        <f t="shared" si="61"/>
        <v>0</v>
      </c>
      <c r="BE20" s="33"/>
      <c r="BF20" s="30"/>
      <c r="BG20" s="2">
        <f t="shared" si="62"/>
        <v>0</v>
      </c>
      <c r="BH20" s="33"/>
      <c r="BI20" s="30"/>
      <c r="BJ20" s="2">
        <f t="shared" si="63"/>
        <v>0</v>
      </c>
      <c r="BK20" s="33"/>
      <c r="BL20" s="30"/>
      <c r="BM20" s="2">
        <f t="shared" si="64"/>
        <v>0</v>
      </c>
      <c r="BN20" s="33"/>
      <c r="BO20" s="30"/>
      <c r="BP20" s="2">
        <f t="shared" si="65"/>
        <v>0</v>
      </c>
      <c r="BQ20" s="33"/>
      <c r="BR20" s="30"/>
      <c r="BS20" s="2">
        <f t="shared" si="66"/>
        <v>0</v>
      </c>
      <c r="BT20" s="70">
        <f t="shared" si="67"/>
        <v>0</v>
      </c>
      <c r="BU20" s="67">
        <f t="shared" si="68"/>
        <v>0</v>
      </c>
      <c r="BV20" s="51">
        <f t="shared" si="69"/>
        <v>0</v>
      </c>
      <c r="BW20" s="33"/>
      <c r="BX20" s="30"/>
      <c r="BY20" s="2">
        <f t="shared" si="70"/>
        <v>0</v>
      </c>
      <c r="BZ20" s="33"/>
      <c r="CA20" s="30"/>
      <c r="CB20" s="2">
        <f t="shared" si="71"/>
        <v>0</v>
      </c>
      <c r="CC20" s="33"/>
      <c r="CD20" s="30"/>
      <c r="CE20" s="2">
        <f t="shared" si="72"/>
        <v>0</v>
      </c>
      <c r="CF20" s="33"/>
      <c r="CG20" s="30"/>
      <c r="CH20" s="2">
        <f t="shared" si="73"/>
        <v>0</v>
      </c>
      <c r="CI20" s="33"/>
      <c r="CJ20" s="30"/>
      <c r="CK20" s="2">
        <f t="shared" si="74"/>
        <v>0</v>
      </c>
      <c r="CL20" s="33"/>
      <c r="CM20" s="30"/>
      <c r="CN20" s="2">
        <f t="shared" si="75"/>
        <v>0</v>
      </c>
      <c r="CO20" s="33"/>
      <c r="CP20" s="30"/>
      <c r="CQ20" s="2">
        <f t="shared" si="76"/>
        <v>0</v>
      </c>
      <c r="CR20" s="70">
        <f t="shared" si="77"/>
        <v>0</v>
      </c>
      <c r="CS20" s="67">
        <f t="shared" si="78"/>
        <v>0</v>
      </c>
      <c r="CT20" s="51">
        <f t="shared" si="79"/>
        <v>0</v>
      </c>
      <c r="CU20" s="33"/>
      <c r="CV20" s="30"/>
      <c r="CW20" s="2">
        <f t="shared" si="80"/>
        <v>0</v>
      </c>
      <c r="CX20" s="33"/>
      <c r="CY20" s="30"/>
      <c r="CZ20" s="2">
        <f t="shared" si="81"/>
        <v>0</v>
      </c>
      <c r="DA20" s="33"/>
      <c r="DB20" s="30"/>
      <c r="DC20" s="2">
        <f t="shared" si="82"/>
        <v>0</v>
      </c>
      <c r="DD20" s="33"/>
      <c r="DE20" s="30"/>
      <c r="DF20" s="2">
        <f t="shared" si="83"/>
        <v>0</v>
      </c>
      <c r="DG20" s="33"/>
      <c r="DH20" s="30"/>
      <c r="DI20" s="2">
        <f t="shared" si="84"/>
        <v>0</v>
      </c>
      <c r="DJ20" s="33"/>
      <c r="DK20" s="30"/>
      <c r="DL20" s="2">
        <f t="shared" si="85"/>
        <v>0</v>
      </c>
      <c r="DM20" s="33"/>
      <c r="DN20" s="30"/>
      <c r="DO20" s="2">
        <f t="shared" si="86"/>
        <v>0</v>
      </c>
      <c r="DP20" s="70">
        <f t="shared" si="87"/>
        <v>0</v>
      </c>
      <c r="DQ20" s="67">
        <f t="shared" si="88"/>
        <v>0</v>
      </c>
      <c r="DR20" s="51">
        <f t="shared" si="89"/>
        <v>0</v>
      </c>
      <c r="DS20" s="52">
        <f t="shared" si="90"/>
        <v>0</v>
      </c>
      <c r="DT20" s="53">
        <f t="shared" si="91"/>
        <v>0</v>
      </c>
      <c r="DU20" s="54">
        <f t="shared" si="92"/>
        <v>0</v>
      </c>
    </row>
    <row r="21" spans="1:125" s="26" customFormat="1" ht="17.100000000000001" customHeight="1" x14ac:dyDescent="0.2">
      <c r="A21" s="162" t="s">
        <v>61</v>
      </c>
      <c r="B21" s="163">
        <v>8000</v>
      </c>
      <c r="C21" s="149"/>
      <c r="D21" s="150"/>
      <c r="E21" s="151"/>
      <c r="F21" s="149"/>
      <c r="G21" s="150"/>
      <c r="H21" s="151"/>
      <c r="I21" s="170"/>
      <c r="J21" s="156"/>
      <c r="K21" s="2">
        <f t="shared" si="42"/>
        <v>0</v>
      </c>
      <c r="L21" s="149"/>
      <c r="M21" s="30"/>
      <c r="N21" s="2">
        <f t="shared" si="43"/>
        <v>0</v>
      </c>
      <c r="O21" s="149"/>
      <c r="P21" s="30"/>
      <c r="Q21" s="2">
        <f t="shared" si="44"/>
        <v>0</v>
      </c>
      <c r="R21" s="149"/>
      <c r="S21" s="30"/>
      <c r="T21" s="2">
        <f t="shared" si="45"/>
        <v>0</v>
      </c>
      <c r="U21" s="152"/>
      <c r="V21" s="30"/>
      <c r="W21" s="64">
        <f t="shared" si="46"/>
        <v>0</v>
      </c>
      <c r="X21" s="70">
        <f t="shared" si="47"/>
        <v>0</v>
      </c>
      <c r="Y21" s="67">
        <f t="shared" si="48"/>
        <v>0</v>
      </c>
      <c r="Z21" s="73">
        <f t="shared" si="49"/>
        <v>0</v>
      </c>
      <c r="AA21" s="152"/>
      <c r="AB21" s="30"/>
      <c r="AC21" s="2">
        <f t="shared" si="50"/>
        <v>0</v>
      </c>
      <c r="AD21" s="33"/>
      <c r="AE21" s="30"/>
      <c r="AF21" s="2">
        <f t="shared" si="51"/>
        <v>0</v>
      </c>
      <c r="AG21" s="33"/>
      <c r="AH21" s="30"/>
      <c r="AI21" s="2">
        <f t="shared" si="52"/>
        <v>0</v>
      </c>
      <c r="AJ21" s="33"/>
      <c r="AK21" s="30"/>
      <c r="AL21" s="2">
        <f t="shared" si="53"/>
        <v>0</v>
      </c>
      <c r="AM21" s="33"/>
      <c r="AN21" s="30"/>
      <c r="AO21" s="2">
        <f t="shared" si="54"/>
        <v>0</v>
      </c>
      <c r="AP21" s="33"/>
      <c r="AQ21" s="30"/>
      <c r="AR21" s="2">
        <f t="shared" si="55"/>
        <v>0</v>
      </c>
      <c r="AS21" s="33"/>
      <c r="AT21" s="30"/>
      <c r="AU21" s="2">
        <f t="shared" si="56"/>
        <v>0</v>
      </c>
      <c r="AV21" s="70">
        <f t="shared" si="57"/>
        <v>0</v>
      </c>
      <c r="AW21" s="67">
        <f t="shared" si="58"/>
        <v>0</v>
      </c>
      <c r="AX21" s="51">
        <f t="shared" si="59"/>
        <v>0</v>
      </c>
      <c r="AY21" s="33"/>
      <c r="AZ21" s="30"/>
      <c r="BA21" s="2">
        <f t="shared" si="60"/>
        <v>0</v>
      </c>
      <c r="BB21" s="33"/>
      <c r="BC21" s="30"/>
      <c r="BD21" s="2">
        <f t="shared" si="61"/>
        <v>0</v>
      </c>
      <c r="BE21" s="33"/>
      <c r="BF21" s="30"/>
      <c r="BG21" s="2">
        <f t="shared" si="62"/>
        <v>0</v>
      </c>
      <c r="BH21" s="33"/>
      <c r="BI21" s="30"/>
      <c r="BJ21" s="2">
        <f t="shared" si="63"/>
        <v>0</v>
      </c>
      <c r="BK21" s="33"/>
      <c r="BL21" s="30"/>
      <c r="BM21" s="2">
        <f t="shared" si="64"/>
        <v>0</v>
      </c>
      <c r="BN21" s="33"/>
      <c r="BO21" s="30"/>
      <c r="BP21" s="2">
        <f t="shared" si="65"/>
        <v>0</v>
      </c>
      <c r="BQ21" s="33"/>
      <c r="BR21" s="30"/>
      <c r="BS21" s="2">
        <f t="shared" si="66"/>
        <v>0</v>
      </c>
      <c r="BT21" s="70">
        <f t="shared" si="67"/>
        <v>0</v>
      </c>
      <c r="BU21" s="67">
        <f t="shared" si="68"/>
        <v>0</v>
      </c>
      <c r="BV21" s="51">
        <f t="shared" si="69"/>
        <v>0</v>
      </c>
      <c r="BW21" s="33"/>
      <c r="BX21" s="30"/>
      <c r="BY21" s="2">
        <f t="shared" si="70"/>
        <v>0</v>
      </c>
      <c r="BZ21" s="33"/>
      <c r="CA21" s="30"/>
      <c r="CB21" s="2">
        <f t="shared" si="71"/>
        <v>0</v>
      </c>
      <c r="CC21" s="33"/>
      <c r="CD21" s="30"/>
      <c r="CE21" s="2">
        <f t="shared" si="72"/>
        <v>0</v>
      </c>
      <c r="CF21" s="33"/>
      <c r="CG21" s="30"/>
      <c r="CH21" s="2">
        <f t="shared" si="73"/>
        <v>0</v>
      </c>
      <c r="CI21" s="33"/>
      <c r="CJ21" s="30"/>
      <c r="CK21" s="2">
        <f t="shared" si="74"/>
        <v>0</v>
      </c>
      <c r="CL21" s="33"/>
      <c r="CM21" s="30"/>
      <c r="CN21" s="2">
        <f t="shared" si="75"/>
        <v>0</v>
      </c>
      <c r="CO21" s="33"/>
      <c r="CP21" s="30"/>
      <c r="CQ21" s="2">
        <f t="shared" si="76"/>
        <v>0</v>
      </c>
      <c r="CR21" s="70">
        <f t="shared" si="77"/>
        <v>0</v>
      </c>
      <c r="CS21" s="67">
        <f t="shared" si="78"/>
        <v>0</v>
      </c>
      <c r="CT21" s="51">
        <f t="shared" si="79"/>
        <v>0</v>
      </c>
      <c r="CU21" s="33"/>
      <c r="CV21" s="30"/>
      <c r="CW21" s="2">
        <f t="shared" si="80"/>
        <v>0</v>
      </c>
      <c r="CX21" s="33"/>
      <c r="CY21" s="30"/>
      <c r="CZ21" s="2">
        <f t="shared" si="81"/>
        <v>0</v>
      </c>
      <c r="DA21" s="33"/>
      <c r="DB21" s="30"/>
      <c r="DC21" s="2">
        <f t="shared" si="82"/>
        <v>0</v>
      </c>
      <c r="DD21" s="33"/>
      <c r="DE21" s="30"/>
      <c r="DF21" s="2">
        <f t="shared" si="83"/>
        <v>0</v>
      </c>
      <c r="DG21" s="33"/>
      <c r="DH21" s="30"/>
      <c r="DI21" s="2">
        <f t="shared" si="84"/>
        <v>0</v>
      </c>
      <c r="DJ21" s="33"/>
      <c r="DK21" s="30"/>
      <c r="DL21" s="2">
        <f t="shared" si="85"/>
        <v>0</v>
      </c>
      <c r="DM21" s="33"/>
      <c r="DN21" s="30"/>
      <c r="DO21" s="2">
        <f t="shared" si="86"/>
        <v>0</v>
      </c>
      <c r="DP21" s="70">
        <f t="shared" si="87"/>
        <v>0</v>
      </c>
      <c r="DQ21" s="67">
        <f t="shared" si="88"/>
        <v>0</v>
      </c>
      <c r="DR21" s="51">
        <f t="shared" si="89"/>
        <v>0</v>
      </c>
      <c r="DS21" s="52">
        <f t="shared" si="90"/>
        <v>0</v>
      </c>
      <c r="DT21" s="53">
        <f t="shared" si="91"/>
        <v>0</v>
      </c>
      <c r="DU21" s="54">
        <f t="shared" si="92"/>
        <v>0</v>
      </c>
    </row>
    <row r="22" spans="1:125" s="26" customFormat="1" ht="17.100000000000001" customHeight="1" x14ac:dyDescent="0.25">
      <c r="A22" s="167" t="s">
        <v>34</v>
      </c>
      <c r="B22" s="28"/>
      <c r="C22" s="158"/>
      <c r="D22" s="156"/>
      <c r="E22" s="157"/>
      <c r="F22" s="158"/>
      <c r="G22" s="156"/>
      <c r="H22" s="157"/>
      <c r="I22" s="31"/>
      <c r="J22" s="156"/>
      <c r="K22" s="2"/>
      <c r="L22" s="158"/>
      <c r="M22" s="30"/>
      <c r="N22" s="2">
        <f t="shared" si="43"/>
        <v>0</v>
      </c>
      <c r="O22" s="158"/>
      <c r="P22" s="30"/>
      <c r="Q22" s="2">
        <f t="shared" si="44"/>
        <v>0</v>
      </c>
      <c r="R22" s="158"/>
      <c r="S22" s="30"/>
      <c r="T22" s="2">
        <f t="shared" si="45"/>
        <v>0</v>
      </c>
      <c r="U22" s="159"/>
      <c r="V22" s="30"/>
      <c r="W22" s="64">
        <f t="shared" si="46"/>
        <v>0</v>
      </c>
      <c r="X22" s="70">
        <f t="shared" si="47"/>
        <v>0</v>
      </c>
      <c r="Y22" s="67">
        <f t="shared" si="48"/>
        <v>0</v>
      </c>
      <c r="Z22" s="73">
        <f t="shared" si="49"/>
        <v>0</v>
      </c>
      <c r="AA22" s="159"/>
      <c r="AB22" s="30"/>
      <c r="AC22" s="2">
        <f t="shared" si="50"/>
        <v>0</v>
      </c>
      <c r="AD22" s="33"/>
      <c r="AE22" s="30"/>
      <c r="AF22" s="2">
        <f t="shared" si="51"/>
        <v>0</v>
      </c>
      <c r="AG22" s="33"/>
      <c r="AH22" s="30"/>
      <c r="AI22" s="2">
        <f t="shared" si="52"/>
        <v>0</v>
      </c>
      <c r="AJ22" s="33"/>
      <c r="AK22" s="30"/>
      <c r="AL22" s="2">
        <f t="shared" si="53"/>
        <v>0</v>
      </c>
      <c r="AM22" s="33"/>
      <c r="AN22" s="30"/>
      <c r="AO22" s="2">
        <f t="shared" si="54"/>
        <v>0</v>
      </c>
      <c r="AP22" s="33"/>
      <c r="AQ22" s="30"/>
      <c r="AR22" s="2">
        <f t="shared" si="55"/>
        <v>0</v>
      </c>
      <c r="AS22" s="33"/>
      <c r="AT22" s="30"/>
      <c r="AU22" s="2">
        <f t="shared" si="56"/>
        <v>0</v>
      </c>
      <c r="AV22" s="70">
        <f t="shared" si="57"/>
        <v>0</v>
      </c>
      <c r="AW22" s="67">
        <f t="shared" si="58"/>
        <v>0</v>
      </c>
      <c r="AX22" s="51">
        <f t="shared" si="59"/>
        <v>0</v>
      </c>
      <c r="AY22" s="33"/>
      <c r="AZ22" s="30"/>
      <c r="BA22" s="2">
        <f t="shared" si="60"/>
        <v>0</v>
      </c>
      <c r="BB22" s="33"/>
      <c r="BC22" s="30"/>
      <c r="BD22" s="2">
        <f t="shared" si="61"/>
        <v>0</v>
      </c>
      <c r="BE22" s="33"/>
      <c r="BF22" s="30"/>
      <c r="BG22" s="2">
        <f t="shared" si="62"/>
        <v>0</v>
      </c>
      <c r="BH22" s="33"/>
      <c r="BI22" s="30"/>
      <c r="BJ22" s="2">
        <f t="shared" si="63"/>
        <v>0</v>
      </c>
      <c r="BK22" s="33"/>
      <c r="BL22" s="30"/>
      <c r="BM22" s="2">
        <f t="shared" si="64"/>
        <v>0</v>
      </c>
      <c r="BN22" s="33"/>
      <c r="BO22" s="30"/>
      <c r="BP22" s="2">
        <f t="shared" si="65"/>
        <v>0</v>
      </c>
      <c r="BQ22" s="33"/>
      <c r="BR22" s="30"/>
      <c r="BS22" s="2">
        <f t="shared" si="66"/>
        <v>0</v>
      </c>
      <c r="BT22" s="70">
        <f t="shared" si="67"/>
        <v>0</v>
      </c>
      <c r="BU22" s="67">
        <f t="shared" si="68"/>
        <v>0</v>
      </c>
      <c r="BV22" s="51">
        <f t="shared" si="69"/>
        <v>0</v>
      </c>
      <c r="BW22" s="33"/>
      <c r="BX22" s="30"/>
      <c r="BY22" s="2">
        <f t="shared" si="70"/>
        <v>0</v>
      </c>
      <c r="BZ22" s="33"/>
      <c r="CA22" s="30"/>
      <c r="CB22" s="2">
        <f t="shared" si="71"/>
        <v>0</v>
      </c>
      <c r="CC22" s="33"/>
      <c r="CD22" s="30"/>
      <c r="CE22" s="2">
        <f t="shared" si="72"/>
        <v>0</v>
      </c>
      <c r="CF22" s="33"/>
      <c r="CG22" s="30"/>
      <c r="CH22" s="2">
        <f t="shared" si="73"/>
        <v>0</v>
      </c>
      <c r="CI22" s="33"/>
      <c r="CJ22" s="30"/>
      <c r="CK22" s="2">
        <f t="shared" si="74"/>
        <v>0</v>
      </c>
      <c r="CL22" s="33"/>
      <c r="CM22" s="30"/>
      <c r="CN22" s="2">
        <f t="shared" si="75"/>
        <v>0</v>
      </c>
      <c r="CO22" s="33"/>
      <c r="CP22" s="30"/>
      <c r="CQ22" s="2">
        <f t="shared" si="76"/>
        <v>0</v>
      </c>
      <c r="CR22" s="70">
        <f t="shared" si="77"/>
        <v>0</v>
      </c>
      <c r="CS22" s="67">
        <f t="shared" si="78"/>
        <v>0</v>
      </c>
      <c r="CT22" s="51">
        <f t="shared" si="79"/>
        <v>0</v>
      </c>
      <c r="CU22" s="33"/>
      <c r="CV22" s="30"/>
      <c r="CW22" s="2">
        <f t="shared" si="80"/>
        <v>0</v>
      </c>
      <c r="CX22" s="33"/>
      <c r="CY22" s="30"/>
      <c r="CZ22" s="2">
        <f t="shared" si="81"/>
        <v>0</v>
      </c>
      <c r="DA22" s="33"/>
      <c r="DB22" s="30"/>
      <c r="DC22" s="2">
        <f t="shared" si="82"/>
        <v>0</v>
      </c>
      <c r="DD22" s="33"/>
      <c r="DE22" s="30"/>
      <c r="DF22" s="2">
        <f t="shared" si="83"/>
        <v>0</v>
      </c>
      <c r="DG22" s="33"/>
      <c r="DH22" s="30"/>
      <c r="DI22" s="2">
        <f t="shared" si="84"/>
        <v>0</v>
      </c>
      <c r="DJ22" s="33"/>
      <c r="DK22" s="30"/>
      <c r="DL22" s="2">
        <f t="shared" si="85"/>
        <v>0</v>
      </c>
      <c r="DM22" s="33"/>
      <c r="DN22" s="30"/>
      <c r="DO22" s="2">
        <f t="shared" si="86"/>
        <v>0</v>
      </c>
      <c r="DP22" s="70">
        <f t="shared" si="87"/>
        <v>0</v>
      </c>
      <c r="DQ22" s="67">
        <f t="shared" si="88"/>
        <v>0</v>
      </c>
      <c r="DR22" s="51">
        <f t="shared" si="89"/>
        <v>0</v>
      </c>
      <c r="DS22" s="52">
        <f t="shared" si="90"/>
        <v>0</v>
      </c>
      <c r="DT22" s="53">
        <f t="shared" si="91"/>
        <v>0</v>
      </c>
      <c r="DU22" s="54">
        <f t="shared" si="92"/>
        <v>0</v>
      </c>
    </row>
    <row r="23" spans="1:125" ht="17.100000000000001" customHeight="1" thickBot="1" x14ac:dyDescent="0.3">
      <c r="A23" s="162"/>
      <c r="B23" s="153"/>
      <c r="X23" s="59">
        <f>SUM(X4:X17)</f>
        <v>0</v>
      </c>
      <c r="Z23" s="75">
        <f>SUM(Z4:Z17)</f>
        <v>0</v>
      </c>
      <c r="AV23" s="59">
        <f>SUM(AV4:AV17)</f>
        <v>0</v>
      </c>
      <c r="AX23" s="59">
        <f>SUM(AX4:AX17)</f>
        <v>0</v>
      </c>
      <c r="BT23" s="59">
        <f>SUM(BT4:BT17)</f>
        <v>0</v>
      </c>
      <c r="BV23" s="59">
        <f>SUM(BV4:BV17)</f>
        <v>0</v>
      </c>
      <c r="CG23" s="173"/>
      <c r="CR23" s="59">
        <f>SUM(CR4:CR17)</f>
        <v>0</v>
      </c>
      <c r="CT23" s="59">
        <f>SUM(CT4:CT17)</f>
        <v>0</v>
      </c>
      <c r="DP23" s="59">
        <f>SUM(DP4:DP17)</f>
        <v>0</v>
      </c>
      <c r="DR23" s="59">
        <f>SUM(DR4:DR17)</f>
        <v>0</v>
      </c>
      <c r="DS23" s="164">
        <f>SUM(DS4:DS17)</f>
        <v>0</v>
      </c>
      <c r="DT23" s="165">
        <f>SUM(DT4:DT17)</f>
        <v>0</v>
      </c>
      <c r="DU23" s="166">
        <f>SUM(DU4:DU17)</f>
        <v>0</v>
      </c>
    </row>
    <row r="24" spans="1:125" ht="17.100000000000001" customHeight="1" thickBot="1" x14ac:dyDescent="0.3">
      <c r="A24" s="123"/>
      <c r="B24" s="19"/>
      <c r="CB24" s="5" t="s">
        <v>50</v>
      </c>
      <c r="DS24" s="44"/>
      <c r="DT24" s="46"/>
      <c r="DU24" s="44"/>
    </row>
    <row r="25" spans="1:125" ht="17.100000000000001" customHeight="1" x14ac:dyDescent="0.25">
      <c r="A25" s="27"/>
      <c r="B25" s="19"/>
      <c r="AD25" s="5" t="s">
        <v>49</v>
      </c>
    </row>
    <row r="26" spans="1:125" ht="17.100000000000001" customHeight="1" thickBot="1" x14ac:dyDescent="0.3">
      <c r="A26" s="36"/>
      <c r="B26" s="28"/>
    </row>
    <row r="27" spans="1:125" ht="17.100000000000001" customHeight="1" thickBot="1" x14ac:dyDescent="0.3">
      <c r="A27" s="142"/>
    </row>
    <row r="28" spans="1:125" ht="17.100000000000001" customHeight="1" x14ac:dyDescent="0.25"/>
    <row r="29" spans="1:125" ht="17.100000000000001" customHeight="1" x14ac:dyDescent="0.25"/>
    <row r="30" spans="1:125" ht="17.100000000000001" customHeight="1" x14ac:dyDescent="0.25"/>
  </sheetData>
  <sheetProtection formatCells="0" formatColumns="0" formatRows="0" insertColumns="0" insertRows="0" insertHyperlinks="0" deleteColumns="0" deleteRows="0" sort="0" autoFilter="0" pivotTables="0"/>
  <mergeCells count="82">
    <mergeCell ref="AJ1:AL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BT1:BV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DD1:DF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C2:E2"/>
    <mergeCell ref="F2:H2"/>
    <mergeCell ref="I2:K2"/>
    <mergeCell ref="L2:N2"/>
    <mergeCell ref="O2:Q2"/>
    <mergeCell ref="DG1:DI1"/>
    <mergeCell ref="DJ1:DL1"/>
    <mergeCell ref="DM1:DO1"/>
    <mergeCell ref="DP1:DR1"/>
    <mergeCell ref="DS1:DU1"/>
    <mergeCell ref="AY2:BA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CI2:CK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DS2:DU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</mergeCells>
  <printOptions horizontalCentered="1"/>
  <pageMargins left="0.19685039370078741" right="0.19685039370078741" top="0.19685039370078741" bottom="0.19685039370078741" header="0" footer="0"/>
  <pageSetup paperSize="9" scale="74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D288-9C01-4D0E-A9BE-84E94B2B07D7}">
  <sheetPr>
    <pageSetUpPr fitToPage="1"/>
  </sheetPr>
  <dimension ref="A1:DU29"/>
  <sheetViews>
    <sheetView zoomScaleNormal="100" workbookViewId="0">
      <pane xSplit="1" topLeftCell="B1" activePane="topRight" state="frozen"/>
      <selection pane="topRight" activeCell="DU4" sqref="DU4:DU19"/>
    </sheetView>
  </sheetViews>
  <sheetFormatPr baseColWidth="10" defaultRowHeight="15" x14ac:dyDescent="0.25"/>
  <cols>
    <col min="1" max="1" width="30.7109375" style="5" bestFit="1" customWidth="1"/>
    <col min="2" max="2" width="8" style="43" bestFit="1" customWidth="1"/>
    <col min="3" max="3" width="8.7109375" style="5" hidden="1" customWidth="1"/>
    <col min="4" max="4" width="2.7109375" style="5" hidden="1" customWidth="1"/>
    <col min="5" max="6" width="8.7109375" style="5" hidden="1" customWidth="1"/>
    <col min="7" max="7" width="2.7109375" style="5" hidden="1" customWidth="1"/>
    <col min="8" max="9" width="8.7109375" style="5" hidden="1" customWidth="1"/>
    <col min="10" max="10" width="2.7109375" style="5" hidden="1" customWidth="1"/>
    <col min="11" max="12" width="8.7109375" style="5" hidden="1" customWidth="1"/>
    <col min="13" max="13" width="2.7109375" style="5" hidden="1" customWidth="1"/>
    <col min="14" max="14" width="8.7109375" style="5" hidden="1" customWidth="1"/>
    <col min="15" max="15" width="8.7109375" style="5" customWidth="1"/>
    <col min="16" max="16" width="2.7109375" style="5" customWidth="1"/>
    <col min="17" max="18" width="8.7109375" style="5" customWidth="1"/>
    <col min="19" max="19" width="2.7109375" style="5" customWidth="1"/>
    <col min="20" max="21" width="8.7109375" style="5" customWidth="1"/>
    <col min="22" max="22" width="2.7109375" style="5" customWidth="1"/>
    <col min="23" max="23" width="8.7109375" style="5" customWidth="1"/>
    <col min="24" max="24" width="9.42578125" style="5" bestFit="1" customWidth="1"/>
    <col min="25" max="25" width="2.7109375" style="5" customWidth="1"/>
    <col min="26" max="26" width="10.42578125" style="45" bestFit="1" customWidth="1"/>
    <col min="27" max="27" width="8.7109375" style="5" customWidth="1"/>
    <col min="28" max="28" width="2.7109375" style="5" customWidth="1"/>
    <col min="29" max="30" width="8.7109375" style="5" customWidth="1"/>
    <col min="31" max="31" width="2.7109375" style="5" customWidth="1"/>
    <col min="32" max="33" width="8.7109375" style="5" customWidth="1"/>
    <col min="34" max="34" width="3.85546875" style="5" customWidth="1"/>
    <col min="35" max="36" width="8.7109375" style="5" customWidth="1"/>
    <col min="37" max="37" width="2.7109375" style="5" customWidth="1"/>
    <col min="38" max="39" width="8.7109375" style="5" customWidth="1"/>
    <col min="40" max="40" width="2.7109375" style="5" customWidth="1"/>
    <col min="41" max="42" width="8.7109375" style="5" customWidth="1"/>
    <col min="43" max="43" width="2.7109375" style="5" customWidth="1"/>
    <col min="44" max="45" width="8.7109375" style="5" customWidth="1"/>
    <col min="46" max="46" width="2.7109375" style="5" customWidth="1"/>
    <col min="47" max="47" width="8.7109375" style="5" customWidth="1"/>
    <col min="48" max="48" width="9.42578125" style="5" bestFit="1" customWidth="1"/>
    <col min="49" max="49" width="4.5703125" style="5" customWidth="1"/>
    <col min="50" max="50" width="10.42578125" style="5" bestFit="1" customWidth="1"/>
    <col min="51" max="51" width="8.7109375" style="5" customWidth="1"/>
    <col min="52" max="52" width="2.7109375" style="5" customWidth="1"/>
    <col min="53" max="54" width="8.7109375" style="5" customWidth="1"/>
    <col min="55" max="55" width="2.7109375" style="5" customWidth="1"/>
    <col min="56" max="57" width="8.7109375" style="5" customWidth="1"/>
    <col min="58" max="58" width="2.7109375" style="5" customWidth="1"/>
    <col min="59" max="60" width="8.7109375" style="5" customWidth="1"/>
    <col min="61" max="61" width="2.7109375" style="5" customWidth="1"/>
    <col min="62" max="63" width="8.7109375" style="5" customWidth="1"/>
    <col min="64" max="64" width="2.7109375" style="5" customWidth="1"/>
    <col min="65" max="66" width="8.7109375" style="5" customWidth="1"/>
    <col min="67" max="67" width="2.7109375" style="5" customWidth="1"/>
    <col min="68" max="69" width="8.7109375" style="5" customWidth="1"/>
    <col min="70" max="70" width="2.7109375" style="5" customWidth="1"/>
    <col min="71" max="71" width="8.7109375" style="5" customWidth="1"/>
    <col min="72" max="72" width="10.42578125" style="5" bestFit="1" customWidth="1"/>
    <col min="73" max="73" width="2.7109375" style="5" customWidth="1"/>
    <col min="74" max="74" width="10.42578125" style="5" bestFit="1" customWidth="1"/>
    <col min="75" max="75" width="8.7109375" style="5" customWidth="1"/>
    <col min="76" max="76" width="2.7109375" style="5" customWidth="1"/>
    <col min="77" max="78" width="8.7109375" style="5" customWidth="1"/>
    <col min="79" max="79" width="2.7109375" style="5" customWidth="1"/>
    <col min="80" max="81" width="8.7109375" style="5" customWidth="1"/>
    <col min="82" max="82" width="2.7109375" style="5" customWidth="1"/>
    <col min="83" max="84" width="8.7109375" style="5" customWidth="1"/>
    <col min="85" max="85" width="2.7109375" style="5" customWidth="1"/>
    <col min="86" max="87" width="8.7109375" style="5" customWidth="1"/>
    <col min="88" max="88" width="2.7109375" style="5" customWidth="1"/>
    <col min="89" max="90" width="8.7109375" style="5" customWidth="1"/>
    <col min="91" max="91" width="2.7109375" style="5" customWidth="1"/>
    <col min="92" max="93" width="8.7109375" style="5" customWidth="1"/>
    <col min="94" max="94" width="2.7109375" style="5" customWidth="1"/>
    <col min="95" max="95" width="8.7109375" style="5" customWidth="1"/>
    <col min="96" max="96" width="10.42578125" style="5" bestFit="1" customWidth="1"/>
    <col min="97" max="97" width="2.7109375" style="5" customWidth="1"/>
    <col min="98" max="98" width="10.42578125" style="5" bestFit="1" customWidth="1"/>
    <col min="99" max="99" width="8.7109375" style="5" customWidth="1"/>
    <col min="100" max="100" width="2.7109375" style="5" customWidth="1"/>
    <col min="101" max="102" width="8.7109375" style="5" customWidth="1"/>
    <col min="103" max="103" width="2.7109375" style="5" customWidth="1"/>
    <col min="104" max="105" width="8.7109375" style="5" customWidth="1"/>
    <col min="106" max="106" width="2.7109375" style="5" customWidth="1"/>
    <col min="107" max="108" width="8.7109375" style="5" customWidth="1"/>
    <col min="109" max="109" width="2.7109375" style="5" customWidth="1"/>
    <col min="110" max="111" width="8.7109375" style="5" customWidth="1"/>
    <col min="112" max="112" width="2.7109375" style="5" customWidth="1"/>
    <col min="113" max="114" width="8.7109375" style="5" customWidth="1"/>
    <col min="115" max="115" width="2.7109375" style="5" customWidth="1"/>
    <col min="116" max="117" width="8.7109375" style="5" customWidth="1"/>
    <col min="118" max="118" width="2.7109375" style="5" customWidth="1"/>
    <col min="119" max="119" width="8.7109375" style="5" customWidth="1"/>
    <col min="120" max="120" width="10.42578125" style="5" bestFit="1" customWidth="1"/>
    <col min="121" max="121" width="2.7109375" style="5" customWidth="1"/>
    <col min="122" max="122" width="10.42578125" style="5" bestFit="1" customWidth="1"/>
    <col min="123" max="123" width="11.5703125" style="5" bestFit="1" customWidth="1"/>
    <col min="124" max="124" width="4.42578125" style="5" bestFit="1" customWidth="1"/>
    <col min="125" max="125" width="13.28515625" style="5" bestFit="1" customWidth="1"/>
    <col min="126" max="16384" width="11.42578125" style="5"/>
  </cols>
  <sheetData>
    <row r="1" spans="1:125" ht="26.25" x14ac:dyDescent="0.4">
      <c r="A1" s="4" t="s">
        <v>41</v>
      </c>
      <c r="B1" s="76" t="s">
        <v>0</v>
      </c>
      <c r="C1" s="232">
        <v>1</v>
      </c>
      <c r="D1" s="233"/>
      <c r="E1" s="233"/>
      <c r="F1" s="232">
        <v>2</v>
      </c>
      <c r="G1" s="233"/>
      <c r="H1" s="233"/>
      <c r="I1" s="232">
        <v>3</v>
      </c>
      <c r="J1" s="233"/>
      <c r="K1" s="233"/>
      <c r="L1" s="233">
        <v>4</v>
      </c>
      <c r="M1" s="233"/>
      <c r="N1" s="233"/>
      <c r="O1" s="233">
        <v>1</v>
      </c>
      <c r="P1" s="233"/>
      <c r="Q1" s="233"/>
      <c r="R1" s="233">
        <v>2</v>
      </c>
      <c r="S1" s="233"/>
      <c r="T1" s="233"/>
      <c r="U1" s="233">
        <v>3</v>
      </c>
      <c r="V1" s="233"/>
      <c r="W1" s="300"/>
      <c r="X1" s="216" t="s">
        <v>1</v>
      </c>
      <c r="Y1" s="217"/>
      <c r="Z1" s="218"/>
      <c r="AA1" s="234">
        <v>4</v>
      </c>
      <c r="AB1" s="227"/>
      <c r="AC1" s="227"/>
      <c r="AD1" s="227">
        <v>5</v>
      </c>
      <c r="AE1" s="227"/>
      <c r="AF1" s="227"/>
      <c r="AG1" s="227">
        <v>6</v>
      </c>
      <c r="AH1" s="227"/>
      <c r="AI1" s="227"/>
      <c r="AJ1" s="227">
        <v>7</v>
      </c>
      <c r="AK1" s="227"/>
      <c r="AL1" s="227"/>
      <c r="AM1" s="227">
        <v>8</v>
      </c>
      <c r="AN1" s="227"/>
      <c r="AO1" s="227"/>
      <c r="AP1" s="227">
        <v>9</v>
      </c>
      <c r="AQ1" s="227"/>
      <c r="AR1" s="227"/>
      <c r="AS1" s="227">
        <v>10</v>
      </c>
      <c r="AT1" s="227"/>
      <c r="AU1" s="228"/>
      <c r="AV1" s="216" t="s">
        <v>1</v>
      </c>
      <c r="AW1" s="217"/>
      <c r="AX1" s="218"/>
      <c r="AY1" s="229">
        <v>11</v>
      </c>
      <c r="AZ1" s="230"/>
      <c r="BA1" s="230"/>
      <c r="BB1" s="230">
        <v>12</v>
      </c>
      <c r="BC1" s="230"/>
      <c r="BD1" s="230"/>
      <c r="BE1" s="230">
        <v>13</v>
      </c>
      <c r="BF1" s="230"/>
      <c r="BG1" s="230"/>
      <c r="BH1" s="230">
        <v>14</v>
      </c>
      <c r="BI1" s="230"/>
      <c r="BJ1" s="230"/>
      <c r="BK1" s="230">
        <v>15</v>
      </c>
      <c r="BL1" s="230"/>
      <c r="BM1" s="230"/>
      <c r="BN1" s="230">
        <v>16</v>
      </c>
      <c r="BO1" s="230"/>
      <c r="BP1" s="230"/>
      <c r="BQ1" s="230">
        <v>17</v>
      </c>
      <c r="BR1" s="230"/>
      <c r="BS1" s="231"/>
      <c r="BT1" s="216" t="s">
        <v>1</v>
      </c>
      <c r="BU1" s="217"/>
      <c r="BV1" s="218"/>
      <c r="BW1" s="223">
        <v>18</v>
      </c>
      <c r="BX1" s="224"/>
      <c r="BY1" s="224"/>
      <c r="BZ1" s="224">
        <v>19</v>
      </c>
      <c r="CA1" s="224"/>
      <c r="CB1" s="224"/>
      <c r="CC1" s="224">
        <v>20</v>
      </c>
      <c r="CD1" s="224"/>
      <c r="CE1" s="224"/>
      <c r="CF1" s="224">
        <v>21</v>
      </c>
      <c r="CG1" s="224"/>
      <c r="CH1" s="224"/>
      <c r="CI1" s="224">
        <v>22</v>
      </c>
      <c r="CJ1" s="224"/>
      <c r="CK1" s="224"/>
      <c r="CL1" s="224">
        <v>23</v>
      </c>
      <c r="CM1" s="224"/>
      <c r="CN1" s="224"/>
      <c r="CO1" s="224">
        <v>24</v>
      </c>
      <c r="CP1" s="224"/>
      <c r="CQ1" s="225"/>
      <c r="CR1" s="216" t="s">
        <v>1</v>
      </c>
      <c r="CS1" s="217"/>
      <c r="CT1" s="218"/>
      <c r="CU1" s="234">
        <v>25</v>
      </c>
      <c r="CV1" s="227"/>
      <c r="CW1" s="227"/>
      <c r="CX1" s="227">
        <v>26</v>
      </c>
      <c r="CY1" s="227"/>
      <c r="CZ1" s="227"/>
      <c r="DA1" s="227">
        <v>27</v>
      </c>
      <c r="DB1" s="227"/>
      <c r="DC1" s="227"/>
      <c r="DD1" s="227">
        <v>28</v>
      </c>
      <c r="DE1" s="227"/>
      <c r="DF1" s="227"/>
      <c r="DG1" s="227">
        <v>29</v>
      </c>
      <c r="DH1" s="227"/>
      <c r="DI1" s="227"/>
      <c r="DJ1" s="227">
        <v>30</v>
      </c>
      <c r="DK1" s="227"/>
      <c r="DL1" s="227"/>
      <c r="DM1" s="227">
        <v>31</v>
      </c>
      <c r="DN1" s="227"/>
      <c r="DO1" s="228"/>
      <c r="DP1" s="216" t="s">
        <v>1</v>
      </c>
      <c r="DQ1" s="217"/>
      <c r="DR1" s="218"/>
      <c r="DS1" s="219" t="s">
        <v>1</v>
      </c>
      <c r="DT1" s="220"/>
      <c r="DU1" s="221"/>
    </row>
    <row r="2" spans="1:125" ht="19.5" thickBot="1" x14ac:dyDescent="0.3">
      <c r="A2" s="6" t="s">
        <v>2</v>
      </c>
      <c r="B2" s="77" t="s">
        <v>3</v>
      </c>
      <c r="C2" s="222" t="s">
        <v>10</v>
      </c>
      <c r="D2" s="207"/>
      <c r="E2" s="207"/>
      <c r="F2" s="222" t="s">
        <v>11</v>
      </c>
      <c r="G2" s="207"/>
      <c r="H2" s="207"/>
      <c r="I2" s="222" t="s">
        <v>4</v>
      </c>
      <c r="J2" s="207"/>
      <c r="K2" s="207"/>
      <c r="L2" s="207" t="s">
        <v>5</v>
      </c>
      <c r="M2" s="207"/>
      <c r="N2" s="207"/>
      <c r="O2" s="207" t="s">
        <v>6</v>
      </c>
      <c r="P2" s="207"/>
      <c r="Q2" s="207"/>
      <c r="R2" s="207" t="s">
        <v>7</v>
      </c>
      <c r="S2" s="207"/>
      <c r="T2" s="207"/>
      <c r="U2" s="207" t="s">
        <v>8</v>
      </c>
      <c r="V2" s="207"/>
      <c r="W2" s="299"/>
      <c r="X2" s="197" t="s">
        <v>9</v>
      </c>
      <c r="Y2" s="198"/>
      <c r="Z2" s="199"/>
      <c r="AA2" s="211" t="s">
        <v>10</v>
      </c>
      <c r="AB2" s="212"/>
      <c r="AC2" s="212"/>
      <c r="AD2" s="212" t="s">
        <v>11</v>
      </c>
      <c r="AE2" s="212"/>
      <c r="AF2" s="212"/>
      <c r="AG2" s="212" t="s">
        <v>4</v>
      </c>
      <c r="AH2" s="212"/>
      <c r="AI2" s="212"/>
      <c r="AJ2" s="212" t="s">
        <v>5</v>
      </c>
      <c r="AK2" s="212"/>
      <c r="AL2" s="212"/>
      <c r="AM2" s="212" t="s">
        <v>6</v>
      </c>
      <c r="AN2" s="212"/>
      <c r="AO2" s="212"/>
      <c r="AP2" s="212" t="s">
        <v>7</v>
      </c>
      <c r="AQ2" s="212"/>
      <c r="AR2" s="212"/>
      <c r="AS2" s="212" t="s">
        <v>8</v>
      </c>
      <c r="AT2" s="212"/>
      <c r="AU2" s="213"/>
      <c r="AV2" s="197" t="s">
        <v>12</v>
      </c>
      <c r="AW2" s="198"/>
      <c r="AX2" s="199"/>
      <c r="AY2" s="206" t="s">
        <v>10</v>
      </c>
      <c r="AZ2" s="203"/>
      <c r="BA2" s="203"/>
      <c r="BB2" s="203" t="s">
        <v>11</v>
      </c>
      <c r="BC2" s="203"/>
      <c r="BD2" s="203"/>
      <c r="BE2" s="203" t="s">
        <v>4</v>
      </c>
      <c r="BF2" s="203"/>
      <c r="BG2" s="203"/>
      <c r="BH2" s="203" t="s">
        <v>5</v>
      </c>
      <c r="BI2" s="203"/>
      <c r="BJ2" s="203"/>
      <c r="BK2" s="203" t="s">
        <v>6</v>
      </c>
      <c r="BL2" s="203"/>
      <c r="BM2" s="203"/>
      <c r="BN2" s="203" t="s">
        <v>7</v>
      </c>
      <c r="BO2" s="203"/>
      <c r="BP2" s="203"/>
      <c r="BQ2" s="203" t="s">
        <v>8</v>
      </c>
      <c r="BR2" s="203"/>
      <c r="BS2" s="204"/>
      <c r="BT2" s="197" t="s">
        <v>13</v>
      </c>
      <c r="BU2" s="198"/>
      <c r="BV2" s="199"/>
      <c r="BW2" s="205" t="s">
        <v>10</v>
      </c>
      <c r="BX2" s="195"/>
      <c r="BY2" s="195"/>
      <c r="BZ2" s="195" t="s">
        <v>11</v>
      </c>
      <c r="CA2" s="195"/>
      <c r="CB2" s="195"/>
      <c r="CC2" s="195" t="s">
        <v>4</v>
      </c>
      <c r="CD2" s="195"/>
      <c r="CE2" s="195"/>
      <c r="CF2" s="195" t="s">
        <v>5</v>
      </c>
      <c r="CG2" s="195"/>
      <c r="CH2" s="195"/>
      <c r="CI2" s="195" t="s">
        <v>6</v>
      </c>
      <c r="CJ2" s="195"/>
      <c r="CK2" s="195"/>
      <c r="CL2" s="195" t="s">
        <v>7</v>
      </c>
      <c r="CM2" s="195"/>
      <c r="CN2" s="195"/>
      <c r="CO2" s="195" t="s">
        <v>8</v>
      </c>
      <c r="CP2" s="195"/>
      <c r="CQ2" s="196"/>
      <c r="CR2" s="197" t="s">
        <v>14</v>
      </c>
      <c r="CS2" s="198"/>
      <c r="CT2" s="199"/>
      <c r="CU2" s="211" t="s">
        <v>10</v>
      </c>
      <c r="CV2" s="212"/>
      <c r="CW2" s="212"/>
      <c r="CX2" s="212" t="s">
        <v>11</v>
      </c>
      <c r="CY2" s="212"/>
      <c r="CZ2" s="212"/>
      <c r="DA2" s="212" t="s">
        <v>4</v>
      </c>
      <c r="DB2" s="212"/>
      <c r="DC2" s="212"/>
      <c r="DD2" s="212" t="s">
        <v>5</v>
      </c>
      <c r="DE2" s="212"/>
      <c r="DF2" s="212"/>
      <c r="DG2" s="297" t="s">
        <v>6</v>
      </c>
      <c r="DH2" s="297"/>
      <c r="DI2" s="297"/>
      <c r="DJ2" s="297" t="s">
        <v>7</v>
      </c>
      <c r="DK2" s="297"/>
      <c r="DL2" s="297"/>
      <c r="DM2" s="297" t="s">
        <v>37</v>
      </c>
      <c r="DN2" s="297"/>
      <c r="DO2" s="298"/>
      <c r="DP2" s="197" t="s">
        <v>15</v>
      </c>
      <c r="DQ2" s="198"/>
      <c r="DR2" s="199"/>
      <c r="DS2" s="192" t="s">
        <v>16</v>
      </c>
      <c r="DT2" s="193"/>
      <c r="DU2" s="194"/>
    </row>
    <row r="3" spans="1:125" s="17" customFormat="1" ht="17.100000000000001" customHeight="1" thickBot="1" x14ac:dyDescent="0.2">
      <c r="A3" s="7" t="s">
        <v>17</v>
      </c>
      <c r="B3" s="78" t="s">
        <v>18</v>
      </c>
      <c r="C3" s="8" t="s">
        <v>19</v>
      </c>
      <c r="D3" s="9" t="s">
        <v>20</v>
      </c>
      <c r="E3" s="10" t="s">
        <v>21</v>
      </c>
      <c r="F3" s="8" t="s">
        <v>19</v>
      </c>
      <c r="G3" s="9" t="s">
        <v>20</v>
      </c>
      <c r="H3" s="10" t="s">
        <v>21</v>
      </c>
      <c r="I3" s="8" t="s">
        <v>19</v>
      </c>
      <c r="J3" s="9" t="s">
        <v>20</v>
      </c>
      <c r="K3" s="10" t="s">
        <v>21</v>
      </c>
      <c r="L3" s="11" t="s">
        <v>19</v>
      </c>
      <c r="M3" s="9" t="s">
        <v>20</v>
      </c>
      <c r="N3" s="10" t="s">
        <v>21</v>
      </c>
      <c r="O3" s="11" t="s">
        <v>19</v>
      </c>
      <c r="P3" s="9" t="s">
        <v>20</v>
      </c>
      <c r="Q3" s="10" t="s">
        <v>21</v>
      </c>
      <c r="R3" s="11" t="s">
        <v>19</v>
      </c>
      <c r="S3" s="9" t="s">
        <v>20</v>
      </c>
      <c r="T3" s="10" t="s">
        <v>21</v>
      </c>
      <c r="U3" s="11" t="s">
        <v>19</v>
      </c>
      <c r="V3" s="9" t="s">
        <v>20</v>
      </c>
      <c r="W3" s="12" t="s">
        <v>21</v>
      </c>
      <c r="X3" s="8" t="s">
        <v>19</v>
      </c>
      <c r="Y3" s="13" t="s">
        <v>20</v>
      </c>
      <c r="Z3" s="12" t="s">
        <v>21</v>
      </c>
      <c r="AA3" s="8" t="s">
        <v>19</v>
      </c>
      <c r="AB3" s="9" t="s">
        <v>20</v>
      </c>
      <c r="AC3" s="10" t="s">
        <v>21</v>
      </c>
      <c r="AD3" s="8" t="s">
        <v>19</v>
      </c>
      <c r="AE3" s="9" t="s">
        <v>20</v>
      </c>
      <c r="AF3" s="10" t="s">
        <v>21</v>
      </c>
      <c r="AG3" s="8" t="s">
        <v>19</v>
      </c>
      <c r="AH3" s="9" t="s">
        <v>20</v>
      </c>
      <c r="AI3" s="10" t="s">
        <v>21</v>
      </c>
      <c r="AJ3" s="11" t="s">
        <v>19</v>
      </c>
      <c r="AK3" s="9" t="s">
        <v>20</v>
      </c>
      <c r="AL3" s="10" t="s">
        <v>21</v>
      </c>
      <c r="AM3" s="11" t="s">
        <v>19</v>
      </c>
      <c r="AN3" s="9" t="s">
        <v>20</v>
      </c>
      <c r="AO3" s="10" t="s">
        <v>21</v>
      </c>
      <c r="AP3" s="11" t="s">
        <v>19</v>
      </c>
      <c r="AQ3" s="9" t="s">
        <v>20</v>
      </c>
      <c r="AR3" s="10" t="s">
        <v>21</v>
      </c>
      <c r="AS3" s="11" t="s">
        <v>19</v>
      </c>
      <c r="AT3" s="9" t="s">
        <v>20</v>
      </c>
      <c r="AU3" s="12" t="s">
        <v>21</v>
      </c>
      <c r="AV3" s="8" t="s">
        <v>19</v>
      </c>
      <c r="AW3" s="13" t="s">
        <v>20</v>
      </c>
      <c r="AX3" s="12" t="s">
        <v>21</v>
      </c>
      <c r="AY3" s="8" t="s">
        <v>19</v>
      </c>
      <c r="AZ3" s="9" t="s">
        <v>20</v>
      </c>
      <c r="BA3" s="10" t="s">
        <v>21</v>
      </c>
      <c r="BB3" s="11" t="s">
        <v>19</v>
      </c>
      <c r="BC3" s="9" t="s">
        <v>20</v>
      </c>
      <c r="BD3" s="10" t="s">
        <v>21</v>
      </c>
      <c r="BE3" s="11" t="s">
        <v>19</v>
      </c>
      <c r="BF3" s="9" t="s">
        <v>20</v>
      </c>
      <c r="BG3" s="10" t="s">
        <v>21</v>
      </c>
      <c r="BH3" s="11" t="s">
        <v>19</v>
      </c>
      <c r="BI3" s="9" t="s">
        <v>20</v>
      </c>
      <c r="BJ3" s="10" t="s">
        <v>21</v>
      </c>
      <c r="BK3" s="11" t="s">
        <v>19</v>
      </c>
      <c r="BL3" s="9" t="s">
        <v>20</v>
      </c>
      <c r="BM3" s="10" t="s">
        <v>21</v>
      </c>
      <c r="BN3" s="11" t="s">
        <v>19</v>
      </c>
      <c r="BO3" s="9" t="s">
        <v>20</v>
      </c>
      <c r="BP3" s="10" t="s">
        <v>21</v>
      </c>
      <c r="BQ3" s="11" t="s">
        <v>19</v>
      </c>
      <c r="BR3" s="9" t="s">
        <v>20</v>
      </c>
      <c r="BS3" s="12" t="s">
        <v>21</v>
      </c>
      <c r="BT3" s="8" t="s">
        <v>19</v>
      </c>
      <c r="BU3" s="13" t="s">
        <v>20</v>
      </c>
      <c r="BV3" s="12" t="s">
        <v>21</v>
      </c>
      <c r="BW3" s="8" t="s">
        <v>19</v>
      </c>
      <c r="BX3" s="9" t="s">
        <v>20</v>
      </c>
      <c r="BY3" s="10" t="s">
        <v>21</v>
      </c>
      <c r="BZ3" s="11" t="s">
        <v>19</v>
      </c>
      <c r="CA3" s="9" t="s">
        <v>20</v>
      </c>
      <c r="CB3" s="10" t="s">
        <v>21</v>
      </c>
      <c r="CC3" s="11" t="s">
        <v>19</v>
      </c>
      <c r="CD3" s="9" t="s">
        <v>20</v>
      </c>
      <c r="CE3" s="10" t="s">
        <v>21</v>
      </c>
      <c r="CF3" s="11" t="s">
        <v>19</v>
      </c>
      <c r="CG3" s="9" t="s">
        <v>20</v>
      </c>
      <c r="CH3" s="10" t="s">
        <v>21</v>
      </c>
      <c r="CI3" s="11" t="s">
        <v>19</v>
      </c>
      <c r="CJ3" s="9" t="s">
        <v>20</v>
      </c>
      <c r="CK3" s="10" t="s">
        <v>21</v>
      </c>
      <c r="CL3" s="11" t="s">
        <v>19</v>
      </c>
      <c r="CM3" s="9" t="s">
        <v>20</v>
      </c>
      <c r="CN3" s="10" t="s">
        <v>21</v>
      </c>
      <c r="CO3" s="11" t="s">
        <v>19</v>
      </c>
      <c r="CP3" s="9" t="s">
        <v>20</v>
      </c>
      <c r="CQ3" s="12" t="s">
        <v>21</v>
      </c>
      <c r="CR3" s="8" t="s">
        <v>19</v>
      </c>
      <c r="CS3" s="13" t="s">
        <v>20</v>
      </c>
      <c r="CT3" s="12" t="s">
        <v>21</v>
      </c>
      <c r="CU3" s="8" t="s">
        <v>19</v>
      </c>
      <c r="CV3" s="9" t="s">
        <v>20</v>
      </c>
      <c r="CW3" s="10" t="s">
        <v>21</v>
      </c>
      <c r="CX3" s="11" t="s">
        <v>19</v>
      </c>
      <c r="CY3" s="9" t="s">
        <v>20</v>
      </c>
      <c r="CZ3" s="10" t="s">
        <v>21</v>
      </c>
      <c r="DA3" s="11" t="s">
        <v>19</v>
      </c>
      <c r="DB3" s="9" t="s">
        <v>20</v>
      </c>
      <c r="DC3" s="10" t="s">
        <v>21</v>
      </c>
      <c r="DD3" s="11" t="s">
        <v>19</v>
      </c>
      <c r="DE3" s="9" t="s">
        <v>20</v>
      </c>
      <c r="DF3" s="10" t="s">
        <v>21</v>
      </c>
      <c r="DG3" s="11" t="s">
        <v>19</v>
      </c>
      <c r="DH3" s="9" t="s">
        <v>20</v>
      </c>
      <c r="DI3" s="12" t="s">
        <v>21</v>
      </c>
      <c r="DJ3" s="11" t="s">
        <v>19</v>
      </c>
      <c r="DK3" s="9" t="s">
        <v>20</v>
      </c>
      <c r="DL3" s="12" t="s">
        <v>21</v>
      </c>
      <c r="DM3" s="11" t="s">
        <v>19</v>
      </c>
      <c r="DN3" s="9" t="s">
        <v>20</v>
      </c>
      <c r="DO3" s="12" t="s">
        <v>21</v>
      </c>
      <c r="DP3" s="8" t="s">
        <v>19</v>
      </c>
      <c r="DQ3" s="13" t="s">
        <v>20</v>
      </c>
      <c r="DR3" s="12" t="s">
        <v>21</v>
      </c>
      <c r="DS3" s="14" t="s">
        <v>19</v>
      </c>
      <c r="DT3" s="15" t="s">
        <v>20</v>
      </c>
      <c r="DU3" s="16" t="s">
        <v>21</v>
      </c>
    </row>
    <row r="4" spans="1:125" s="26" customFormat="1" ht="17.100000000000001" customHeight="1" x14ac:dyDescent="0.2">
      <c r="A4" s="18" t="s">
        <v>22</v>
      </c>
      <c r="B4" s="19">
        <v>5000</v>
      </c>
      <c r="C4" s="20"/>
      <c r="D4" s="21"/>
      <c r="E4" s="1">
        <f>$B4*D4</f>
        <v>0</v>
      </c>
      <c r="F4" s="20"/>
      <c r="G4" s="21"/>
      <c r="H4" s="1">
        <f>$B4*G4</f>
        <v>0</v>
      </c>
      <c r="I4" s="20"/>
      <c r="J4" s="21"/>
      <c r="K4" s="1">
        <f>$B4*J4</f>
        <v>0</v>
      </c>
      <c r="L4" s="22"/>
      <c r="M4" s="21"/>
      <c r="N4" s="1">
        <f>$B4*M4</f>
        <v>0</v>
      </c>
      <c r="O4" s="94"/>
      <c r="P4" s="95"/>
      <c r="Q4" s="1">
        <f>$B4*P4</f>
        <v>0</v>
      </c>
      <c r="R4" s="23"/>
      <c r="S4" s="21"/>
      <c r="T4" s="1">
        <f>$B4*S4</f>
        <v>0</v>
      </c>
      <c r="U4" s="24"/>
      <c r="V4" s="21"/>
      <c r="W4" s="63">
        <f>$B4*V4</f>
        <v>0</v>
      </c>
      <c r="X4" s="69">
        <f>C4+F4+I4+L4+O4+R4+U4</f>
        <v>0</v>
      </c>
      <c r="Y4" s="66">
        <f>D4+G4+J4+M4+P4+S4+V4</f>
        <v>0</v>
      </c>
      <c r="Z4" s="72">
        <f>E4+H4+K4+N4+Q4+T4+W4</f>
        <v>0</v>
      </c>
      <c r="AA4" s="25"/>
      <c r="AB4" s="21"/>
      <c r="AC4" s="1">
        <f>$B4*AB4</f>
        <v>0</v>
      </c>
      <c r="AD4" s="24"/>
      <c r="AE4" s="21"/>
      <c r="AF4" s="1">
        <f>$B4*AE4</f>
        <v>0</v>
      </c>
      <c r="AG4" s="24"/>
      <c r="AH4" s="21">
        <v>1</v>
      </c>
      <c r="AI4" s="1">
        <f>$B4*AH4</f>
        <v>5000</v>
      </c>
      <c r="AJ4" s="24"/>
      <c r="AK4" s="21"/>
      <c r="AL4" s="1">
        <f>$B4*AK4</f>
        <v>0</v>
      </c>
      <c r="AM4" s="24"/>
      <c r="AN4" s="21"/>
      <c r="AO4" s="1">
        <f>$B4*AN4</f>
        <v>0</v>
      </c>
      <c r="AP4" s="24"/>
      <c r="AQ4" s="21"/>
      <c r="AR4" s="1">
        <f>$B4*AQ4</f>
        <v>0</v>
      </c>
      <c r="AS4" s="24"/>
      <c r="AT4" s="21"/>
      <c r="AU4" s="1">
        <f>$B4*AT4</f>
        <v>0</v>
      </c>
      <c r="AV4" s="69">
        <f>AA4+AD4+AG4+AJ4+AM4+AP4+AS4</f>
        <v>0</v>
      </c>
      <c r="AW4" s="66">
        <f>AB4+AE4+AH4+AK4+AN4+AQ4+AT4</f>
        <v>1</v>
      </c>
      <c r="AX4" s="47">
        <f>AC4+AF4+AI4+AL4+AO4+AR4+AU4</f>
        <v>5000</v>
      </c>
      <c r="AY4" s="24"/>
      <c r="AZ4" s="21"/>
      <c r="BA4" s="1">
        <f>$B4*AZ4</f>
        <v>0</v>
      </c>
      <c r="BB4" s="24"/>
      <c r="BC4" s="21"/>
      <c r="BD4" s="1">
        <f>$B4*BC4</f>
        <v>0</v>
      </c>
      <c r="BE4" s="24"/>
      <c r="BF4" s="21"/>
      <c r="BG4" s="1">
        <f>$B4*BF4</f>
        <v>0</v>
      </c>
      <c r="BH4" s="24"/>
      <c r="BI4" s="21"/>
      <c r="BJ4" s="1">
        <f>$B4*BI4</f>
        <v>0</v>
      </c>
      <c r="BK4" s="24"/>
      <c r="BL4" s="21"/>
      <c r="BM4" s="1">
        <f>$B4*BL4</f>
        <v>0</v>
      </c>
      <c r="BN4" s="24"/>
      <c r="BO4" s="21"/>
      <c r="BP4" s="1">
        <f>$B4*BO4</f>
        <v>0</v>
      </c>
      <c r="BQ4" s="24"/>
      <c r="BR4" s="21"/>
      <c r="BS4" s="1">
        <f>$B4*BR4</f>
        <v>0</v>
      </c>
      <c r="BT4" s="69">
        <f>AY4+BB4+BE4+BH4+BK4+BN4+BQ4</f>
        <v>0</v>
      </c>
      <c r="BU4" s="66">
        <f>AZ4+BC4+BF4+BI4+BL4+BO4+BR4</f>
        <v>0</v>
      </c>
      <c r="BV4" s="47">
        <f>BA4+BD4+BG4+BJ4+BM4+BP4+BS4</f>
        <v>0</v>
      </c>
      <c r="BW4" s="24"/>
      <c r="BX4" s="21"/>
      <c r="BY4" s="1">
        <f>$B4*BX4</f>
        <v>0</v>
      </c>
      <c r="BZ4" s="24"/>
      <c r="CA4" s="21"/>
      <c r="CB4" s="1">
        <f>$B4*CA4</f>
        <v>0</v>
      </c>
      <c r="CC4" s="24"/>
      <c r="CD4" s="21"/>
      <c r="CE4" s="1">
        <f>$B4*CD4</f>
        <v>0</v>
      </c>
      <c r="CF4" s="24"/>
      <c r="CG4" s="21"/>
      <c r="CH4" s="1">
        <f>$B4*CG4</f>
        <v>0</v>
      </c>
      <c r="CI4" s="24"/>
      <c r="CJ4" s="21"/>
      <c r="CK4" s="1">
        <f>$B4*CJ4</f>
        <v>0</v>
      </c>
      <c r="CL4" s="24"/>
      <c r="CM4" s="21"/>
      <c r="CN4" s="1">
        <f>$B4*CM4</f>
        <v>0</v>
      </c>
      <c r="CO4" s="24"/>
      <c r="CP4" s="21"/>
      <c r="CQ4" s="1">
        <f>$B4*CP4</f>
        <v>0</v>
      </c>
      <c r="CR4" s="69">
        <f>BW4+BZ4+CC4+CF4+CI4+CL4+CO4</f>
        <v>0</v>
      </c>
      <c r="CS4" s="66">
        <f>BX4+CA4+CD4+CG4+CJ4+CM4+CP4</f>
        <v>0</v>
      </c>
      <c r="CT4" s="47">
        <f>BY4+CB4+CE4+CH4+CK4+CN4+CQ4</f>
        <v>0</v>
      </c>
      <c r="CU4" s="24"/>
      <c r="CV4" s="21"/>
      <c r="CW4" s="1">
        <f>$B4*CV4</f>
        <v>0</v>
      </c>
      <c r="CX4" s="24"/>
      <c r="CY4" s="21"/>
      <c r="CZ4" s="1">
        <f>$B4*CY4</f>
        <v>0</v>
      </c>
      <c r="DA4" s="24"/>
      <c r="DB4" s="21"/>
      <c r="DC4" s="1">
        <f>$B4*DB4</f>
        <v>0</v>
      </c>
      <c r="DD4" s="24"/>
      <c r="DE4" s="21"/>
      <c r="DF4" s="1">
        <f>$B4*DE4</f>
        <v>0</v>
      </c>
      <c r="DG4" s="24"/>
      <c r="DH4" s="21"/>
      <c r="DI4" s="1">
        <f>$B4*DH4</f>
        <v>0</v>
      </c>
      <c r="DJ4" s="24"/>
      <c r="DK4" s="21"/>
      <c r="DL4" s="1">
        <f>$B4*DK4</f>
        <v>0</v>
      </c>
      <c r="DM4" s="24"/>
      <c r="DN4" s="21"/>
      <c r="DO4" s="1">
        <f>$B4*DN4</f>
        <v>0</v>
      </c>
      <c r="DP4" s="69">
        <f>CU4+CX4+DA4+DD4+DG4+DJ4+DM4</f>
        <v>0</v>
      </c>
      <c r="DQ4" s="66">
        <f>CV4+CY4+DB4+DE4+DH4+DK4+DN4</f>
        <v>0</v>
      </c>
      <c r="DR4" s="47">
        <f>CW4+CZ4+DC4+DF4+DI4+DL4+DO4</f>
        <v>0</v>
      </c>
      <c r="DS4" s="48">
        <f>X4+AV4+CR4+DP4</f>
        <v>0</v>
      </c>
      <c r="DT4" s="49">
        <f>Y4+AW4+BU4+CS4+DQ4</f>
        <v>1</v>
      </c>
      <c r="DU4" s="50">
        <f>Z4+AX4+BV4+CT4+DR4</f>
        <v>5000</v>
      </c>
    </row>
    <row r="5" spans="1:125" s="26" customFormat="1" ht="17.100000000000001" customHeight="1" x14ac:dyDescent="0.2">
      <c r="A5" s="27" t="s">
        <v>23</v>
      </c>
      <c r="B5" s="28">
        <v>5500</v>
      </c>
      <c r="C5" s="29"/>
      <c r="D5" s="30"/>
      <c r="E5" s="2">
        <f t="shared" ref="E5:E21" si="0">$B5*D5</f>
        <v>0</v>
      </c>
      <c r="F5" s="29"/>
      <c r="G5" s="30"/>
      <c r="H5" s="2">
        <f t="shared" ref="H5:H21" si="1">$B5*G5</f>
        <v>0</v>
      </c>
      <c r="I5" s="29"/>
      <c r="J5" s="30"/>
      <c r="K5" s="2">
        <f t="shared" ref="K5:K21" si="2">$B5*J5</f>
        <v>0</v>
      </c>
      <c r="L5" s="31"/>
      <c r="M5" s="30"/>
      <c r="N5" s="2">
        <f t="shared" ref="N5:N21" si="3">$B5*M5</f>
        <v>0</v>
      </c>
      <c r="O5" s="84"/>
      <c r="P5" s="82"/>
      <c r="Q5" s="2">
        <f t="shared" ref="Q5:Q21" si="4">$B5*P5</f>
        <v>0</v>
      </c>
      <c r="R5" s="32"/>
      <c r="S5" s="30"/>
      <c r="T5" s="2">
        <f t="shared" ref="T5:T21" si="5">$B5*S5</f>
        <v>0</v>
      </c>
      <c r="U5" s="33"/>
      <c r="V5" s="30"/>
      <c r="W5" s="64">
        <f t="shared" ref="W5:W21" si="6">$B5*V5</f>
        <v>0</v>
      </c>
      <c r="X5" s="70">
        <f t="shared" ref="X5:Z21" si="7">C5+F5+I5+L5+O5+R5+U5</f>
        <v>0</v>
      </c>
      <c r="Y5" s="67">
        <f t="shared" si="7"/>
        <v>0</v>
      </c>
      <c r="Z5" s="73">
        <f t="shared" si="7"/>
        <v>0</v>
      </c>
      <c r="AA5" s="35"/>
      <c r="AB5" s="30"/>
      <c r="AC5" s="2">
        <f t="shared" ref="AC5:AC21" si="8">$B5*AB5</f>
        <v>0</v>
      </c>
      <c r="AD5" s="33"/>
      <c r="AE5" s="30"/>
      <c r="AF5" s="2">
        <f t="shared" ref="AF5:AF21" si="9">$B5*AE5</f>
        <v>0</v>
      </c>
      <c r="AG5" s="33"/>
      <c r="AH5" s="30">
        <v>1</v>
      </c>
      <c r="AI5" s="2">
        <f t="shared" ref="AI5:AI21" si="10">$B5*AH5</f>
        <v>5500</v>
      </c>
      <c r="AJ5" s="33"/>
      <c r="AK5" s="30"/>
      <c r="AL5" s="2">
        <f t="shared" ref="AL5:AL21" si="11">$B5*AK5</f>
        <v>0</v>
      </c>
      <c r="AM5" s="33"/>
      <c r="AN5" s="30"/>
      <c r="AO5" s="2">
        <f t="shared" ref="AO5:AO21" si="12">$B5*AN5</f>
        <v>0</v>
      </c>
      <c r="AP5" s="33"/>
      <c r="AQ5" s="30"/>
      <c r="AR5" s="2">
        <f t="shared" ref="AR5:AR21" si="13">$B5*AQ5</f>
        <v>0</v>
      </c>
      <c r="AS5" s="33"/>
      <c r="AT5" s="30"/>
      <c r="AU5" s="2">
        <f t="shared" ref="AU5:AU21" si="14">$B5*AT5</f>
        <v>0</v>
      </c>
      <c r="AV5" s="70">
        <f t="shared" ref="AV5:AX21" si="15">AA5+AD5+AG5+AJ5+AM5+AP5+AS5</f>
        <v>0</v>
      </c>
      <c r="AW5" s="67">
        <f t="shared" si="15"/>
        <v>1</v>
      </c>
      <c r="AX5" s="51">
        <f t="shared" si="15"/>
        <v>5500</v>
      </c>
      <c r="AY5" s="33"/>
      <c r="AZ5" s="30"/>
      <c r="BA5" s="2">
        <f t="shared" ref="BA5:BA21" si="16">$B5*AZ5</f>
        <v>0</v>
      </c>
      <c r="BB5" s="33"/>
      <c r="BC5" s="30"/>
      <c r="BD5" s="2">
        <f t="shared" ref="BD5:BD21" si="17">$B5*BC5</f>
        <v>0</v>
      </c>
      <c r="BE5" s="33"/>
      <c r="BF5" s="30"/>
      <c r="BG5" s="2">
        <f t="shared" ref="BG5:BG21" si="18">$B5*BF5</f>
        <v>0</v>
      </c>
      <c r="BH5" s="33"/>
      <c r="BI5" s="30"/>
      <c r="BJ5" s="2">
        <f t="shared" ref="BJ5:BJ21" si="19">$B5*BI5</f>
        <v>0</v>
      </c>
      <c r="BK5" s="33"/>
      <c r="BL5" s="30"/>
      <c r="BM5" s="2">
        <f t="shared" ref="BM5:BM21" si="20">$B5*BL5</f>
        <v>0</v>
      </c>
      <c r="BN5" s="33"/>
      <c r="BO5" s="30"/>
      <c r="BP5" s="2">
        <f t="shared" ref="BP5:BP21" si="21">$B5*BO5</f>
        <v>0</v>
      </c>
      <c r="BQ5" s="33"/>
      <c r="BR5" s="30"/>
      <c r="BS5" s="2">
        <f t="shared" ref="BS5:BS21" si="22">$B5*BR5</f>
        <v>0</v>
      </c>
      <c r="BT5" s="70">
        <f t="shared" ref="BT5:BV21" si="23">AY5+BB5+BE5+BH5+BK5+BN5+BQ5</f>
        <v>0</v>
      </c>
      <c r="BU5" s="67">
        <f t="shared" si="23"/>
        <v>0</v>
      </c>
      <c r="BV5" s="51">
        <f t="shared" si="23"/>
        <v>0</v>
      </c>
      <c r="BW5" s="33"/>
      <c r="BX5" s="30"/>
      <c r="BY5" s="2">
        <f t="shared" ref="BY5:BY21" si="24">$B5*BX5</f>
        <v>0</v>
      </c>
      <c r="BZ5" s="33"/>
      <c r="CA5" s="30"/>
      <c r="CB5" s="2">
        <f t="shared" ref="CB5:CB21" si="25">$B5*CA5</f>
        <v>0</v>
      </c>
      <c r="CC5" s="33"/>
      <c r="CD5" s="30"/>
      <c r="CE5" s="2">
        <f t="shared" ref="CE5:CE21" si="26">$B5*CD5</f>
        <v>0</v>
      </c>
      <c r="CF5" s="33"/>
      <c r="CG5" s="30"/>
      <c r="CH5" s="2">
        <f t="shared" ref="CH5:CH21" si="27">$B5*CG5</f>
        <v>0</v>
      </c>
      <c r="CI5" s="33"/>
      <c r="CJ5" s="30"/>
      <c r="CK5" s="2">
        <f t="shared" ref="CK5:CK21" si="28">$B5*CJ5</f>
        <v>0</v>
      </c>
      <c r="CL5" s="33"/>
      <c r="CM5" s="30"/>
      <c r="CN5" s="2">
        <f t="shared" ref="CN5:CN21" si="29">$B5*CM5</f>
        <v>0</v>
      </c>
      <c r="CO5" s="33"/>
      <c r="CP5" s="30"/>
      <c r="CQ5" s="2">
        <f t="shared" ref="CQ5:CQ21" si="30">$B5*CP5</f>
        <v>0</v>
      </c>
      <c r="CR5" s="70">
        <f t="shared" ref="CR5:CT21" si="31">BW5+BZ5+CC5+CF5+CI5+CL5+CO5</f>
        <v>0</v>
      </c>
      <c r="CS5" s="67">
        <f t="shared" si="31"/>
        <v>0</v>
      </c>
      <c r="CT5" s="51">
        <f t="shared" si="31"/>
        <v>0</v>
      </c>
      <c r="CU5" s="33"/>
      <c r="CV5" s="30"/>
      <c r="CW5" s="2">
        <f t="shared" ref="CW5:CW21" si="32">$B5*CV5</f>
        <v>0</v>
      </c>
      <c r="CX5" s="33"/>
      <c r="CY5" s="30"/>
      <c r="CZ5" s="2">
        <f t="shared" ref="CZ5:CZ21" si="33">$B5*CY5</f>
        <v>0</v>
      </c>
      <c r="DA5" s="33"/>
      <c r="DB5" s="30"/>
      <c r="DC5" s="2">
        <f t="shared" ref="DC5:DC21" si="34">$B5*DB5</f>
        <v>0</v>
      </c>
      <c r="DD5" s="33"/>
      <c r="DE5" s="30"/>
      <c r="DF5" s="2">
        <f t="shared" ref="DF5:DF21" si="35">$B5*DE5</f>
        <v>0</v>
      </c>
      <c r="DG5" s="33"/>
      <c r="DH5" s="30"/>
      <c r="DI5" s="2">
        <f t="shared" ref="DI5:DI21" si="36">$B5*DH5</f>
        <v>0</v>
      </c>
      <c r="DJ5" s="33"/>
      <c r="DK5" s="30"/>
      <c r="DL5" s="2">
        <f t="shared" ref="DL5:DL21" si="37">$B5*DK5</f>
        <v>0</v>
      </c>
      <c r="DM5" s="33"/>
      <c r="DN5" s="30"/>
      <c r="DO5" s="2">
        <f t="shared" ref="DO5:DO21" si="38">$B5*DN5</f>
        <v>0</v>
      </c>
      <c r="DP5" s="70">
        <f t="shared" ref="DP5:DR21" si="39">CU5+CX5+DA5+DD5+DG5+DJ5+DM5</f>
        <v>0</v>
      </c>
      <c r="DQ5" s="67">
        <f t="shared" si="39"/>
        <v>0</v>
      </c>
      <c r="DR5" s="51">
        <f t="shared" si="39"/>
        <v>0</v>
      </c>
      <c r="DS5" s="52">
        <f t="shared" ref="DS5:DS21" si="40">X5+AV5+CR5+DP5</f>
        <v>0</v>
      </c>
      <c r="DT5" s="53">
        <f t="shared" ref="DT5:DU21" si="41">Y5+AW5+BU5+CS5+DQ5</f>
        <v>1</v>
      </c>
      <c r="DU5" s="54">
        <f t="shared" si="41"/>
        <v>5500</v>
      </c>
    </row>
    <row r="6" spans="1:125" s="26" customFormat="1" ht="17.100000000000001" customHeight="1" x14ac:dyDescent="0.2">
      <c r="A6" s="27" t="s">
        <v>24</v>
      </c>
      <c r="B6" s="28">
        <v>5500</v>
      </c>
      <c r="C6" s="29"/>
      <c r="D6" s="30"/>
      <c r="E6" s="2">
        <f t="shared" si="0"/>
        <v>0</v>
      </c>
      <c r="F6" s="29"/>
      <c r="G6" s="30"/>
      <c r="H6" s="2">
        <f t="shared" si="1"/>
        <v>0</v>
      </c>
      <c r="I6" s="29"/>
      <c r="J6" s="30"/>
      <c r="K6" s="2">
        <f t="shared" si="2"/>
        <v>0</v>
      </c>
      <c r="L6" s="31"/>
      <c r="M6" s="30"/>
      <c r="N6" s="2">
        <f t="shared" si="3"/>
        <v>0</v>
      </c>
      <c r="O6" s="84"/>
      <c r="P6" s="82"/>
      <c r="Q6" s="2">
        <f t="shared" si="4"/>
        <v>0</v>
      </c>
      <c r="R6" s="32"/>
      <c r="S6" s="30"/>
      <c r="T6" s="2">
        <f t="shared" si="5"/>
        <v>0</v>
      </c>
      <c r="U6" s="33"/>
      <c r="V6" s="30"/>
      <c r="W6" s="64">
        <f t="shared" si="6"/>
        <v>0</v>
      </c>
      <c r="X6" s="70">
        <f t="shared" si="7"/>
        <v>0</v>
      </c>
      <c r="Y6" s="67">
        <f t="shared" si="7"/>
        <v>0</v>
      </c>
      <c r="Z6" s="73">
        <f t="shared" si="7"/>
        <v>0</v>
      </c>
      <c r="AA6" s="35"/>
      <c r="AB6" s="30"/>
      <c r="AC6" s="2">
        <f t="shared" si="8"/>
        <v>0</v>
      </c>
      <c r="AD6" s="33"/>
      <c r="AE6" s="30"/>
      <c r="AF6" s="2">
        <f t="shared" si="9"/>
        <v>0</v>
      </c>
      <c r="AG6" s="33"/>
      <c r="AH6" s="30"/>
      <c r="AI6" s="2">
        <f t="shared" si="10"/>
        <v>0</v>
      </c>
      <c r="AJ6" s="33"/>
      <c r="AK6" s="30"/>
      <c r="AL6" s="2">
        <f t="shared" si="11"/>
        <v>0</v>
      </c>
      <c r="AM6" s="33"/>
      <c r="AN6" s="30"/>
      <c r="AO6" s="2">
        <f t="shared" si="12"/>
        <v>0</v>
      </c>
      <c r="AP6" s="33"/>
      <c r="AQ6" s="30"/>
      <c r="AR6" s="2">
        <f t="shared" si="13"/>
        <v>0</v>
      </c>
      <c r="AS6" s="33">
        <v>20000</v>
      </c>
      <c r="AT6" s="30"/>
      <c r="AU6" s="2">
        <f t="shared" si="14"/>
        <v>0</v>
      </c>
      <c r="AV6" s="70">
        <f t="shared" si="15"/>
        <v>20000</v>
      </c>
      <c r="AW6" s="67">
        <f t="shared" si="15"/>
        <v>0</v>
      </c>
      <c r="AX6" s="51">
        <f t="shared" si="15"/>
        <v>0</v>
      </c>
      <c r="AY6" s="33"/>
      <c r="AZ6" s="30"/>
      <c r="BA6" s="2">
        <f t="shared" si="16"/>
        <v>0</v>
      </c>
      <c r="BB6" s="33"/>
      <c r="BC6" s="30"/>
      <c r="BD6" s="2">
        <f t="shared" si="17"/>
        <v>0</v>
      </c>
      <c r="BE6" s="33"/>
      <c r="BF6" s="30"/>
      <c r="BG6" s="2">
        <f t="shared" si="18"/>
        <v>0</v>
      </c>
      <c r="BH6" s="33">
        <v>10000</v>
      </c>
      <c r="BI6" s="30"/>
      <c r="BJ6" s="2">
        <f t="shared" si="19"/>
        <v>0</v>
      </c>
      <c r="BK6" s="33"/>
      <c r="BL6" s="30"/>
      <c r="BM6" s="2">
        <f t="shared" si="20"/>
        <v>0</v>
      </c>
      <c r="BN6" s="33"/>
      <c r="BO6" s="30"/>
      <c r="BP6" s="2">
        <f t="shared" si="21"/>
        <v>0</v>
      </c>
      <c r="BQ6" s="33">
        <v>20000</v>
      </c>
      <c r="BR6" s="30"/>
      <c r="BS6" s="2">
        <f t="shared" si="22"/>
        <v>0</v>
      </c>
      <c r="BT6" s="70">
        <f t="shared" si="23"/>
        <v>30000</v>
      </c>
      <c r="BU6" s="67">
        <f t="shared" si="23"/>
        <v>0</v>
      </c>
      <c r="BV6" s="51">
        <f t="shared" si="23"/>
        <v>0</v>
      </c>
      <c r="BW6" s="33"/>
      <c r="BX6" s="30"/>
      <c r="BY6" s="2">
        <f t="shared" si="24"/>
        <v>0</v>
      </c>
      <c r="BZ6" s="33"/>
      <c r="CA6" s="30"/>
      <c r="CB6" s="2">
        <f t="shared" si="25"/>
        <v>0</v>
      </c>
      <c r="CC6" s="33"/>
      <c r="CD6" s="30"/>
      <c r="CE6" s="2">
        <f t="shared" si="26"/>
        <v>0</v>
      </c>
      <c r="CF6" s="33"/>
      <c r="CG6" s="30"/>
      <c r="CH6" s="2">
        <f t="shared" si="27"/>
        <v>0</v>
      </c>
      <c r="CI6" s="33">
        <v>10000</v>
      </c>
      <c r="CJ6" s="30"/>
      <c r="CK6" s="2">
        <f t="shared" si="28"/>
        <v>0</v>
      </c>
      <c r="CL6" s="33"/>
      <c r="CM6" s="30"/>
      <c r="CN6" s="2">
        <f t="shared" si="29"/>
        <v>0</v>
      </c>
      <c r="CO6" s="33"/>
      <c r="CP6" s="30"/>
      <c r="CQ6" s="2">
        <f t="shared" si="30"/>
        <v>0</v>
      </c>
      <c r="CR6" s="70">
        <f t="shared" si="31"/>
        <v>10000</v>
      </c>
      <c r="CS6" s="67">
        <f t="shared" si="31"/>
        <v>0</v>
      </c>
      <c r="CT6" s="51">
        <f t="shared" si="31"/>
        <v>0</v>
      </c>
      <c r="CU6" s="33"/>
      <c r="CV6" s="30"/>
      <c r="CW6" s="2">
        <f t="shared" si="32"/>
        <v>0</v>
      </c>
      <c r="CX6" s="33"/>
      <c r="CY6" s="30"/>
      <c r="CZ6" s="2">
        <f t="shared" si="33"/>
        <v>0</v>
      </c>
      <c r="DA6" s="33"/>
      <c r="DB6" s="30"/>
      <c r="DC6" s="2">
        <f t="shared" si="34"/>
        <v>0</v>
      </c>
      <c r="DD6" s="33"/>
      <c r="DE6" s="30"/>
      <c r="DF6" s="2">
        <f t="shared" si="35"/>
        <v>0</v>
      </c>
      <c r="DG6" s="33">
        <v>10000</v>
      </c>
      <c r="DH6" s="30"/>
      <c r="DI6" s="2">
        <f t="shared" si="36"/>
        <v>0</v>
      </c>
      <c r="DJ6" s="33"/>
      <c r="DK6" s="30"/>
      <c r="DL6" s="2">
        <f t="shared" si="37"/>
        <v>0</v>
      </c>
      <c r="DM6" s="33"/>
      <c r="DN6" s="30"/>
      <c r="DO6" s="2">
        <f t="shared" si="38"/>
        <v>0</v>
      </c>
      <c r="DP6" s="70">
        <f t="shared" si="39"/>
        <v>10000</v>
      </c>
      <c r="DQ6" s="67">
        <f t="shared" si="39"/>
        <v>0</v>
      </c>
      <c r="DR6" s="51">
        <f t="shared" si="39"/>
        <v>0</v>
      </c>
      <c r="DS6" s="52">
        <v>70000</v>
      </c>
      <c r="DT6" s="53">
        <f t="shared" si="41"/>
        <v>0</v>
      </c>
      <c r="DU6" s="54">
        <f t="shared" si="41"/>
        <v>0</v>
      </c>
    </row>
    <row r="7" spans="1:125" s="26" customFormat="1" ht="17.100000000000001" customHeight="1" x14ac:dyDescent="0.2">
      <c r="A7" s="27" t="s">
        <v>25</v>
      </c>
      <c r="B7" s="28">
        <v>5000</v>
      </c>
      <c r="C7" s="29"/>
      <c r="D7" s="30"/>
      <c r="E7" s="2">
        <f t="shared" si="0"/>
        <v>0</v>
      </c>
      <c r="F7" s="29"/>
      <c r="G7" s="30"/>
      <c r="H7" s="2">
        <f t="shared" si="1"/>
        <v>0</v>
      </c>
      <c r="I7" s="29"/>
      <c r="J7" s="30"/>
      <c r="K7" s="2">
        <f t="shared" si="2"/>
        <v>0</v>
      </c>
      <c r="L7" s="31"/>
      <c r="M7" s="30"/>
      <c r="N7" s="2">
        <f t="shared" si="3"/>
        <v>0</v>
      </c>
      <c r="O7" s="84"/>
      <c r="P7" s="82"/>
      <c r="Q7" s="2">
        <f t="shared" si="4"/>
        <v>0</v>
      </c>
      <c r="R7" s="32"/>
      <c r="S7" s="30"/>
      <c r="T7" s="2">
        <f t="shared" si="5"/>
        <v>0</v>
      </c>
      <c r="U7" s="33"/>
      <c r="V7" s="30"/>
      <c r="W7" s="64">
        <f t="shared" si="6"/>
        <v>0</v>
      </c>
      <c r="X7" s="70">
        <f t="shared" si="7"/>
        <v>0</v>
      </c>
      <c r="Y7" s="67">
        <f t="shared" si="7"/>
        <v>0</v>
      </c>
      <c r="Z7" s="73">
        <f t="shared" si="7"/>
        <v>0</v>
      </c>
      <c r="AA7" s="35"/>
      <c r="AB7" s="30"/>
      <c r="AC7" s="2">
        <f t="shared" si="8"/>
        <v>0</v>
      </c>
      <c r="AD7" s="33"/>
      <c r="AE7" s="30"/>
      <c r="AF7" s="2">
        <f t="shared" si="9"/>
        <v>0</v>
      </c>
      <c r="AG7" s="33"/>
      <c r="AH7" s="30">
        <v>1</v>
      </c>
      <c r="AI7" s="2">
        <f t="shared" si="10"/>
        <v>5000</v>
      </c>
      <c r="AJ7" s="33"/>
      <c r="AK7" s="30"/>
      <c r="AL7" s="2">
        <f t="shared" si="11"/>
        <v>0</v>
      </c>
      <c r="AM7" s="33"/>
      <c r="AN7" s="30"/>
      <c r="AO7" s="2">
        <f t="shared" si="12"/>
        <v>0</v>
      </c>
      <c r="AP7" s="33"/>
      <c r="AQ7" s="30"/>
      <c r="AR7" s="2">
        <f t="shared" si="13"/>
        <v>0</v>
      </c>
      <c r="AS7" s="33"/>
      <c r="AT7" s="30"/>
      <c r="AU7" s="2">
        <f t="shared" si="14"/>
        <v>0</v>
      </c>
      <c r="AV7" s="70">
        <f t="shared" si="15"/>
        <v>0</v>
      </c>
      <c r="AW7" s="67">
        <f t="shared" si="15"/>
        <v>1</v>
      </c>
      <c r="AX7" s="51">
        <f t="shared" si="15"/>
        <v>5000</v>
      </c>
      <c r="AY7" s="33"/>
      <c r="AZ7" s="30"/>
      <c r="BA7" s="2">
        <f t="shared" si="16"/>
        <v>0</v>
      </c>
      <c r="BB7" s="33"/>
      <c r="BC7" s="30"/>
      <c r="BD7" s="2">
        <f t="shared" si="17"/>
        <v>0</v>
      </c>
      <c r="BE7" s="33">
        <v>50000</v>
      </c>
      <c r="BF7" s="30"/>
      <c r="BG7" s="2">
        <f t="shared" si="18"/>
        <v>0</v>
      </c>
      <c r="BH7" s="33"/>
      <c r="BI7" s="30"/>
      <c r="BJ7" s="2">
        <f t="shared" si="19"/>
        <v>0</v>
      </c>
      <c r="BK7" s="33"/>
      <c r="BL7" s="30"/>
      <c r="BM7" s="2">
        <f t="shared" si="20"/>
        <v>0</v>
      </c>
      <c r="BN7" s="33"/>
      <c r="BO7" s="30"/>
      <c r="BP7" s="2">
        <f t="shared" si="21"/>
        <v>0</v>
      </c>
      <c r="BQ7" s="33"/>
      <c r="BR7" s="30"/>
      <c r="BS7" s="2">
        <f t="shared" si="22"/>
        <v>0</v>
      </c>
      <c r="BT7" s="70">
        <f t="shared" si="23"/>
        <v>50000</v>
      </c>
      <c r="BU7" s="67">
        <f t="shared" si="23"/>
        <v>0</v>
      </c>
      <c r="BV7" s="51">
        <f t="shared" si="23"/>
        <v>0</v>
      </c>
      <c r="BW7" s="33"/>
      <c r="BX7" s="30"/>
      <c r="BY7" s="2">
        <f t="shared" si="24"/>
        <v>0</v>
      </c>
      <c r="BZ7" s="33">
        <v>50000</v>
      </c>
      <c r="CA7" s="30"/>
      <c r="CB7" s="2">
        <f t="shared" si="25"/>
        <v>0</v>
      </c>
      <c r="CC7" s="33"/>
      <c r="CD7" s="30"/>
      <c r="CE7" s="2">
        <f t="shared" si="26"/>
        <v>0</v>
      </c>
      <c r="CF7" s="33"/>
      <c r="CG7" s="30"/>
      <c r="CH7" s="2">
        <f t="shared" si="27"/>
        <v>0</v>
      </c>
      <c r="CI7" s="33"/>
      <c r="CJ7" s="30"/>
      <c r="CK7" s="2">
        <f t="shared" si="28"/>
        <v>0</v>
      </c>
      <c r="CL7" s="33"/>
      <c r="CM7" s="30"/>
      <c r="CN7" s="2">
        <f t="shared" si="29"/>
        <v>0</v>
      </c>
      <c r="CO7" s="33"/>
      <c r="CP7" s="30"/>
      <c r="CQ7" s="2">
        <f t="shared" si="30"/>
        <v>0</v>
      </c>
      <c r="CR7" s="70">
        <f t="shared" si="31"/>
        <v>50000</v>
      </c>
      <c r="CS7" s="67">
        <f t="shared" si="31"/>
        <v>0</v>
      </c>
      <c r="CT7" s="51">
        <f t="shared" si="31"/>
        <v>0</v>
      </c>
      <c r="CU7" s="33"/>
      <c r="CV7" s="30"/>
      <c r="CW7" s="2">
        <f t="shared" si="32"/>
        <v>0</v>
      </c>
      <c r="CX7" s="33"/>
      <c r="CY7" s="30"/>
      <c r="CZ7" s="2">
        <f t="shared" si="33"/>
        <v>0</v>
      </c>
      <c r="DA7" s="33"/>
      <c r="DB7" s="30"/>
      <c r="DC7" s="2">
        <f t="shared" si="34"/>
        <v>0</v>
      </c>
      <c r="DD7" s="33"/>
      <c r="DE7" s="30"/>
      <c r="DF7" s="2">
        <f t="shared" si="35"/>
        <v>0</v>
      </c>
      <c r="DG7" s="33">
        <v>50000</v>
      </c>
      <c r="DH7" s="30"/>
      <c r="DI7" s="2">
        <f t="shared" si="36"/>
        <v>0</v>
      </c>
      <c r="DJ7" s="33"/>
      <c r="DK7" s="30"/>
      <c r="DL7" s="2">
        <f t="shared" si="37"/>
        <v>0</v>
      </c>
      <c r="DM7" s="33"/>
      <c r="DN7" s="30"/>
      <c r="DO7" s="2">
        <f t="shared" si="38"/>
        <v>0</v>
      </c>
      <c r="DP7" s="70">
        <f t="shared" si="39"/>
        <v>50000</v>
      </c>
      <c r="DQ7" s="67">
        <f t="shared" si="39"/>
        <v>0</v>
      </c>
      <c r="DR7" s="51">
        <f t="shared" si="39"/>
        <v>0</v>
      </c>
      <c r="DS7" s="52">
        <v>150000</v>
      </c>
      <c r="DT7" s="53">
        <f t="shared" si="41"/>
        <v>1</v>
      </c>
      <c r="DU7" s="54">
        <f t="shared" si="41"/>
        <v>5000</v>
      </c>
    </row>
    <row r="8" spans="1:125" s="26" customFormat="1" ht="17.100000000000001" customHeight="1" x14ac:dyDescent="0.2">
      <c r="A8" s="27" t="s">
        <v>26</v>
      </c>
      <c r="B8" s="28">
        <v>5000</v>
      </c>
      <c r="C8" s="29"/>
      <c r="D8" s="30"/>
      <c r="E8" s="2">
        <f t="shared" si="0"/>
        <v>0</v>
      </c>
      <c r="F8" s="29"/>
      <c r="G8" s="30"/>
      <c r="H8" s="2">
        <f t="shared" si="1"/>
        <v>0</v>
      </c>
      <c r="I8" s="29"/>
      <c r="J8" s="30"/>
      <c r="K8" s="2">
        <f t="shared" si="2"/>
        <v>0</v>
      </c>
      <c r="L8" s="31"/>
      <c r="M8" s="30"/>
      <c r="N8" s="2">
        <f t="shared" si="3"/>
        <v>0</v>
      </c>
      <c r="O8" s="84"/>
      <c r="P8" s="82"/>
      <c r="Q8" s="2">
        <f t="shared" si="4"/>
        <v>0</v>
      </c>
      <c r="R8" s="32"/>
      <c r="S8" s="30"/>
      <c r="T8" s="2">
        <f t="shared" si="5"/>
        <v>0</v>
      </c>
      <c r="U8" s="33"/>
      <c r="V8" s="30"/>
      <c r="W8" s="64">
        <f t="shared" si="6"/>
        <v>0</v>
      </c>
      <c r="X8" s="70">
        <f t="shared" si="7"/>
        <v>0</v>
      </c>
      <c r="Y8" s="67">
        <f t="shared" si="7"/>
        <v>0</v>
      </c>
      <c r="Z8" s="73">
        <f t="shared" si="7"/>
        <v>0</v>
      </c>
      <c r="AA8" s="35"/>
      <c r="AB8" s="30"/>
      <c r="AC8" s="2">
        <f t="shared" si="8"/>
        <v>0</v>
      </c>
      <c r="AD8" s="33"/>
      <c r="AE8" s="30"/>
      <c r="AF8" s="2">
        <f t="shared" si="9"/>
        <v>0</v>
      </c>
      <c r="AG8" s="33"/>
      <c r="AH8" s="99">
        <v>1.5</v>
      </c>
      <c r="AI8" s="2">
        <f t="shared" si="10"/>
        <v>7500</v>
      </c>
      <c r="AJ8" s="33"/>
      <c r="AK8" s="30"/>
      <c r="AL8" s="2">
        <f t="shared" si="11"/>
        <v>0</v>
      </c>
      <c r="AM8" s="33"/>
      <c r="AN8" s="30"/>
      <c r="AO8" s="2">
        <f t="shared" si="12"/>
        <v>0</v>
      </c>
      <c r="AP8" s="33"/>
      <c r="AQ8" s="30"/>
      <c r="AR8" s="2">
        <f t="shared" si="13"/>
        <v>0</v>
      </c>
      <c r="AS8" s="33"/>
      <c r="AT8" s="30"/>
      <c r="AU8" s="2">
        <f t="shared" si="14"/>
        <v>0</v>
      </c>
      <c r="AV8" s="70">
        <f t="shared" si="15"/>
        <v>0</v>
      </c>
      <c r="AW8" s="100">
        <f t="shared" si="15"/>
        <v>1.5</v>
      </c>
      <c r="AX8" s="51">
        <f t="shared" si="15"/>
        <v>7500</v>
      </c>
      <c r="AY8" s="33"/>
      <c r="AZ8" s="30"/>
      <c r="BA8" s="2">
        <f t="shared" si="16"/>
        <v>0</v>
      </c>
      <c r="BB8" s="33"/>
      <c r="BC8" s="30"/>
      <c r="BD8" s="2">
        <f t="shared" si="17"/>
        <v>0</v>
      </c>
      <c r="BE8" s="33"/>
      <c r="BF8" s="30"/>
      <c r="BG8" s="2">
        <f t="shared" si="18"/>
        <v>0</v>
      </c>
      <c r="BH8" s="33"/>
      <c r="BI8" s="30"/>
      <c r="BJ8" s="2">
        <f t="shared" si="19"/>
        <v>0</v>
      </c>
      <c r="BK8" s="33"/>
      <c r="BL8" s="30"/>
      <c r="BM8" s="2">
        <f t="shared" si="20"/>
        <v>0</v>
      </c>
      <c r="BN8" s="33">
        <v>2000</v>
      </c>
      <c r="BO8" s="30"/>
      <c r="BP8" s="2">
        <f t="shared" si="21"/>
        <v>0</v>
      </c>
      <c r="BQ8" s="33"/>
      <c r="BR8" s="30"/>
      <c r="BS8" s="2">
        <f t="shared" si="22"/>
        <v>0</v>
      </c>
      <c r="BT8" s="70">
        <f t="shared" si="23"/>
        <v>2000</v>
      </c>
      <c r="BU8" s="67">
        <f t="shared" si="23"/>
        <v>0</v>
      </c>
      <c r="BV8" s="51">
        <f t="shared" si="23"/>
        <v>0</v>
      </c>
      <c r="BW8" s="33"/>
      <c r="BX8" s="30"/>
      <c r="BY8" s="2">
        <f t="shared" si="24"/>
        <v>0</v>
      </c>
      <c r="BZ8" s="33"/>
      <c r="CA8" s="30"/>
      <c r="CB8" s="2">
        <f t="shared" si="25"/>
        <v>0</v>
      </c>
      <c r="CC8" s="33"/>
      <c r="CD8" s="30"/>
      <c r="CE8" s="2">
        <f t="shared" si="26"/>
        <v>0</v>
      </c>
      <c r="CF8" s="33"/>
      <c r="CG8" s="30"/>
      <c r="CH8" s="2">
        <f t="shared" si="27"/>
        <v>0</v>
      </c>
      <c r="CI8" s="33"/>
      <c r="CJ8" s="30"/>
      <c r="CK8" s="2">
        <f t="shared" si="28"/>
        <v>0</v>
      </c>
      <c r="CL8" s="33"/>
      <c r="CM8" s="30"/>
      <c r="CN8" s="2">
        <f t="shared" si="29"/>
        <v>0</v>
      </c>
      <c r="CO8" s="33"/>
      <c r="CP8" s="30"/>
      <c r="CQ8" s="2">
        <f t="shared" si="30"/>
        <v>0</v>
      </c>
      <c r="CR8" s="70">
        <f t="shared" si="31"/>
        <v>0</v>
      </c>
      <c r="CS8" s="67">
        <f t="shared" si="31"/>
        <v>0</v>
      </c>
      <c r="CT8" s="51">
        <f t="shared" si="31"/>
        <v>0</v>
      </c>
      <c r="CU8" s="33"/>
      <c r="CV8" s="30"/>
      <c r="CW8" s="2">
        <f t="shared" si="32"/>
        <v>0</v>
      </c>
      <c r="CX8" s="33"/>
      <c r="CY8" s="30"/>
      <c r="CZ8" s="2">
        <f t="shared" si="33"/>
        <v>0</v>
      </c>
      <c r="DA8" s="33"/>
      <c r="DB8" s="30"/>
      <c r="DC8" s="2">
        <f t="shared" si="34"/>
        <v>0</v>
      </c>
      <c r="DD8" s="33"/>
      <c r="DE8" s="30"/>
      <c r="DF8" s="2">
        <f t="shared" si="35"/>
        <v>0</v>
      </c>
      <c r="DG8" s="33">
        <v>10000</v>
      </c>
      <c r="DH8" s="30"/>
      <c r="DI8" s="2">
        <f t="shared" si="36"/>
        <v>0</v>
      </c>
      <c r="DJ8" s="33"/>
      <c r="DK8" s="30"/>
      <c r="DL8" s="2">
        <f t="shared" si="37"/>
        <v>0</v>
      </c>
      <c r="DM8" s="33"/>
      <c r="DN8" s="30"/>
      <c r="DO8" s="2">
        <f t="shared" si="38"/>
        <v>0</v>
      </c>
      <c r="DP8" s="70">
        <f t="shared" si="39"/>
        <v>10000</v>
      </c>
      <c r="DQ8" s="67">
        <f t="shared" si="39"/>
        <v>0</v>
      </c>
      <c r="DR8" s="51">
        <f t="shared" si="39"/>
        <v>0</v>
      </c>
      <c r="DS8" s="52">
        <v>12000</v>
      </c>
      <c r="DT8" s="53">
        <f t="shared" si="41"/>
        <v>1.5</v>
      </c>
      <c r="DU8" s="54">
        <f t="shared" si="41"/>
        <v>7500</v>
      </c>
    </row>
    <row r="9" spans="1:125" s="26" customFormat="1" ht="17.100000000000001" customHeight="1" x14ac:dyDescent="0.2">
      <c r="A9" s="27" t="s">
        <v>27</v>
      </c>
      <c r="B9" s="28">
        <v>5000</v>
      </c>
      <c r="C9" s="29"/>
      <c r="D9" s="30"/>
      <c r="E9" s="2">
        <f t="shared" si="0"/>
        <v>0</v>
      </c>
      <c r="F9" s="29"/>
      <c r="G9" s="30"/>
      <c r="H9" s="2">
        <f t="shared" si="1"/>
        <v>0</v>
      </c>
      <c r="I9" s="29"/>
      <c r="J9" s="30"/>
      <c r="K9" s="2">
        <f t="shared" si="2"/>
        <v>0</v>
      </c>
      <c r="L9" s="31"/>
      <c r="M9" s="30"/>
      <c r="N9" s="2">
        <f t="shared" si="3"/>
        <v>0</v>
      </c>
      <c r="O9" s="84"/>
      <c r="P9" s="82"/>
      <c r="Q9" s="2">
        <f t="shared" si="4"/>
        <v>0</v>
      </c>
      <c r="R9" s="31"/>
      <c r="S9" s="30"/>
      <c r="T9" s="2">
        <f t="shared" si="5"/>
        <v>0</v>
      </c>
      <c r="U9" s="33"/>
      <c r="V9" s="30"/>
      <c r="W9" s="64">
        <f t="shared" si="6"/>
        <v>0</v>
      </c>
      <c r="X9" s="70">
        <f t="shared" si="7"/>
        <v>0</v>
      </c>
      <c r="Y9" s="67">
        <f t="shared" si="7"/>
        <v>0</v>
      </c>
      <c r="Z9" s="73">
        <f t="shared" si="7"/>
        <v>0</v>
      </c>
      <c r="AA9" s="35"/>
      <c r="AB9" s="30"/>
      <c r="AC9" s="2">
        <f t="shared" si="8"/>
        <v>0</v>
      </c>
      <c r="AD9" s="33"/>
      <c r="AE9" s="30"/>
      <c r="AF9" s="2">
        <f t="shared" si="9"/>
        <v>0</v>
      </c>
      <c r="AG9" s="33"/>
      <c r="AH9" s="30"/>
      <c r="AI9" s="2">
        <f t="shared" si="10"/>
        <v>0</v>
      </c>
      <c r="AJ9" s="33"/>
      <c r="AK9" s="30"/>
      <c r="AL9" s="2">
        <f t="shared" si="11"/>
        <v>0</v>
      </c>
      <c r="AM9" s="33"/>
      <c r="AN9" s="30"/>
      <c r="AO9" s="2">
        <f t="shared" si="12"/>
        <v>0</v>
      </c>
      <c r="AP9" s="33"/>
      <c r="AQ9" s="30"/>
      <c r="AR9" s="2">
        <f t="shared" si="13"/>
        <v>0</v>
      </c>
      <c r="AS9" s="33"/>
      <c r="AT9" s="30"/>
      <c r="AU9" s="2">
        <f t="shared" si="14"/>
        <v>0</v>
      </c>
      <c r="AV9" s="70">
        <f t="shared" si="15"/>
        <v>0</v>
      </c>
      <c r="AW9" s="67">
        <f t="shared" si="15"/>
        <v>0</v>
      </c>
      <c r="AX9" s="51">
        <f t="shared" si="15"/>
        <v>0</v>
      </c>
      <c r="AY9" s="33"/>
      <c r="AZ9" s="30"/>
      <c r="BA9" s="2">
        <f t="shared" si="16"/>
        <v>0</v>
      </c>
      <c r="BB9" s="33"/>
      <c r="BC9" s="30"/>
      <c r="BD9" s="2">
        <f t="shared" si="17"/>
        <v>0</v>
      </c>
      <c r="BE9" s="33"/>
      <c r="BF9" s="30"/>
      <c r="BG9" s="2">
        <f t="shared" si="18"/>
        <v>0</v>
      </c>
      <c r="BH9" s="33"/>
      <c r="BI9" s="30"/>
      <c r="BJ9" s="2">
        <f t="shared" si="19"/>
        <v>0</v>
      </c>
      <c r="BK9" s="33"/>
      <c r="BL9" s="30"/>
      <c r="BM9" s="2">
        <f t="shared" si="20"/>
        <v>0</v>
      </c>
      <c r="BN9" s="33"/>
      <c r="BO9" s="30"/>
      <c r="BP9" s="2">
        <f t="shared" si="21"/>
        <v>0</v>
      </c>
      <c r="BQ9" s="33"/>
      <c r="BR9" s="30"/>
      <c r="BS9" s="2">
        <f t="shared" si="22"/>
        <v>0</v>
      </c>
      <c r="BT9" s="70">
        <f t="shared" si="23"/>
        <v>0</v>
      </c>
      <c r="BU9" s="67">
        <f t="shared" si="23"/>
        <v>0</v>
      </c>
      <c r="BV9" s="51">
        <f t="shared" si="23"/>
        <v>0</v>
      </c>
      <c r="BW9" s="33"/>
      <c r="BX9" s="30"/>
      <c r="BY9" s="2">
        <f t="shared" si="24"/>
        <v>0</v>
      </c>
      <c r="BZ9" s="33"/>
      <c r="CA9" s="30"/>
      <c r="CB9" s="2">
        <f t="shared" si="25"/>
        <v>0</v>
      </c>
      <c r="CC9" s="33"/>
      <c r="CD9" s="30"/>
      <c r="CE9" s="2">
        <f t="shared" si="26"/>
        <v>0</v>
      </c>
      <c r="CF9" s="33"/>
      <c r="CG9" s="30"/>
      <c r="CH9" s="2">
        <f t="shared" si="27"/>
        <v>0</v>
      </c>
      <c r="CI9" s="33"/>
      <c r="CJ9" s="30"/>
      <c r="CK9" s="2">
        <f t="shared" si="28"/>
        <v>0</v>
      </c>
      <c r="CL9" s="33"/>
      <c r="CM9" s="30"/>
      <c r="CN9" s="2">
        <f t="shared" si="29"/>
        <v>0</v>
      </c>
      <c r="CO9" s="33"/>
      <c r="CP9" s="30"/>
      <c r="CQ9" s="2">
        <f t="shared" si="30"/>
        <v>0</v>
      </c>
      <c r="CR9" s="70">
        <f t="shared" si="31"/>
        <v>0</v>
      </c>
      <c r="CS9" s="67">
        <f t="shared" si="31"/>
        <v>0</v>
      </c>
      <c r="CT9" s="51">
        <f t="shared" si="31"/>
        <v>0</v>
      </c>
      <c r="CU9" s="33"/>
      <c r="CV9" s="30"/>
      <c r="CW9" s="2">
        <f t="shared" si="32"/>
        <v>0</v>
      </c>
      <c r="CX9" s="33"/>
      <c r="CY9" s="30"/>
      <c r="CZ9" s="2">
        <f t="shared" si="33"/>
        <v>0</v>
      </c>
      <c r="DA9" s="33"/>
      <c r="DB9" s="30"/>
      <c r="DC9" s="2">
        <f t="shared" si="34"/>
        <v>0</v>
      </c>
      <c r="DD9" s="33"/>
      <c r="DE9" s="30"/>
      <c r="DF9" s="2">
        <f t="shared" si="35"/>
        <v>0</v>
      </c>
      <c r="DG9" s="33"/>
      <c r="DH9" s="30"/>
      <c r="DI9" s="2">
        <f t="shared" si="36"/>
        <v>0</v>
      </c>
      <c r="DJ9" s="33"/>
      <c r="DK9" s="30"/>
      <c r="DL9" s="2">
        <f t="shared" si="37"/>
        <v>0</v>
      </c>
      <c r="DM9" s="33"/>
      <c r="DN9" s="30"/>
      <c r="DO9" s="2">
        <f t="shared" si="38"/>
        <v>0</v>
      </c>
      <c r="DP9" s="70">
        <f t="shared" si="39"/>
        <v>0</v>
      </c>
      <c r="DQ9" s="67">
        <f t="shared" si="39"/>
        <v>0</v>
      </c>
      <c r="DR9" s="51">
        <f t="shared" si="39"/>
        <v>0</v>
      </c>
      <c r="DS9" s="52">
        <f t="shared" si="40"/>
        <v>0</v>
      </c>
      <c r="DT9" s="53">
        <f t="shared" si="41"/>
        <v>0</v>
      </c>
      <c r="DU9" s="54">
        <f t="shared" si="41"/>
        <v>0</v>
      </c>
    </row>
    <row r="10" spans="1:125" s="26" customFormat="1" ht="17.100000000000001" customHeight="1" x14ac:dyDescent="0.2">
      <c r="A10" s="27" t="s">
        <v>28</v>
      </c>
      <c r="B10" s="28">
        <v>5000</v>
      </c>
      <c r="C10" s="29"/>
      <c r="D10" s="30"/>
      <c r="E10" s="2">
        <f t="shared" si="0"/>
        <v>0</v>
      </c>
      <c r="F10" s="29"/>
      <c r="G10" s="30"/>
      <c r="H10" s="2">
        <f t="shared" si="1"/>
        <v>0</v>
      </c>
      <c r="I10" s="29"/>
      <c r="J10" s="30"/>
      <c r="K10" s="2">
        <f t="shared" si="2"/>
        <v>0</v>
      </c>
      <c r="L10" s="31"/>
      <c r="M10" s="30"/>
      <c r="N10" s="2">
        <f t="shared" si="3"/>
        <v>0</v>
      </c>
      <c r="O10" s="84"/>
      <c r="P10" s="82"/>
      <c r="Q10" s="2">
        <f t="shared" si="4"/>
        <v>0</v>
      </c>
      <c r="R10" s="31"/>
      <c r="S10" s="30"/>
      <c r="T10" s="2">
        <f t="shared" si="5"/>
        <v>0</v>
      </c>
      <c r="U10" s="33"/>
      <c r="V10" s="30"/>
      <c r="W10" s="64">
        <f t="shared" si="6"/>
        <v>0</v>
      </c>
      <c r="X10" s="70">
        <f t="shared" si="7"/>
        <v>0</v>
      </c>
      <c r="Y10" s="67">
        <f t="shared" si="7"/>
        <v>0</v>
      </c>
      <c r="Z10" s="73">
        <f t="shared" si="7"/>
        <v>0</v>
      </c>
      <c r="AA10" s="35"/>
      <c r="AB10" s="30"/>
      <c r="AC10" s="2">
        <f t="shared" si="8"/>
        <v>0</v>
      </c>
      <c r="AD10" s="33"/>
      <c r="AE10" s="30"/>
      <c r="AF10" s="2">
        <f t="shared" si="9"/>
        <v>0</v>
      </c>
      <c r="AG10" s="33"/>
      <c r="AH10" s="30"/>
      <c r="AI10" s="2">
        <f t="shared" si="10"/>
        <v>0</v>
      </c>
      <c r="AJ10" s="33"/>
      <c r="AK10" s="30"/>
      <c r="AL10" s="2">
        <f t="shared" si="11"/>
        <v>0</v>
      </c>
      <c r="AM10" s="33"/>
      <c r="AN10" s="30"/>
      <c r="AO10" s="2">
        <f t="shared" si="12"/>
        <v>0</v>
      </c>
      <c r="AP10" s="33"/>
      <c r="AQ10" s="30"/>
      <c r="AR10" s="2">
        <f t="shared" si="13"/>
        <v>0</v>
      </c>
      <c r="AS10" s="33"/>
      <c r="AT10" s="30"/>
      <c r="AU10" s="2">
        <f t="shared" si="14"/>
        <v>0</v>
      </c>
      <c r="AV10" s="70">
        <f t="shared" si="15"/>
        <v>0</v>
      </c>
      <c r="AW10" s="67">
        <f t="shared" si="15"/>
        <v>0</v>
      </c>
      <c r="AX10" s="51">
        <f t="shared" si="15"/>
        <v>0</v>
      </c>
      <c r="AY10" s="33"/>
      <c r="AZ10" s="30"/>
      <c r="BA10" s="2">
        <f t="shared" si="16"/>
        <v>0</v>
      </c>
      <c r="BB10" s="33"/>
      <c r="BC10" s="30"/>
      <c r="BD10" s="2">
        <f t="shared" si="17"/>
        <v>0</v>
      </c>
      <c r="BE10" s="33"/>
      <c r="BF10" s="30"/>
      <c r="BG10" s="2">
        <f t="shared" si="18"/>
        <v>0</v>
      </c>
      <c r="BH10" s="33"/>
      <c r="BI10" s="30"/>
      <c r="BJ10" s="2">
        <f t="shared" si="19"/>
        <v>0</v>
      </c>
      <c r="BK10" s="33"/>
      <c r="BL10" s="30"/>
      <c r="BM10" s="2">
        <f t="shared" si="20"/>
        <v>0</v>
      </c>
      <c r="BN10" s="33"/>
      <c r="BO10" s="30"/>
      <c r="BP10" s="2">
        <f t="shared" si="21"/>
        <v>0</v>
      </c>
      <c r="BQ10" s="33">
        <v>30000</v>
      </c>
      <c r="BR10" s="30"/>
      <c r="BS10" s="2">
        <f t="shared" si="22"/>
        <v>0</v>
      </c>
      <c r="BT10" s="70">
        <f t="shared" si="23"/>
        <v>30000</v>
      </c>
      <c r="BU10" s="67">
        <f t="shared" si="23"/>
        <v>0</v>
      </c>
      <c r="BV10" s="51">
        <f t="shared" si="23"/>
        <v>0</v>
      </c>
      <c r="BW10" s="33"/>
      <c r="BX10" s="30"/>
      <c r="BY10" s="2">
        <f t="shared" si="24"/>
        <v>0</v>
      </c>
      <c r="BZ10" s="33"/>
      <c r="CA10" s="30"/>
      <c r="CB10" s="2">
        <f t="shared" si="25"/>
        <v>0</v>
      </c>
      <c r="CC10" s="33"/>
      <c r="CD10" s="30"/>
      <c r="CE10" s="2">
        <f t="shared" si="26"/>
        <v>0</v>
      </c>
      <c r="CF10" s="33"/>
      <c r="CG10" s="30"/>
      <c r="CH10" s="2">
        <f t="shared" si="27"/>
        <v>0</v>
      </c>
      <c r="CI10" s="33"/>
      <c r="CJ10" s="30"/>
      <c r="CK10" s="2">
        <f t="shared" si="28"/>
        <v>0</v>
      </c>
      <c r="CL10" s="33"/>
      <c r="CM10" s="30"/>
      <c r="CN10" s="2">
        <f t="shared" si="29"/>
        <v>0</v>
      </c>
      <c r="CO10" s="33"/>
      <c r="CP10" s="30"/>
      <c r="CQ10" s="2">
        <f t="shared" si="30"/>
        <v>0</v>
      </c>
      <c r="CR10" s="70">
        <f t="shared" si="31"/>
        <v>0</v>
      </c>
      <c r="CS10" s="67">
        <f t="shared" si="31"/>
        <v>0</v>
      </c>
      <c r="CT10" s="51">
        <f t="shared" si="31"/>
        <v>0</v>
      </c>
      <c r="CU10" s="33"/>
      <c r="CV10" s="30"/>
      <c r="CW10" s="2">
        <f t="shared" si="32"/>
        <v>0</v>
      </c>
      <c r="CX10" s="33"/>
      <c r="CY10" s="30"/>
      <c r="CZ10" s="2">
        <f t="shared" si="33"/>
        <v>0</v>
      </c>
      <c r="DA10" s="33"/>
      <c r="DB10" s="30"/>
      <c r="DC10" s="2">
        <f t="shared" si="34"/>
        <v>0</v>
      </c>
      <c r="DD10" s="33">
        <v>10000</v>
      </c>
      <c r="DE10" s="30"/>
      <c r="DF10" s="2">
        <f t="shared" si="35"/>
        <v>0</v>
      </c>
      <c r="DG10" s="33"/>
      <c r="DH10" s="30"/>
      <c r="DI10" s="2">
        <f t="shared" si="36"/>
        <v>0</v>
      </c>
      <c r="DJ10" s="33"/>
      <c r="DK10" s="30"/>
      <c r="DL10" s="2">
        <f t="shared" si="37"/>
        <v>0</v>
      </c>
      <c r="DM10" s="33">
        <v>20000</v>
      </c>
      <c r="DN10" s="30"/>
      <c r="DO10" s="2">
        <f t="shared" si="38"/>
        <v>0</v>
      </c>
      <c r="DP10" s="70">
        <f t="shared" si="39"/>
        <v>30000</v>
      </c>
      <c r="DQ10" s="67">
        <f t="shared" si="39"/>
        <v>0</v>
      </c>
      <c r="DR10" s="51">
        <f t="shared" si="39"/>
        <v>0</v>
      </c>
      <c r="DS10" s="52">
        <v>60000</v>
      </c>
      <c r="DT10" s="53">
        <f t="shared" si="41"/>
        <v>0</v>
      </c>
      <c r="DU10" s="54">
        <f t="shared" si="41"/>
        <v>0</v>
      </c>
    </row>
    <row r="11" spans="1:125" s="26" customFormat="1" ht="17.100000000000001" customHeight="1" x14ac:dyDescent="0.2">
      <c r="A11" s="27" t="s">
        <v>29</v>
      </c>
      <c r="B11" s="28">
        <v>5000</v>
      </c>
      <c r="C11" s="29"/>
      <c r="D11" s="30"/>
      <c r="E11" s="2">
        <f t="shared" si="0"/>
        <v>0</v>
      </c>
      <c r="F11" s="29"/>
      <c r="G11" s="30"/>
      <c r="H11" s="2">
        <f t="shared" si="1"/>
        <v>0</v>
      </c>
      <c r="I11" s="29"/>
      <c r="J11" s="30"/>
      <c r="K11" s="2">
        <f t="shared" si="2"/>
        <v>0</v>
      </c>
      <c r="L11" s="31"/>
      <c r="M11" s="30"/>
      <c r="N11" s="2">
        <f t="shared" si="3"/>
        <v>0</v>
      </c>
      <c r="O11" s="84"/>
      <c r="P11" s="82"/>
      <c r="Q11" s="2">
        <f t="shared" si="4"/>
        <v>0</v>
      </c>
      <c r="R11" s="31"/>
      <c r="S11" s="30"/>
      <c r="T11" s="2">
        <f t="shared" si="5"/>
        <v>0</v>
      </c>
      <c r="U11" s="33"/>
      <c r="V11" s="30"/>
      <c r="W11" s="64">
        <f t="shared" si="6"/>
        <v>0</v>
      </c>
      <c r="X11" s="70">
        <f t="shared" si="7"/>
        <v>0</v>
      </c>
      <c r="Y11" s="67">
        <f t="shared" si="7"/>
        <v>0</v>
      </c>
      <c r="Z11" s="73">
        <f t="shared" si="7"/>
        <v>0</v>
      </c>
      <c r="AA11" s="35"/>
      <c r="AB11" s="30"/>
      <c r="AC11" s="2">
        <f t="shared" si="8"/>
        <v>0</v>
      </c>
      <c r="AD11" s="33"/>
      <c r="AE11" s="30"/>
      <c r="AF11" s="2">
        <f t="shared" si="9"/>
        <v>0</v>
      </c>
      <c r="AG11" s="33"/>
      <c r="AH11" s="30">
        <v>1</v>
      </c>
      <c r="AI11" s="2">
        <f t="shared" si="10"/>
        <v>5000</v>
      </c>
      <c r="AJ11" s="33"/>
      <c r="AK11" s="30"/>
      <c r="AL11" s="2">
        <f t="shared" si="11"/>
        <v>0</v>
      </c>
      <c r="AM11" s="33"/>
      <c r="AN11" s="30"/>
      <c r="AO11" s="2">
        <f t="shared" si="12"/>
        <v>0</v>
      </c>
      <c r="AP11" s="33"/>
      <c r="AQ11" s="30"/>
      <c r="AR11" s="2">
        <f t="shared" si="13"/>
        <v>0</v>
      </c>
      <c r="AS11" s="33"/>
      <c r="AT11" s="30"/>
      <c r="AU11" s="2">
        <f t="shared" si="14"/>
        <v>0</v>
      </c>
      <c r="AV11" s="70">
        <f t="shared" si="15"/>
        <v>0</v>
      </c>
      <c r="AW11" s="67">
        <f t="shared" si="15"/>
        <v>1</v>
      </c>
      <c r="AX11" s="51">
        <f t="shared" si="15"/>
        <v>5000</v>
      </c>
      <c r="AY11" s="33"/>
      <c r="AZ11" s="30"/>
      <c r="BA11" s="2">
        <f t="shared" si="16"/>
        <v>0</v>
      </c>
      <c r="BB11" s="33"/>
      <c r="BC11" s="30"/>
      <c r="BD11" s="2">
        <f t="shared" si="17"/>
        <v>0</v>
      </c>
      <c r="BE11" s="33"/>
      <c r="BF11" s="30"/>
      <c r="BG11" s="2">
        <f t="shared" si="18"/>
        <v>0</v>
      </c>
      <c r="BH11" s="33"/>
      <c r="BI11" s="30"/>
      <c r="BJ11" s="2">
        <f t="shared" si="19"/>
        <v>0</v>
      </c>
      <c r="BK11" s="33"/>
      <c r="BL11" s="30"/>
      <c r="BM11" s="2">
        <f t="shared" si="20"/>
        <v>0</v>
      </c>
      <c r="BN11" s="33"/>
      <c r="BO11" s="30"/>
      <c r="BP11" s="2">
        <f t="shared" si="21"/>
        <v>0</v>
      </c>
      <c r="BQ11" s="33"/>
      <c r="BR11" s="30"/>
      <c r="BS11" s="2">
        <f t="shared" si="22"/>
        <v>0</v>
      </c>
      <c r="BT11" s="70">
        <f t="shared" si="23"/>
        <v>0</v>
      </c>
      <c r="BU11" s="67">
        <f t="shared" si="23"/>
        <v>0</v>
      </c>
      <c r="BV11" s="51">
        <f t="shared" si="23"/>
        <v>0</v>
      </c>
      <c r="BW11" s="33"/>
      <c r="BX11" s="30"/>
      <c r="BY11" s="2">
        <f t="shared" si="24"/>
        <v>0</v>
      </c>
      <c r="BZ11" s="33"/>
      <c r="CA11" s="30"/>
      <c r="CB11" s="2">
        <f t="shared" si="25"/>
        <v>0</v>
      </c>
      <c r="CC11" s="33"/>
      <c r="CD11" s="30"/>
      <c r="CE11" s="2">
        <f t="shared" si="26"/>
        <v>0</v>
      </c>
      <c r="CF11" s="33"/>
      <c r="CG11" s="30"/>
      <c r="CH11" s="2">
        <f t="shared" si="27"/>
        <v>0</v>
      </c>
      <c r="CI11" s="33"/>
      <c r="CJ11" s="30"/>
      <c r="CK11" s="2">
        <f t="shared" si="28"/>
        <v>0</v>
      </c>
      <c r="CL11" s="33"/>
      <c r="CM11" s="30"/>
      <c r="CN11" s="2">
        <f t="shared" si="29"/>
        <v>0</v>
      </c>
      <c r="CO11" s="33"/>
      <c r="CP11" s="30"/>
      <c r="CQ11" s="2">
        <f t="shared" si="30"/>
        <v>0</v>
      </c>
      <c r="CR11" s="70">
        <f t="shared" si="31"/>
        <v>0</v>
      </c>
      <c r="CS11" s="67">
        <f t="shared" si="31"/>
        <v>0</v>
      </c>
      <c r="CT11" s="51">
        <f t="shared" si="31"/>
        <v>0</v>
      </c>
      <c r="CU11" s="33"/>
      <c r="CV11" s="30"/>
      <c r="CW11" s="2">
        <f t="shared" si="32"/>
        <v>0</v>
      </c>
      <c r="CX11" s="33"/>
      <c r="CY11" s="30"/>
      <c r="CZ11" s="2">
        <f t="shared" si="33"/>
        <v>0</v>
      </c>
      <c r="DA11" s="33"/>
      <c r="DB11" s="30"/>
      <c r="DC11" s="2">
        <f t="shared" si="34"/>
        <v>0</v>
      </c>
      <c r="DD11" s="33"/>
      <c r="DE11" s="30"/>
      <c r="DF11" s="2">
        <f t="shared" si="35"/>
        <v>0</v>
      </c>
      <c r="DG11" s="33"/>
      <c r="DH11" s="30"/>
      <c r="DI11" s="2">
        <f t="shared" si="36"/>
        <v>0</v>
      </c>
      <c r="DJ11" s="33"/>
      <c r="DK11" s="30"/>
      <c r="DL11" s="2">
        <f t="shared" si="37"/>
        <v>0</v>
      </c>
      <c r="DM11" s="33"/>
      <c r="DN11" s="30"/>
      <c r="DO11" s="2">
        <f t="shared" si="38"/>
        <v>0</v>
      </c>
      <c r="DP11" s="70">
        <f t="shared" si="39"/>
        <v>0</v>
      </c>
      <c r="DQ11" s="67">
        <f t="shared" si="39"/>
        <v>0</v>
      </c>
      <c r="DR11" s="51">
        <f t="shared" si="39"/>
        <v>0</v>
      </c>
      <c r="DS11" s="52">
        <f t="shared" si="40"/>
        <v>0</v>
      </c>
      <c r="DT11" s="53">
        <f t="shared" si="41"/>
        <v>1</v>
      </c>
      <c r="DU11" s="54">
        <f t="shared" si="41"/>
        <v>5000</v>
      </c>
    </row>
    <row r="12" spans="1:125" s="26" customFormat="1" ht="17.100000000000001" customHeight="1" x14ac:dyDescent="0.2">
      <c r="A12" s="27" t="s">
        <v>30</v>
      </c>
      <c r="B12" s="28">
        <v>5000</v>
      </c>
      <c r="C12" s="29"/>
      <c r="D12" s="30"/>
      <c r="E12" s="2">
        <f t="shared" si="0"/>
        <v>0</v>
      </c>
      <c r="F12" s="29"/>
      <c r="G12" s="30"/>
      <c r="H12" s="2">
        <f t="shared" si="1"/>
        <v>0</v>
      </c>
      <c r="I12" s="29"/>
      <c r="J12" s="30"/>
      <c r="K12" s="2">
        <f t="shared" si="2"/>
        <v>0</v>
      </c>
      <c r="L12" s="33"/>
      <c r="M12" s="30"/>
      <c r="N12" s="2">
        <f t="shared" si="3"/>
        <v>0</v>
      </c>
      <c r="O12" s="84"/>
      <c r="P12" s="82"/>
      <c r="Q12" s="2">
        <f t="shared" si="4"/>
        <v>0</v>
      </c>
      <c r="R12" s="31"/>
      <c r="S12" s="30"/>
      <c r="T12" s="2">
        <f t="shared" si="5"/>
        <v>0</v>
      </c>
      <c r="U12" s="33"/>
      <c r="V12" s="30"/>
      <c r="W12" s="64">
        <f t="shared" si="6"/>
        <v>0</v>
      </c>
      <c r="X12" s="70">
        <f t="shared" si="7"/>
        <v>0</v>
      </c>
      <c r="Y12" s="67">
        <f t="shared" si="7"/>
        <v>0</v>
      </c>
      <c r="Z12" s="73">
        <f t="shared" si="7"/>
        <v>0</v>
      </c>
      <c r="AA12" s="35"/>
      <c r="AB12" s="30"/>
      <c r="AC12" s="2">
        <f t="shared" si="8"/>
        <v>0</v>
      </c>
      <c r="AD12" s="33"/>
      <c r="AE12" s="30"/>
      <c r="AF12" s="2">
        <f t="shared" si="9"/>
        <v>0</v>
      </c>
      <c r="AG12" s="33"/>
      <c r="AH12" s="30"/>
      <c r="AI12" s="2">
        <f t="shared" si="10"/>
        <v>0</v>
      </c>
      <c r="AJ12" s="33"/>
      <c r="AK12" s="30"/>
      <c r="AL12" s="2">
        <f t="shared" si="11"/>
        <v>0</v>
      </c>
      <c r="AM12" s="33"/>
      <c r="AN12" s="30"/>
      <c r="AO12" s="2">
        <f t="shared" si="12"/>
        <v>0</v>
      </c>
      <c r="AP12" s="33"/>
      <c r="AQ12" s="30"/>
      <c r="AR12" s="2">
        <f t="shared" si="13"/>
        <v>0</v>
      </c>
      <c r="AS12" s="33"/>
      <c r="AT12" s="30"/>
      <c r="AU12" s="2">
        <f t="shared" si="14"/>
        <v>0</v>
      </c>
      <c r="AV12" s="70">
        <f t="shared" si="15"/>
        <v>0</v>
      </c>
      <c r="AW12" s="67">
        <f t="shared" si="15"/>
        <v>0</v>
      </c>
      <c r="AX12" s="51">
        <f t="shared" si="15"/>
        <v>0</v>
      </c>
      <c r="AY12" s="33"/>
      <c r="AZ12" s="30"/>
      <c r="BA12" s="2">
        <f t="shared" si="16"/>
        <v>0</v>
      </c>
      <c r="BB12" s="33"/>
      <c r="BC12" s="30"/>
      <c r="BD12" s="2">
        <f t="shared" si="17"/>
        <v>0</v>
      </c>
      <c r="BE12" s="33"/>
      <c r="BF12" s="30"/>
      <c r="BG12" s="2">
        <f t="shared" si="18"/>
        <v>0</v>
      </c>
      <c r="BH12" s="33"/>
      <c r="BI12" s="30"/>
      <c r="BJ12" s="2">
        <f t="shared" si="19"/>
        <v>0</v>
      </c>
      <c r="BK12" s="33"/>
      <c r="BL12" s="30"/>
      <c r="BM12" s="2">
        <f t="shared" si="20"/>
        <v>0</v>
      </c>
      <c r="BN12" s="33"/>
      <c r="BO12" s="30"/>
      <c r="BP12" s="2">
        <f t="shared" si="21"/>
        <v>0</v>
      </c>
      <c r="BQ12" s="33"/>
      <c r="BR12" s="30"/>
      <c r="BS12" s="2">
        <f t="shared" si="22"/>
        <v>0</v>
      </c>
      <c r="BT12" s="70">
        <f t="shared" si="23"/>
        <v>0</v>
      </c>
      <c r="BU12" s="67">
        <f t="shared" si="23"/>
        <v>0</v>
      </c>
      <c r="BV12" s="51">
        <f t="shared" si="23"/>
        <v>0</v>
      </c>
      <c r="BW12" s="33"/>
      <c r="BX12" s="30"/>
      <c r="BY12" s="2">
        <f t="shared" si="24"/>
        <v>0</v>
      </c>
      <c r="BZ12" s="33"/>
      <c r="CA12" s="30"/>
      <c r="CB12" s="2">
        <f t="shared" si="25"/>
        <v>0</v>
      </c>
      <c r="CC12" s="33"/>
      <c r="CD12" s="30"/>
      <c r="CE12" s="2">
        <f t="shared" si="26"/>
        <v>0</v>
      </c>
      <c r="CF12" s="33"/>
      <c r="CG12" s="30"/>
      <c r="CH12" s="2">
        <f t="shared" si="27"/>
        <v>0</v>
      </c>
      <c r="CI12" s="33"/>
      <c r="CJ12" s="30"/>
      <c r="CK12" s="2">
        <f t="shared" si="28"/>
        <v>0</v>
      </c>
      <c r="CL12" s="33"/>
      <c r="CM12" s="30"/>
      <c r="CN12" s="2">
        <f t="shared" si="29"/>
        <v>0</v>
      </c>
      <c r="CO12" s="33"/>
      <c r="CP12" s="30"/>
      <c r="CQ12" s="2">
        <f t="shared" si="30"/>
        <v>0</v>
      </c>
      <c r="CR12" s="70">
        <f t="shared" si="31"/>
        <v>0</v>
      </c>
      <c r="CS12" s="67">
        <f t="shared" si="31"/>
        <v>0</v>
      </c>
      <c r="CT12" s="51">
        <f t="shared" si="31"/>
        <v>0</v>
      </c>
      <c r="CU12" s="33"/>
      <c r="CV12" s="30"/>
      <c r="CW12" s="2">
        <f t="shared" si="32"/>
        <v>0</v>
      </c>
      <c r="CX12" s="33"/>
      <c r="CY12" s="30"/>
      <c r="CZ12" s="2">
        <f t="shared" si="33"/>
        <v>0</v>
      </c>
      <c r="DA12" s="33"/>
      <c r="DB12" s="30"/>
      <c r="DC12" s="2">
        <f t="shared" si="34"/>
        <v>0</v>
      </c>
      <c r="DD12" s="33"/>
      <c r="DE12" s="30"/>
      <c r="DF12" s="2">
        <f t="shared" si="35"/>
        <v>0</v>
      </c>
      <c r="DG12" s="33"/>
      <c r="DH12" s="30"/>
      <c r="DI12" s="2">
        <f t="shared" si="36"/>
        <v>0</v>
      </c>
      <c r="DJ12" s="33"/>
      <c r="DK12" s="30"/>
      <c r="DL12" s="2">
        <f t="shared" si="37"/>
        <v>0</v>
      </c>
      <c r="DM12" s="33"/>
      <c r="DN12" s="30"/>
      <c r="DO12" s="2">
        <f t="shared" si="38"/>
        <v>0</v>
      </c>
      <c r="DP12" s="70">
        <f t="shared" si="39"/>
        <v>0</v>
      </c>
      <c r="DQ12" s="67">
        <f t="shared" si="39"/>
        <v>0</v>
      </c>
      <c r="DR12" s="51">
        <f t="shared" si="39"/>
        <v>0</v>
      </c>
      <c r="DS12" s="52">
        <f t="shared" si="40"/>
        <v>0</v>
      </c>
      <c r="DT12" s="53">
        <f t="shared" si="41"/>
        <v>0</v>
      </c>
      <c r="DU12" s="54">
        <f t="shared" si="41"/>
        <v>0</v>
      </c>
    </row>
    <row r="13" spans="1:125" s="26" customFormat="1" ht="17.100000000000001" customHeight="1" x14ac:dyDescent="0.2">
      <c r="A13" s="27" t="s">
        <v>31</v>
      </c>
      <c r="B13" s="28">
        <v>5000</v>
      </c>
      <c r="C13" s="29"/>
      <c r="D13" s="30"/>
      <c r="E13" s="2">
        <f t="shared" si="0"/>
        <v>0</v>
      </c>
      <c r="F13" s="29"/>
      <c r="G13" s="30"/>
      <c r="H13" s="2">
        <f t="shared" si="1"/>
        <v>0</v>
      </c>
      <c r="I13" s="29"/>
      <c r="J13" s="30"/>
      <c r="K13" s="2">
        <f t="shared" si="2"/>
        <v>0</v>
      </c>
      <c r="L13" s="31"/>
      <c r="M13" s="30"/>
      <c r="N13" s="2">
        <f t="shared" si="3"/>
        <v>0</v>
      </c>
      <c r="O13" s="84"/>
      <c r="P13" s="82"/>
      <c r="Q13" s="2">
        <f t="shared" si="4"/>
        <v>0</v>
      </c>
      <c r="R13" s="31"/>
      <c r="S13" s="30"/>
      <c r="T13" s="2">
        <f t="shared" si="5"/>
        <v>0</v>
      </c>
      <c r="U13" s="33"/>
      <c r="V13" s="30"/>
      <c r="W13" s="64">
        <f t="shared" si="6"/>
        <v>0</v>
      </c>
      <c r="X13" s="70">
        <f t="shared" si="7"/>
        <v>0</v>
      </c>
      <c r="Y13" s="67">
        <f t="shared" si="7"/>
        <v>0</v>
      </c>
      <c r="Z13" s="73">
        <f t="shared" si="7"/>
        <v>0</v>
      </c>
      <c r="AA13" s="35"/>
      <c r="AB13" s="30"/>
      <c r="AC13" s="2">
        <f t="shared" si="8"/>
        <v>0</v>
      </c>
      <c r="AD13" s="33"/>
      <c r="AE13" s="30"/>
      <c r="AF13" s="2">
        <f t="shared" si="9"/>
        <v>0</v>
      </c>
      <c r="AG13" s="33"/>
      <c r="AH13" s="30"/>
      <c r="AI13" s="2">
        <f t="shared" si="10"/>
        <v>0</v>
      </c>
      <c r="AJ13" s="33"/>
      <c r="AK13" s="30"/>
      <c r="AL13" s="2">
        <f t="shared" si="11"/>
        <v>0</v>
      </c>
      <c r="AM13" s="33"/>
      <c r="AN13" s="30"/>
      <c r="AO13" s="2">
        <f t="shared" si="12"/>
        <v>0</v>
      </c>
      <c r="AP13" s="33"/>
      <c r="AQ13" s="30"/>
      <c r="AR13" s="2">
        <f t="shared" si="13"/>
        <v>0</v>
      </c>
      <c r="AS13" s="33"/>
      <c r="AT13" s="30"/>
      <c r="AU13" s="2">
        <f t="shared" si="14"/>
        <v>0</v>
      </c>
      <c r="AV13" s="70">
        <f t="shared" si="15"/>
        <v>0</v>
      </c>
      <c r="AW13" s="67">
        <f t="shared" si="15"/>
        <v>0</v>
      </c>
      <c r="AX13" s="51">
        <f t="shared" si="15"/>
        <v>0</v>
      </c>
      <c r="AY13" s="33"/>
      <c r="AZ13" s="30"/>
      <c r="BA13" s="2">
        <f t="shared" si="16"/>
        <v>0</v>
      </c>
      <c r="BB13" s="33"/>
      <c r="BC13" s="30"/>
      <c r="BD13" s="2">
        <f t="shared" si="17"/>
        <v>0</v>
      </c>
      <c r="BE13" s="33"/>
      <c r="BF13" s="30"/>
      <c r="BG13" s="2">
        <f t="shared" si="18"/>
        <v>0</v>
      </c>
      <c r="BH13" s="33"/>
      <c r="BI13" s="30"/>
      <c r="BJ13" s="2">
        <f t="shared" si="19"/>
        <v>0</v>
      </c>
      <c r="BK13" s="33"/>
      <c r="BL13" s="30"/>
      <c r="BM13" s="2">
        <f t="shared" si="20"/>
        <v>0</v>
      </c>
      <c r="BN13" s="33"/>
      <c r="BO13" s="30"/>
      <c r="BP13" s="2">
        <f t="shared" si="21"/>
        <v>0</v>
      </c>
      <c r="BQ13" s="33"/>
      <c r="BR13" s="30"/>
      <c r="BS13" s="2">
        <f t="shared" si="22"/>
        <v>0</v>
      </c>
      <c r="BT13" s="70">
        <f t="shared" si="23"/>
        <v>0</v>
      </c>
      <c r="BU13" s="67">
        <f t="shared" si="23"/>
        <v>0</v>
      </c>
      <c r="BV13" s="51">
        <f t="shared" si="23"/>
        <v>0</v>
      </c>
      <c r="BW13" s="33"/>
      <c r="BX13" s="30"/>
      <c r="BY13" s="2">
        <f t="shared" si="24"/>
        <v>0</v>
      </c>
      <c r="BZ13" s="33"/>
      <c r="CA13" s="30"/>
      <c r="CB13" s="2">
        <f t="shared" si="25"/>
        <v>0</v>
      </c>
      <c r="CC13" s="33"/>
      <c r="CD13" s="30"/>
      <c r="CE13" s="2">
        <f t="shared" si="26"/>
        <v>0</v>
      </c>
      <c r="CF13" s="33"/>
      <c r="CG13" s="30"/>
      <c r="CH13" s="2">
        <f t="shared" si="27"/>
        <v>0</v>
      </c>
      <c r="CI13" s="33"/>
      <c r="CJ13" s="30"/>
      <c r="CK13" s="2">
        <f t="shared" si="28"/>
        <v>0</v>
      </c>
      <c r="CL13" s="33"/>
      <c r="CM13" s="30"/>
      <c r="CN13" s="2">
        <f t="shared" si="29"/>
        <v>0</v>
      </c>
      <c r="CO13" s="33"/>
      <c r="CP13" s="30"/>
      <c r="CQ13" s="2">
        <f t="shared" si="30"/>
        <v>0</v>
      </c>
      <c r="CR13" s="70">
        <f t="shared" si="31"/>
        <v>0</v>
      </c>
      <c r="CS13" s="67">
        <f t="shared" si="31"/>
        <v>0</v>
      </c>
      <c r="CT13" s="51">
        <f t="shared" si="31"/>
        <v>0</v>
      </c>
      <c r="CU13" s="33"/>
      <c r="CV13" s="30"/>
      <c r="CW13" s="2">
        <f t="shared" si="32"/>
        <v>0</v>
      </c>
      <c r="CX13" s="33"/>
      <c r="CY13" s="30"/>
      <c r="CZ13" s="2">
        <f t="shared" si="33"/>
        <v>0</v>
      </c>
      <c r="DA13" s="33"/>
      <c r="DB13" s="30"/>
      <c r="DC13" s="2">
        <f t="shared" si="34"/>
        <v>0</v>
      </c>
      <c r="DD13" s="33"/>
      <c r="DE13" s="30"/>
      <c r="DF13" s="2">
        <f t="shared" si="35"/>
        <v>0</v>
      </c>
      <c r="DG13" s="33"/>
      <c r="DH13" s="30"/>
      <c r="DI13" s="2">
        <f t="shared" si="36"/>
        <v>0</v>
      </c>
      <c r="DJ13" s="33"/>
      <c r="DK13" s="30"/>
      <c r="DL13" s="2">
        <f t="shared" si="37"/>
        <v>0</v>
      </c>
      <c r="DM13" s="33"/>
      <c r="DN13" s="30"/>
      <c r="DO13" s="2">
        <f t="shared" si="38"/>
        <v>0</v>
      </c>
      <c r="DP13" s="70">
        <f t="shared" si="39"/>
        <v>0</v>
      </c>
      <c r="DQ13" s="67">
        <f t="shared" si="39"/>
        <v>0</v>
      </c>
      <c r="DR13" s="51">
        <f t="shared" si="39"/>
        <v>0</v>
      </c>
      <c r="DS13" s="52">
        <f t="shared" si="40"/>
        <v>0</v>
      </c>
      <c r="DT13" s="53">
        <f t="shared" si="41"/>
        <v>0</v>
      </c>
      <c r="DU13" s="54">
        <f t="shared" si="41"/>
        <v>0</v>
      </c>
    </row>
    <row r="14" spans="1:125" s="26" customFormat="1" ht="17.100000000000001" customHeight="1" x14ac:dyDescent="0.2">
      <c r="A14" s="27" t="s">
        <v>32</v>
      </c>
      <c r="B14" s="28">
        <v>5000</v>
      </c>
      <c r="C14" s="29"/>
      <c r="D14" s="30"/>
      <c r="E14" s="2">
        <f t="shared" si="0"/>
        <v>0</v>
      </c>
      <c r="F14" s="29"/>
      <c r="G14" s="30"/>
      <c r="H14" s="2">
        <f t="shared" si="1"/>
        <v>0</v>
      </c>
      <c r="I14" s="29"/>
      <c r="J14" s="30"/>
      <c r="K14" s="2">
        <f t="shared" si="2"/>
        <v>0</v>
      </c>
      <c r="L14" s="31"/>
      <c r="M14" s="30"/>
      <c r="N14" s="2">
        <f t="shared" si="3"/>
        <v>0</v>
      </c>
      <c r="O14" s="84"/>
      <c r="P14" s="82"/>
      <c r="Q14" s="2">
        <f t="shared" si="4"/>
        <v>0</v>
      </c>
      <c r="R14" s="31"/>
      <c r="S14" s="30"/>
      <c r="T14" s="2">
        <f t="shared" si="5"/>
        <v>0</v>
      </c>
      <c r="U14" s="33"/>
      <c r="V14" s="30"/>
      <c r="W14" s="64">
        <f t="shared" si="6"/>
        <v>0</v>
      </c>
      <c r="X14" s="70">
        <f t="shared" si="7"/>
        <v>0</v>
      </c>
      <c r="Y14" s="67">
        <f t="shared" si="7"/>
        <v>0</v>
      </c>
      <c r="Z14" s="73">
        <f t="shared" si="7"/>
        <v>0</v>
      </c>
      <c r="AA14" s="35"/>
      <c r="AB14" s="30"/>
      <c r="AC14" s="2">
        <f t="shared" si="8"/>
        <v>0</v>
      </c>
      <c r="AD14" s="33"/>
      <c r="AE14" s="30"/>
      <c r="AF14" s="2">
        <f t="shared" si="9"/>
        <v>0</v>
      </c>
      <c r="AG14" s="33"/>
      <c r="AH14" s="30">
        <v>1</v>
      </c>
      <c r="AI14" s="2">
        <f t="shared" si="10"/>
        <v>5000</v>
      </c>
      <c r="AJ14" s="33"/>
      <c r="AK14" s="30"/>
      <c r="AL14" s="2">
        <f t="shared" si="11"/>
        <v>0</v>
      </c>
      <c r="AM14" s="33"/>
      <c r="AN14" s="30"/>
      <c r="AO14" s="2">
        <f t="shared" si="12"/>
        <v>0</v>
      </c>
      <c r="AP14" s="33"/>
      <c r="AQ14" s="30"/>
      <c r="AR14" s="2">
        <f t="shared" si="13"/>
        <v>0</v>
      </c>
      <c r="AS14" s="33"/>
      <c r="AT14" s="30"/>
      <c r="AU14" s="2">
        <f t="shared" si="14"/>
        <v>0</v>
      </c>
      <c r="AV14" s="70">
        <f t="shared" si="15"/>
        <v>0</v>
      </c>
      <c r="AW14" s="67">
        <f t="shared" si="15"/>
        <v>1</v>
      </c>
      <c r="AX14" s="51">
        <f t="shared" si="15"/>
        <v>5000</v>
      </c>
      <c r="AY14" s="33"/>
      <c r="AZ14" s="30"/>
      <c r="BA14" s="2">
        <f t="shared" si="16"/>
        <v>0</v>
      </c>
      <c r="BB14" s="33"/>
      <c r="BC14" s="30"/>
      <c r="BD14" s="2">
        <f t="shared" si="17"/>
        <v>0</v>
      </c>
      <c r="BE14" s="33"/>
      <c r="BF14" s="30"/>
      <c r="BG14" s="2">
        <f t="shared" si="18"/>
        <v>0</v>
      </c>
      <c r="BH14" s="33"/>
      <c r="BI14" s="30"/>
      <c r="BJ14" s="2">
        <f t="shared" si="19"/>
        <v>0</v>
      </c>
      <c r="BK14" s="33"/>
      <c r="BL14" s="30"/>
      <c r="BM14" s="2">
        <f t="shared" si="20"/>
        <v>0</v>
      </c>
      <c r="BN14" s="33"/>
      <c r="BO14" s="30"/>
      <c r="BP14" s="2">
        <f t="shared" si="21"/>
        <v>0</v>
      </c>
      <c r="BQ14" s="33"/>
      <c r="BR14" s="30"/>
      <c r="BS14" s="2">
        <f t="shared" si="22"/>
        <v>0</v>
      </c>
      <c r="BT14" s="70">
        <f t="shared" si="23"/>
        <v>0</v>
      </c>
      <c r="BU14" s="67">
        <f t="shared" si="23"/>
        <v>0</v>
      </c>
      <c r="BV14" s="51">
        <f t="shared" si="23"/>
        <v>0</v>
      </c>
      <c r="BW14" s="33"/>
      <c r="BX14" s="30"/>
      <c r="BY14" s="2">
        <f t="shared" si="24"/>
        <v>0</v>
      </c>
      <c r="BZ14" s="33"/>
      <c r="CA14" s="30"/>
      <c r="CB14" s="2">
        <f t="shared" si="25"/>
        <v>0</v>
      </c>
      <c r="CC14" s="33"/>
      <c r="CD14" s="30"/>
      <c r="CE14" s="2">
        <f t="shared" si="26"/>
        <v>0</v>
      </c>
      <c r="CF14" s="33"/>
      <c r="CG14" s="30"/>
      <c r="CH14" s="2">
        <f t="shared" si="27"/>
        <v>0</v>
      </c>
      <c r="CI14" s="33"/>
      <c r="CJ14" s="30"/>
      <c r="CK14" s="2">
        <f t="shared" si="28"/>
        <v>0</v>
      </c>
      <c r="CL14" s="33"/>
      <c r="CM14" s="30"/>
      <c r="CN14" s="2">
        <f t="shared" si="29"/>
        <v>0</v>
      </c>
      <c r="CO14" s="33"/>
      <c r="CP14" s="30"/>
      <c r="CQ14" s="2">
        <f t="shared" si="30"/>
        <v>0</v>
      </c>
      <c r="CR14" s="70">
        <f t="shared" si="31"/>
        <v>0</v>
      </c>
      <c r="CS14" s="67">
        <f t="shared" si="31"/>
        <v>0</v>
      </c>
      <c r="CT14" s="51">
        <f t="shared" si="31"/>
        <v>0</v>
      </c>
      <c r="CU14" s="33"/>
      <c r="CV14" s="30"/>
      <c r="CW14" s="2">
        <f t="shared" si="32"/>
        <v>0</v>
      </c>
      <c r="CX14" s="33"/>
      <c r="CY14" s="30"/>
      <c r="CZ14" s="2">
        <f t="shared" si="33"/>
        <v>0</v>
      </c>
      <c r="DA14" s="33"/>
      <c r="DB14" s="30"/>
      <c r="DC14" s="2">
        <f t="shared" si="34"/>
        <v>0</v>
      </c>
      <c r="DD14" s="33"/>
      <c r="DE14" s="30"/>
      <c r="DF14" s="2">
        <f t="shared" si="35"/>
        <v>0</v>
      </c>
      <c r="DG14" s="33"/>
      <c r="DH14" s="30"/>
      <c r="DI14" s="2">
        <f t="shared" si="36"/>
        <v>0</v>
      </c>
      <c r="DJ14" s="33"/>
      <c r="DK14" s="30"/>
      <c r="DL14" s="2">
        <f t="shared" si="37"/>
        <v>0</v>
      </c>
      <c r="DM14" s="33"/>
      <c r="DN14" s="30"/>
      <c r="DO14" s="2">
        <f t="shared" si="38"/>
        <v>0</v>
      </c>
      <c r="DP14" s="70">
        <f t="shared" si="39"/>
        <v>0</v>
      </c>
      <c r="DQ14" s="67">
        <f t="shared" si="39"/>
        <v>0</v>
      </c>
      <c r="DR14" s="51">
        <f t="shared" si="39"/>
        <v>0</v>
      </c>
      <c r="DS14" s="52">
        <f t="shared" si="40"/>
        <v>0</v>
      </c>
      <c r="DT14" s="53">
        <f t="shared" si="41"/>
        <v>1</v>
      </c>
      <c r="DU14" s="54">
        <f t="shared" si="41"/>
        <v>5000</v>
      </c>
    </row>
    <row r="15" spans="1:125" s="26" customFormat="1" ht="17.100000000000001" customHeight="1" x14ac:dyDescent="0.2">
      <c r="A15" s="27" t="s">
        <v>36</v>
      </c>
      <c r="B15" s="28">
        <v>5500</v>
      </c>
      <c r="C15" s="29"/>
      <c r="D15" s="30"/>
      <c r="E15" s="2">
        <f t="shared" si="0"/>
        <v>0</v>
      </c>
      <c r="F15" s="29"/>
      <c r="G15" s="30"/>
      <c r="H15" s="2">
        <f t="shared" si="1"/>
        <v>0</v>
      </c>
      <c r="I15" s="29"/>
      <c r="J15" s="30"/>
      <c r="K15" s="2">
        <f t="shared" si="2"/>
        <v>0</v>
      </c>
      <c r="L15" s="31"/>
      <c r="M15" s="30"/>
      <c r="N15" s="2">
        <f t="shared" si="3"/>
        <v>0</v>
      </c>
      <c r="O15" s="84"/>
      <c r="P15" s="82"/>
      <c r="Q15" s="2">
        <f t="shared" si="4"/>
        <v>0</v>
      </c>
      <c r="R15" s="31"/>
      <c r="S15" s="30"/>
      <c r="T15" s="2">
        <f t="shared" si="5"/>
        <v>0</v>
      </c>
      <c r="U15" s="33"/>
      <c r="V15" s="30"/>
      <c r="W15" s="64">
        <f t="shared" si="6"/>
        <v>0</v>
      </c>
      <c r="X15" s="70">
        <f t="shared" si="7"/>
        <v>0</v>
      </c>
      <c r="Y15" s="67">
        <f t="shared" si="7"/>
        <v>0</v>
      </c>
      <c r="Z15" s="73">
        <f t="shared" si="7"/>
        <v>0</v>
      </c>
      <c r="AA15" s="35"/>
      <c r="AB15" s="30"/>
      <c r="AC15" s="2">
        <f t="shared" si="8"/>
        <v>0</v>
      </c>
      <c r="AD15" s="33"/>
      <c r="AE15" s="30"/>
      <c r="AF15" s="2">
        <f t="shared" si="9"/>
        <v>0</v>
      </c>
      <c r="AG15" s="33"/>
      <c r="AH15" s="30">
        <v>1</v>
      </c>
      <c r="AI15" s="2">
        <f t="shared" si="10"/>
        <v>5500</v>
      </c>
      <c r="AJ15" s="33"/>
      <c r="AK15" s="30"/>
      <c r="AL15" s="2">
        <f t="shared" si="11"/>
        <v>0</v>
      </c>
      <c r="AM15" s="33"/>
      <c r="AN15" s="30"/>
      <c r="AO15" s="2">
        <f t="shared" si="12"/>
        <v>0</v>
      </c>
      <c r="AP15" s="33"/>
      <c r="AQ15" s="30"/>
      <c r="AR15" s="2">
        <f t="shared" si="13"/>
        <v>0</v>
      </c>
      <c r="AS15" s="33"/>
      <c r="AT15" s="30"/>
      <c r="AU15" s="2">
        <f t="shared" si="14"/>
        <v>0</v>
      </c>
      <c r="AV15" s="70">
        <f t="shared" si="15"/>
        <v>0</v>
      </c>
      <c r="AW15" s="67">
        <f t="shared" si="15"/>
        <v>1</v>
      </c>
      <c r="AX15" s="51">
        <f t="shared" si="15"/>
        <v>5500</v>
      </c>
      <c r="AY15" s="33"/>
      <c r="AZ15" s="30"/>
      <c r="BA15" s="2">
        <f t="shared" si="16"/>
        <v>0</v>
      </c>
      <c r="BB15" s="33"/>
      <c r="BC15" s="30"/>
      <c r="BD15" s="2">
        <f t="shared" si="17"/>
        <v>0</v>
      </c>
      <c r="BE15" s="33"/>
      <c r="BF15" s="30"/>
      <c r="BG15" s="2">
        <f t="shared" si="18"/>
        <v>0</v>
      </c>
      <c r="BH15" s="33"/>
      <c r="BI15" s="30"/>
      <c r="BJ15" s="2">
        <f t="shared" si="19"/>
        <v>0</v>
      </c>
      <c r="BK15" s="33"/>
      <c r="BL15" s="30"/>
      <c r="BM15" s="2">
        <f t="shared" si="20"/>
        <v>0</v>
      </c>
      <c r="BN15" s="33"/>
      <c r="BO15" s="30"/>
      <c r="BP15" s="2">
        <f t="shared" si="21"/>
        <v>0</v>
      </c>
      <c r="BQ15" s="33"/>
      <c r="BR15" s="30"/>
      <c r="BS15" s="2">
        <f t="shared" si="22"/>
        <v>0</v>
      </c>
      <c r="BT15" s="70">
        <f t="shared" si="23"/>
        <v>0</v>
      </c>
      <c r="BU15" s="67">
        <f t="shared" si="23"/>
        <v>0</v>
      </c>
      <c r="BV15" s="51">
        <f t="shared" si="23"/>
        <v>0</v>
      </c>
      <c r="BW15" s="33"/>
      <c r="BX15" s="30"/>
      <c r="BY15" s="2">
        <f t="shared" si="24"/>
        <v>0</v>
      </c>
      <c r="BZ15" s="33"/>
      <c r="CA15" s="30"/>
      <c r="CB15" s="2">
        <f t="shared" si="25"/>
        <v>0</v>
      </c>
      <c r="CC15" s="33"/>
      <c r="CD15" s="30"/>
      <c r="CE15" s="2">
        <f t="shared" si="26"/>
        <v>0</v>
      </c>
      <c r="CF15" s="33"/>
      <c r="CG15" s="30"/>
      <c r="CH15" s="2">
        <f t="shared" si="27"/>
        <v>0</v>
      </c>
      <c r="CI15" s="33"/>
      <c r="CJ15" s="30"/>
      <c r="CK15" s="2">
        <f t="shared" si="28"/>
        <v>0</v>
      </c>
      <c r="CL15" s="33"/>
      <c r="CM15" s="30"/>
      <c r="CN15" s="2">
        <f t="shared" si="29"/>
        <v>0</v>
      </c>
      <c r="CO15" s="33"/>
      <c r="CP15" s="30"/>
      <c r="CQ15" s="2">
        <f t="shared" si="30"/>
        <v>0</v>
      </c>
      <c r="CR15" s="70">
        <f t="shared" si="31"/>
        <v>0</v>
      </c>
      <c r="CS15" s="67">
        <f t="shared" si="31"/>
        <v>0</v>
      </c>
      <c r="CT15" s="51">
        <f t="shared" si="31"/>
        <v>0</v>
      </c>
      <c r="CU15" s="33"/>
      <c r="CV15" s="30"/>
      <c r="CW15" s="2">
        <f t="shared" si="32"/>
        <v>0</v>
      </c>
      <c r="CX15" s="33"/>
      <c r="CY15" s="30"/>
      <c r="CZ15" s="2">
        <f t="shared" si="33"/>
        <v>0</v>
      </c>
      <c r="DA15" s="33"/>
      <c r="DB15" s="30"/>
      <c r="DC15" s="2">
        <f t="shared" si="34"/>
        <v>0</v>
      </c>
      <c r="DD15" s="33"/>
      <c r="DE15" s="30"/>
      <c r="DF15" s="2">
        <f t="shared" si="35"/>
        <v>0</v>
      </c>
      <c r="DG15" s="33"/>
      <c r="DH15" s="30"/>
      <c r="DI15" s="2">
        <f t="shared" si="36"/>
        <v>0</v>
      </c>
      <c r="DJ15" s="33"/>
      <c r="DK15" s="30"/>
      <c r="DL15" s="2">
        <f t="shared" si="37"/>
        <v>0</v>
      </c>
      <c r="DM15" s="33"/>
      <c r="DN15" s="30"/>
      <c r="DO15" s="2">
        <f t="shared" si="38"/>
        <v>0</v>
      </c>
      <c r="DP15" s="70">
        <f t="shared" si="39"/>
        <v>0</v>
      </c>
      <c r="DQ15" s="67">
        <f t="shared" si="39"/>
        <v>0</v>
      </c>
      <c r="DR15" s="51">
        <f t="shared" si="39"/>
        <v>0</v>
      </c>
      <c r="DS15" s="52">
        <f t="shared" si="40"/>
        <v>0</v>
      </c>
      <c r="DT15" s="53">
        <f t="shared" si="41"/>
        <v>1</v>
      </c>
      <c r="DU15" s="54">
        <f t="shared" si="41"/>
        <v>5500</v>
      </c>
    </row>
    <row r="16" spans="1:125" s="26" customFormat="1" ht="17.100000000000001" customHeight="1" x14ac:dyDescent="0.2">
      <c r="A16" s="27" t="s">
        <v>33</v>
      </c>
      <c r="B16" s="28">
        <v>5000</v>
      </c>
      <c r="C16" s="29"/>
      <c r="D16" s="30"/>
      <c r="E16" s="2">
        <f t="shared" si="0"/>
        <v>0</v>
      </c>
      <c r="F16" s="29"/>
      <c r="G16" s="30"/>
      <c r="H16" s="2">
        <f t="shared" si="1"/>
        <v>0</v>
      </c>
      <c r="I16" s="29"/>
      <c r="J16" s="30"/>
      <c r="K16" s="2">
        <f t="shared" si="2"/>
        <v>0</v>
      </c>
      <c r="L16" s="31"/>
      <c r="M16" s="30"/>
      <c r="N16" s="2">
        <f t="shared" si="3"/>
        <v>0</v>
      </c>
      <c r="O16" s="84"/>
      <c r="P16" s="82"/>
      <c r="Q16" s="2">
        <f t="shared" si="4"/>
        <v>0</v>
      </c>
      <c r="R16" s="31"/>
      <c r="S16" s="30"/>
      <c r="T16" s="2">
        <f t="shared" si="5"/>
        <v>0</v>
      </c>
      <c r="U16" s="33"/>
      <c r="V16" s="30"/>
      <c r="W16" s="64">
        <f t="shared" si="6"/>
        <v>0</v>
      </c>
      <c r="X16" s="70">
        <f t="shared" si="7"/>
        <v>0</v>
      </c>
      <c r="Y16" s="67">
        <f t="shared" si="7"/>
        <v>0</v>
      </c>
      <c r="Z16" s="73">
        <f t="shared" si="7"/>
        <v>0</v>
      </c>
      <c r="AA16" s="35"/>
      <c r="AB16" s="30"/>
      <c r="AC16" s="2">
        <f t="shared" si="8"/>
        <v>0</v>
      </c>
      <c r="AD16" s="33"/>
      <c r="AE16" s="30"/>
      <c r="AF16" s="2">
        <f t="shared" si="9"/>
        <v>0</v>
      </c>
      <c r="AG16" s="33"/>
      <c r="AH16" s="30"/>
      <c r="AI16" s="2">
        <f t="shared" si="10"/>
        <v>0</v>
      </c>
      <c r="AJ16" s="33"/>
      <c r="AK16" s="30"/>
      <c r="AL16" s="2">
        <f t="shared" si="11"/>
        <v>0</v>
      </c>
      <c r="AM16" s="33"/>
      <c r="AN16" s="30"/>
      <c r="AO16" s="2">
        <f t="shared" si="12"/>
        <v>0</v>
      </c>
      <c r="AP16" s="33"/>
      <c r="AQ16" s="30"/>
      <c r="AR16" s="2">
        <f t="shared" si="13"/>
        <v>0</v>
      </c>
      <c r="AS16" s="33"/>
      <c r="AT16" s="30"/>
      <c r="AU16" s="2">
        <f t="shared" si="14"/>
        <v>0</v>
      </c>
      <c r="AV16" s="70">
        <f t="shared" si="15"/>
        <v>0</v>
      </c>
      <c r="AW16" s="67">
        <f t="shared" si="15"/>
        <v>0</v>
      </c>
      <c r="AX16" s="51">
        <f t="shared" si="15"/>
        <v>0</v>
      </c>
      <c r="AY16" s="33"/>
      <c r="AZ16" s="30"/>
      <c r="BA16" s="2">
        <f t="shared" si="16"/>
        <v>0</v>
      </c>
      <c r="BB16" s="33"/>
      <c r="BC16" s="30"/>
      <c r="BD16" s="2">
        <f t="shared" si="17"/>
        <v>0</v>
      </c>
      <c r="BE16" s="33"/>
      <c r="BF16" s="30"/>
      <c r="BG16" s="2">
        <f t="shared" si="18"/>
        <v>0</v>
      </c>
      <c r="BH16" s="33"/>
      <c r="BI16" s="30"/>
      <c r="BJ16" s="2">
        <f t="shared" si="19"/>
        <v>0</v>
      </c>
      <c r="BK16" s="33"/>
      <c r="BL16" s="30"/>
      <c r="BM16" s="2">
        <f t="shared" si="20"/>
        <v>0</v>
      </c>
      <c r="BN16" s="33"/>
      <c r="BO16" s="30"/>
      <c r="BP16" s="2">
        <f t="shared" si="21"/>
        <v>0</v>
      </c>
      <c r="BQ16" s="33"/>
      <c r="BR16" s="30"/>
      <c r="BS16" s="2">
        <f t="shared" si="22"/>
        <v>0</v>
      </c>
      <c r="BT16" s="70">
        <f t="shared" si="23"/>
        <v>0</v>
      </c>
      <c r="BU16" s="67">
        <f t="shared" si="23"/>
        <v>0</v>
      </c>
      <c r="BV16" s="51">
        <f t="shared" si="23"/>
        <v>0</v>
      </c>
      <c r="BW16" s="33"/>
      <c r="BX16" s="30"/>
      <c r="BY16" s="2">
        <f t="shared" si="24"/>
        <v>0</v>
      </c>
      <c r="BZ16" s="33"/>
      <c r="CA16" s="30"/>
      <c r="CB16" s="2">
        <f t="shared" si="25"/>
        <v>0</v>
      </c>
      <c r="CC16" s="33"/>
      <c r="CD16" s="30"/>
      <c r="CE16" s="2">
        <f t="shared" si="26"/>
        <v>0</v>
      </c>
      <c r="CF16" s="33"/>
      <c r="CG16" s="30"/>
      <c r="CH16" s="2">
        <f t="shared" si="27"/>
        <v>0</v>
      </c>
      <c r="CI16" s="33"/>
      <c r="CJ16" s="30"/>
      <c r="CK16" s="2">
        <f t="shared" si="28"/>
        <v>0</v>
      </c>
      <c r="CL16" s="33"/>
      <c r="CM16" s="30"/>
      <c r="CN16" s="2">
        <f t="shared" si="29"/>
        <v>0</v>
      </c>
      <c r="CO16" s="33"/>
      <c r="CP16" s="30"/>
      <c r="CQ16" s="2">
        <f t="shared" si="30"/>
        <v>0</v>
      </c>
      <c r="CR16" s="70">
        <f t="shared" si="31"/>
        <v>0</v>
      </c>
      <c r="CS16" s="67">
        <f t="shared" si="31"/>
        <v>0</v>
      </c>
      <c r="CT16" s="51">
        <f t="shared" si="31"/>
        <v>0</v>
      </c>
      <c r="CU16" s="33"/>
      <c r="CV16" s="30"/>
      <c r="CW16" s="2">
        <f t="shared" si="32"/>
        <v>0</v>
      </c>
      <c r="CX16" s="33"/>
      <c r="CY16" s="30"/>
      <c r="CZ16" s="2">
        <f t="shared" si="33"/>
        <v>0</v>
      </c>
      <c r="DA16" s="33"/>
      <c r="DB16" s="30"/>
      <c r="DC16" s="2">
        <f t="shared" si="34"/>
        <v>0</v>
      </c>
      <c r="DD16" s="33"/>
      <c r="DE16" s="30"/>
      <c r="DF16" s="2">
        <f t="shared" si="35"/>
        <v>0</v>
      </c>
      <c r="DG16" s="33"/>
      <c r="DH16" s="30"/>
      <c r="DI16" s="2">
        <f t="shared" si="36"/>
        <v>0</v>
      </c>
      <c r="DJ16" s="33"/>
      <c r="DK16" s="30"/>
      <c r="DL16" s="2">
        <f t="shared" si="37"/>
        <v>0</v>
      </c>
      <c r="DM16" s="33"/>
      <c r="DN16" s="30"/>
      <c r="DO16" s="2">
        <f t="shared" si="38"/>
        <v>0</v>
      </c>
      <c r="DP16" s="70">
        <f t="shared" si="39"/>
        <v>0</v>
      </c>
      <c r="DQ16" s="67">
        <f t="shared" si="39"/>
        <v>0</v>
      </c>
      <c r="DR16" s="51">
        <f t="shared" si="39"/>
        <v>0</v>
      </c>
      <c r="DS16" s="52">
        <f t="shared" si="40"/>
        <v>0</v>
      </c>
      <c r="DT16" s="53">
        <f t="shared" si="41"/>
        <v>0</v>
      </c>
      <c r="DU16" s="54">
        <f t="shared" si="41"/>
        <v>0</v>
      </c>
    </row>
    <row r="17" spans="1:125" s="26" customFormat="1" ht="17.100000000000001" customHeight="1" x14ac:dyDescent="0.2">
      <c r="A17" s="27" t="s">
        <v>39</v>
      </c>
      <c r="B17" s="28">
        <v>5000</v>
      </c>
      <c r="C17" s="29"/>
      <c r="D17" s="30"/>
      <c r="E17" s="2">
        <f t="shared" si="0"/>
        <v>0</v>
      </c>
      <c r="F17" s="29"/>
      <c r="G17" s="30"/>
      <c r="H17" s="2">
        <f t="shared" si="1"/>
        <v>0</v>
      </c>
      <c r="I17" s="29"/>
      <c r="J17" s="30"/>
      <c r="K17" s="2">
        <f t="shared" si="2"/>
        <v>0</v>
      </c>
      <c r="L17" s="31"/>
      <c r="M17" s="30"/>
      <c r="N17" s="2">
        <f t="shared" si="3"/>
        <v>0</v>
      </c>
      <c r="O17" s="84"/>
      <c r="P17" s="82"/>
      <c r="Q17" s="2">
        <f t="shared" si="4"/>
        <v>0</v>
      </c>
      <c r="R17" s="31"/>
      <c r="S17" s="30"/>
      <c r="T17" s="2">
        <f t="shared" si="5"/>
        <v>0</v>
      </c>
      <c r="U17" s="33"/>
      <c r="V17" s="30"/>
      <c r="W17" s="64">
        <f t="shared" si="6"/>
        <v>0</v>
      </c>
      <c r="X17" s="70">
        <f t="shared" si="7"/>
        <v>0</v>
      </c>
      <c r="Y17" s="67">
        <f t="shared" si="7"/>
        <v>0</v>
      </c>
      <c r="Z17" s="73">
        <f t="shared" si="7"/>
        <v>0</v>
      </c>
      <c r="AA17" s="35"/>
      <c r="AB17" s="30"/>
      <c r="AC17" s="2">
        <f t="shared" si="8"/>
        <v>0</v>
      </c>
      <c r="AD17" s="33"/>
      <c r="AE17" s="30"/>
      <c r="AF17" s="2">
        <f t="shared" si="9"/>
        <v>0</v>
      </c>
      <c r="AG17" s="33"/>
      <c r="AH17" s="30">
        <v>1</v>
      </c>
      <c r="AI17" s="2">
        <f t="shared" si="10"/>
        <v>5000</v>
      </c>
      <c r="AJ17" s="33"/>
      <c r="AK17" s="30"/>
      <c r="AL17" s="2">
        <f t="shared" si="11"/>
        <v>0</v>
      </c>
      <c r="AM17" s="33"/>
      <c r="AN17" s="30"/>
      <c r="AO17" s="2">
        <f t="shared" si="12"/>
        <v>0</v>
      </c>
      <c r="AP17" s="33"/>
      <c r="AQ17" s="30"/>
      <c r="AR17" s="2">
        <f t="shared" si="13"/>
        <v>0</v>
      </c>
      <c r="AS17" s="33"/>
      <c r="AT17" s="30"/>
      <c r="AU17" s="2">
        <f t="shared" si="14"/>
        <v>0</v>
      </c>
      <c r="AV17" s="70">
        <f t="shared" si="15"/>
        <v>0</v>
      </c>
      <c r="AW17" s="67">
        <f t="shared" si="15"/>
        <v>1</v>
      </c>
      <c r="AX17" s="51">
        <f t="shared" si="15"/>
        <v>5000</v>
      </c>
      <c r="AY17" s="33"/>
      <c r="AZ17" s="30"/>
      <c r="BA17" s="2">
        <f t="shared" si="16"/>
        <v>0</v>
      </c>
      <c r="BB17" s="33">
        <v>10000</v>
      </c>
      <c r="BC17" s="30"/>
      <c r="BD17" s="2">
        <f t="shared" si="17"/>
        <v>0</v>
      </c>
      <c r="BE17" s="33">
        <v>6000</v>
      </c>
      <c r="BF17" s="30"/>
      <c r="BG17" s="2">
        <f t="shared" si="18"/>
        <v>0</v>
      </c>
      <c r="BH17" s="33">
        <v>4000</v>
      </c>
      <c r="BI17" s="30"/>
      <c r="BJ17" s="2">
        <f t="shared" si="19"/>
        <v>0</v>
      </c>
      <c r="BK17" s="33"/>
      <c r="BL17" s="30"/>
      <c r="BM17" s="2">
        <f t="shared" si="20"/>
        <v>0</v>
      </c>
      <c r="BN17" s="33">
        <v>4000</v>
      </c>
      <c r="BO17" s="30"/>
      <c r="BP17" s="2">
        <f t="shared" si="21"/>
        <v>0</v>
      </c>
      <c r="BQ17" s="33"/>
      <c r="BR17" s="30"/>
      <c r="BS17" s="2">
        <f t="shared" si="22"/>
        <v>0</v>
      </c>
      <c r="BT17" s="70">
        <f t="shared" si="23"/>
        <v>24000</v>
      </c>
      <c r="BU17" s="67">
        <f t="shared" si="23"/>
        <v>0</v>
      </c>
      <c r="BV17" s="51">
        <f t="shared" si="23"/>
        <v>0</v>
      </c>
      <c r="BW17" s="33"/>
      <c r="BX17" s="30"/>
      <c r="BY17" s="2">
        <f t="shared" si="24"/>
        <v>0</v>
      </c>
      <c r="BZ17" s="33"/>
      <c r="CA17" s="30"/>
      <c r="CB17" s="2">
        <f t="shared" si="25"/>
        <v>0</v>
      </c>
      <c r="CC17" s="33"/>
      <c r="CD17" s="30"/>
      <c r="CE17" s="2">
        <f t="shared" si="26"/>
        <v>0</v>
      </c>
      <c r="CF17" s="33"/>
      <c r="CG17" s="30"/>
      <c r="CH17" s="2">
        <f t="shared" si="27"/>
        <v>0</v>
      </c>
      <c r="CI17" s="33"/>
      <c r="CJ17" s="30"/>
      <c r="CK17" s="2">
        <f t="shared" si="28"/>
        <v>0</v>
      </c>
      <c r="CL17" s="33"/>
      <c r="CM17" s="30"/>
      <c r="CN17" s="2">
        <f t="shared" si="29"/>
        <v>0</v>
      </c>
      <c r="CO17" s="33"/>
      <c r="CP17" s="30"/>
      <c r="CQ17" s="2">
        <f t="shared" si="30"/>
        <v>0</v>
      </c>
      <c r="CR17" s="70">
        <f t="shared" si="31"/>
        <v>0</v>
      </c>
      <c r="CS17" s="67">
        <f t="shared" si="31"/>
        <v>0</v>
      </c>
      <c r="CT17" s="51">
        <f t="shared" si="31"/>
        <v>0</v>
      </c>
      <c r="CU17" s="33"/>
      <c r="CV17" s="30"/>
      <c r="CW17" s="2">
        <f t="shared" si="32"/>
        <v>0</v>
      </c>
      <c r="CX17" s="33"/>
      <c r="CY17" s="30"/>
      <c r="CZ17" s="2">
        <f t="shared" si="33"/>
        <v>0</v>
      </c>
      <c r="DA17" s="33">
        <v>4500</v>
      </c>
      <c r="DB17" s="30"/>
      <c r="DC17" s="2">
        <f t="shared" si="34"/>
        <v>0</v>
      </c>
      <c r="DD17" s="33"/>
      <c r="DE17" s="30"/>
      <c r="DF17" s="2">
        <f t="shared" si="35"/>
        <v>0</v>
      </c>
      <c r="DG17" s="33"/>
      <c r="DH17" s="30"/>
      <c r="DI17" s="2">
        <f t="shared" si="36"/>
        <v>0</v>
      </c>
      <c r="DJ17" s="33"/>
      <c r="DK17" s="30"/>
      <c r="DL17" s="2">
        <f t="shared" si="37"/>
        <v>0</v>
      </c>
      <c r="DM17" s="33"/>
      <c r="DN17" s="30"/>
      <c r="DO17" s="2">
        <f t="shared" si="38"/>
        <v>0</v>
      </c>
      <c r="DP17" s="70">
        <f t="shared" si="39"/>
        <v>4500</v>
      </c>
      <c r="DQ17" s="67">
        <f t="shared" si="39"/>
        <v>0</v>
      </c>
      <c r="DR17" s="51">
        <f t="shared" si="39"/>
        <v>0</v>
      </c>
      <c r="DS17" s="52">
        <v>28500</v>
      </c>
      <c r="DT17" s="53">
        <f t="shared" si="41"/>
        <v>1</v>
      </c>
      <c r="DU17" s="54">
        <f t="shared" si="41"/>
        <v>5000</v>
      </c>
    </row>
    <row r="18" spans="1:125" s="26" customFormat="1" ht="17.100000000000001" customHeight="1" x14ac:dyDescent="0.2">
      <c r="A18" s="27" t="s">
        <v>38</v>
      </c>
      <c r="B18" s="28">
        <v>5000</v>
      </c>
      <c r="C18" s="29"/>
      <c r="D18" s="30"/>
      <c r="E18" s="2">
        <f t="shared" si="0"/>
        <v>0</v>
      </c>
      <c r="F18" s="29"/>
      <c r="G18" s="30"/>
      <c r="H18" s="2">
        <f t="shared" si="1"/>
        <v>0</v>
      </c>
      <c r="I18" s="29"/>
      <c r="J18" s="30"/>
      <c r="K18" s="2">
        <f t="shared" si="2"/>
        <v>0</v>
      </c>
      <c r="L18" s="31"/>
      <c r="M18" s="30"/>
      <c r="N18" s="2">
        <f t="shared" si="3"/>
        <v>0</v>
      </c>
      <c r="O18" s="84"/>
      <c r="P18" s="82"/>
      <c r="Q18" s="2">
        <f t="shared" si="4"/>
        <v>0</v>
      </c>
      <c r="R18" s="31"/>
      <c r="S18" s="30"/>
      <c r="T18" s="2">
        <f t="shared" si="5"/>
        <v>0</v>
      </c>
      <c r="U18" s="33"/>
      <c r="V18" s="30"/>
      <c r="W18" s="64">
        <f t="shared" si="6"/>
        <v>0</v>
      </c>
      <c r="X18" s="70">
        <f t="shared" si="7"/>
        <v>0</v>
      </c>
      <c r="Y18" s="67">
        <f t="shared" si="7"/>
        <v>0</v>
      </c>
      <c r="Z18" s="73">
        <f t="shared" si="7"/>
        <v>0</v>
      </c>
      <c r="AA18" s="35"/>
      <c r="AB18" s="30"/>
      <c r="AC18" s="2">
        <f t="shared" si="8"/>
        <v>0</v>
      </c>
      <c r="AD18" s="33"/>
      <c r="AE18" s="30"/>
      <c r="AF18" s="2">
        <f t="shared" si="9"/>
        <v>0</v>
      </c>
      <c r="AG18" s="33"/>
      <c r="AH18" s="30"/>
      <c r="AI18" s="2">
        <f t="shared" si="10"/>
        <v>0</v>
      </c>
      <c r="AJ18" s="33"/>
      <c r="AK18" s="30"/>
      <c r="AL18" s="2">
        <f t="shared" si="11"/>
        <v>0</v>
      </c>
      <c r="AM18" s="33"/>
      <c r="AN18" s="30">
        <v>1</v>
      </c>
      <c r="AO18" s="2">
        <f t="shared" si="12"/>
        <v>5000</v>
      </c>
      <c r="AP18" s="33"/>
      <c r="AQ18" s="30"/>
      <c r="AR18" s="2">
        <f t="shared" si="13"/>
        <v>0</v>
      </c>
      <c r="AS18" s="33"/>
      <c r="AT18" s="30"/>
      <c r="AU18" s="2">
        <f t="shared" si="14"/>
        <v>0</v>
      </c>
      <c r="AV18" s="70">
        <f t="shared" si="15"/>
        <v>0</v>
      </c>
      <c r="AW18" s="67">
        <f t="shared" si="15"/>
        <v>1</v>
      </c>
      <c r="AX18" s="51">
        <f t="shared" si="15"/>
        <v>5000</v>
      </c>
      <c r="AY18" s="33"/>
      <c r="AZ18" s="30"/>
      <c r="BA18" s="2">
        <f t="shared" si="16"/>
        <v>0</v>
      </c>
      <c r="BB18" s="33"/>
      <c r="BC18" s="30"/>
      <c r="BD18" s="2">
        <f t="shared" si="17"/>
        <v>0</v>
      </c>
      <c r="BE18" s="33"/>
      <c r="BF18" s="30"/>
      <c r="BG18" s="2">
        <f t="shared" si="18"/>
        <v>0</v>
      </c>
      <c r="BH18" s="33"/>
      <c r="BI18" s="30"/>
      <c r="BJ18" s="2">
        <f t="shared" si="19"/>
        <v>0</v>
      </c>
      <c r="BK18" s="33"/>
      <c r="BL18" s="30"/>
      <c r="BM18" s="2">
        <f t="shared" si="20"/>
        <v>0</v>
      </c>
      <c r="BN18" s="33"/>
      <c r="BO18" s="30"/>
      <c r="BP18" s="2">
        <f t="shared" si="21"/>
        <v>0</v>
      </c>
      <c r="BQ18" s="33"/>
      <c r="BR18" s="30"/>
      <c r="BS18" s="2">
        <f t="shared" si="22"/>
        <v>0</v>
      </c>
      <c r="BT18" s="70">
        <f t="shared" si="23"/>
        <v>0</v>
      </c>
      <c r="BU18" s="67">
        <f t="shared" si="23"/>
        <v>0</v>
      </c>
      <c r="BV18" s="51">
        <f t="shared" si="23"/>
        <v>0</v>
      </c>
      <c r="BW18" s="33"/>
      <c r="BX18" s="30"/>
      <c r="BY18" s="2">
        <f t="shared" si="24"/>
        <v>0</v>
      </c>
      <c r="BZ18" s="33"/>
      <c r="CA18" s="30"/>
      <c r="CB18" s="2">
        <f t="shared" si="25"/>
        <v>0</v>
      </c>
      <c r="CC18" s="33"/>
      <c r="CD18" s="30"/>
      <c r="CE18" s="2">
        <f t="shared" si="26"/>
        <v>0</v>
      </c>
      <c r="CF18" s="33"/>
      <c r="CG18" s="30"/>
      <c r="CH18" s="2">
        <f t="shared" si="27"/>
        <v>0</v>
      </c>
      <c r="CI18" s="33"/>
      <c r="CJ18" s="30"/>
      <c r="CK18" s="2">
        <f t="shared" si="28"/>
        <v>0</v>
      </c>
      <c r="CL18" s="33"/>
      <c r="CM18" s="30"/>
      <c r="CN18" s="2">
        <f t="shared" si="29"/>
        <v>0</v>
      </c>
      <c r="CO18" s="33"/>
      <c r="CP18" s="30"/>
      <c r="CQ18" s="2">
        <f t="shared" si="30"/>
        <v>0</v>
      </c>
      <c r="CR18" s="70">
        <f t="shared" si="31"/>
        <v>0</v>
      </c>
      <c r="CS18" s="67">
        <f t="shared" si="31"/>
        <v>0</v>
      </c>
      <c r="CT18" s="51">
        <f t="shared" si="31"/>
        <v>0</v>
      </c>
      <c r="CU18" s="33"/>
      <c r="CV18" s="30"/>
      <c r="CW18" s="2">
        <f t="shared" si="32"/>
        <v>0</v>
      </c>
      <c r="CX18" s="33"/>
      <c r="CY18" s="30"/>
      <c r="CZ18" s="2">
        <f t="shared" si="33"/>
        <v>0</v>
      </c>
      <c r="DA18" s="33"/>
      <c r="DB18" s="30"/>
      <c r="DC18" s="2">
        <f t="shared" si="34"/>
        <v>0</v>
      </c>
      <c r="DD18" s="33"/>
      <c r="DE18" s="30"/>
      <c r="DF18" s="2">
        <f t="shared" si="35"/>
        <v>0</v>
      </c>
      <c r="DG18" s="33"/>
      <c r="DH18" s="30"/>
      <c r="DI18" s="2">
        <f t="shared" si="36"/>
        <v>0</v>
      </c>
      <c r="DJ18" s="33"/>
      <c r="DK18" s="30"/>
      <c r="DL18" s="2">
        <f t="shared" si="37"/>
        <v>0</v>
      </c>
      <c r="DM18" s="33"/>
      <c r="DN18" s="30"/>
      <c r="DO18" s="2">
        <f t="shared" si="38"/>
        <v>0</v>
      </c>
      <c r="DP18" s="70">
        <f t="shared" si="39"/>
        <v>0</v>
      </c>
      <c r="DQ18" s="67">
        <f t="shared" si="39"/>
        <v>0</v>
      </c>
      <c r="DR18" s="51">
        <f t="shared" si="39"/>
        <v>0</v>
      </c>
      <c r="DS18" s="52">
        <f t="shared" si="40"/>
        <v>0</v>
      </c>
      <c r="DT18" s="53">
        <f t="shared" si="41"/>
        <v>1</v>
      </c>
      <c r="DU18" s="54">
        <f t="shared" si="41"/>
        <v>5000</v>
      </c>
    </row>
    <row r="19" spans="1:125" s="26" customFormat="1" ht="17.100000000000001" customHeight="1" x14ac:dyDescent="0.2">
      <c r="A19" s="27" t="s">
        <v>40</v>
      </c>
      <c r="B19" s="28">
        <v>5000</v>
      </c>
      <c r="C19" s="29"/>
      <c r="D19" s="30"/>
      <c r="E19" s="2">
        <f t="shared" si="0"/>
        <v>0</v>
      </c>
      <c r="F19" s="29"/>
      <c r="G19" s="30"/>
      <c r="H19" s="2">
        <f t="shared" si="1"/>
        <v>0</v>
      </c>
      <c r="I19" s="29"/>
      <c r="J19" s="30"/>
      <c r="K19" s="2">
        <f t="shared" si="2"/>
        <v>0</v>
      </c>
      <c r="L19" s="31"/>
      <c r="M19" s="30"/>
      <c r="N19" s="2">
        <f t="shared" si="3"/>
        <v>0</v>
      </c>
      <c r="O19" s="84"/>
      <c r="P19" s="82"/>
      <c r="Q19" s="2">
        <f t="shared" si="4"/>
        <v>0</v>
      </c>
      <c r="R19" s="31"/>
      <c r="S19" s="30"/>
      <c r="T19" s="2">
        <f t="shared" si="5"/>
        <v>0</v>
      </c>
      <c r="U19" s="33"/>
      <c r="V19" s="30"/>
      <c r="W19" s="64">
        <f t="shared" si="6"/>
        <v>0</v>
      </c>
      <c r="X19" s="70">
        <f t="shared" si="7"/>
        <v>0</v>
      </c>
      <c r="Y19" s="67">
        <f t="shared" si="7"/>
        <v>0</v>
      </c>
      <c r="Z19" s="73">
        <f t="shared" si="7"/>
        <v>0</v>
      </c>
      <c r="AA19" s="35"/>
      <c r="AB19" s="30"/>
      <c r="AC19" s="2">
        <f t="shared" si="8"/>
        <v>0</v>
      </c>
      <c r="AD19" s="33"/>
      <c r="AE19" s="30"/>
      <c r="AF19" s="2">
        <f t="shared" si="9"/>
        <v>0</v>
      </c>
      <c r="AG19" s="33"/>
      <c r="AH19" s="30">
        <v>1</v>
      </c>
      <c r="AI19" s="2">
        <f t="shared" si="10"/>
        <v>5000</v>
      </c>
      <c r="AJ19" s="33"/>
      <c r="AK19" s="30"/>
      <c r="AL19" s="2">
        <f t="shared" si="11"/>
        <v>0</v>
      </c>
      <c r="AM19" s="33"/>
      <c r="AN19" s="30"/>
      <c r="AO19" s="2">
        <f t="shared" si="12"/>
        <v>0</v>
      </c>
      <c r="AP19" s="33"/>
      <c r="AQ19" s="30"/>
      <c r="AR19" s="2">
        <f t="shared" si="13"/>
        <v>0</v>
      </c>
      <c r="AS19" s="33"/>
      <c r="AT19" s="30"/>
      <c r="AU19" s="2">
        <f t="shared" si="14"/>
        <v>0</v>
      </c>
      <c r="AV19" s="70">
        <f t="shared" si="15"/>
        <v>0</v>
      </c>
      <c r="AW19" s="67">
        <f t="shared" si="15"/>
        <v>1</v>
      </c>
      <c r="AX19" s="51">
        <f>AC19+AF19+AI19+AL19+AO19+AR19+AU19</f>
        <v>5000</v>
      </c>
      <c r="AY19" s="33"/>
      <c r="AZ19" s="30"/>
      <c r="BA19" s="2">
        <f t="shared" si="16"/>
        <v>0</v>
      </c>
      <c r="BB19" s="33"/>
      <c r="BC19" s="30"/>
      <c r="BD19" s="2">
        <f t="shared" si="17"/>
        <v>0</v>
      </c>
      <c r="BE19" s="33"/>
      <c r="BF19" s="30"/>
      <c r="BG19" s="2">
        <f t="shared" si="18"/>
        <v>0</v>
      </c>
      <c r="BH19" s="33"/>
      <c r="BI19" s="30"/>
      <c r="BJ19" s="2">
        <f t="shared" si="19"/>
        <v>0</v>
      </c>
      <c r="BK19" s="33"/>
      <c r="BL19" s="30"/>
      <c r="BM19" s="2">
        <f t="shared" si="20"/>
        <v>0</v>
      </c>
      <c r="BN19" s="33"/>
      <c r="BO19" s="30"/>
      <c r="BP19" s="2">
        <f t="shared" si="21"/>
        <v>0</v>
      </c>
      <c r="BQ19" s="33"/>
      <c r="BR19" s="30"/>
      <c r="BS19" s="2">
        <f t="shared" si="22"/>
        <v>0</v>
      </c>
      <c r="BT19" s="70">
        <f t="shared" si="23"/>
        <v>0</v>
      </c>
      <c r="BU19" s="67">
        <f t="shared" si="23"/>
        <v>0</v>
      </c>
      <c r="BV19" s="51">
        <f t="shared" si="23"/>
        <v>0</v>
      </c>
      <c r="BW19" s="33"/>
      <c r="BX19" s="30"/>
      <c r="BY19" s="2">
        <f t="shared" si="24"/>
        <v>0</v>
      </c>
      <c r="BZ19" s="33"/>
      <c r="CA19" s="30"/>
      <c r="CB19" s="2">
        <f t="shared" si="25"/>
        <v>0</v>
      </c>
      <c r="CC19" s="33"/>
      <c r="CD19" s="30"/>
      <c r="CE19" s="2">
        <f t="shared" si="26"/>
        <v>0</v>
      </c>
      <c r="CF19" s="33"/>
      <c r="CG19" s="30"/>
      <c r="CH19" s="2">
        <f t="shared" si="27"/>
        <v>0</v>
      </c>
      <c r="CI19" s="33"/>
      <c r="CJ19" s="30"/>
      <c r="CK19" s="2">
        <f t="shared" si="28"/>
        <v>0</v>
      </c>
      <c r="CL19" s="33"/>
      <c r="CM19" s="30"/>
      <c r="CN19" s="2">
        <f t="shared" si="29"/>
        <v>0</v>
      </c>
      <c r="CO19" s="33"/>
      <c r="CP19" s="30"/>
      <c r="CQ19" s="2">
        <f t="shared" si="30"/>
        <v>0</v>
      </c>
      <c r="CR19" s="70">
        <f t="shared" si="31"/>
        <v>0</v>
      </c>
      <c r="CS19" s="67">
        <f t="shared" si="31"/>
        <v>0</v>
      </c>
      <c r="CT19" s="51">
        <f t="shared" si="31"/>
        <v>0</v>
      </c>
      <c r="CU19" s="33"/>
      <c r="CV19" s="30"/>
      <c r="CW19" s="2">
        <f t="shared" si="32"/>
        <v>0</v>
      </c>
      <c r="CX19" s="33"/>
      <c r="CY19" s="30"/>
      <c r="CZ19" s="2">
        <f t="shared" si="33"/>
        <v>0</v>
      </c>
      <c r="DA19" s="33"/>
      <c r="DB19" s="30"/>
      <c r="DC19" s="2">
        <f t="shared" si="34"/>
        <v>0</v>
      </c>
      <c r="DD19" s="33"/>
      <c r="DE19" s="30"/>
      <c r="DF19" s="2">
        <f t="shared" si="35"/>
        <v>0</v>
      </c>
      <c r="DG19" s="33"/>
      <c r="DH19" s="30"/>
      <c r="DI19" s="2">
        <f t="shared" si="36"/>
        <v>0</v>
      </c>
      <c r="DJ19" s="33"/>
      <c r="DK19" s="30"/>
      <c r="DL19" s="2">
        <f t="shared" si="37"/>
        <v>0</v>
      </c>
      <c r="DM19" s="33"/>
      <c r="DN19" s="30"/>
      <c r="DO19" s="2">
        <f t="shared" si="38"/>
        <v>0</v>
      </c>
      <c r="DP19" s="70">
        <f t="shared" si="39"/>
        <v>0</v>
      </c>
      <c r="DQ19" s="67">
        <f t="shared" si="39"/>
        <v>0</v>
      </c>
      <c r="DR19" s="51">
        <f t="shared" si="39"/>
        <v>0</v>
      </c>
      <c r="DS19" s="52">
        <f t="shared" si="40"/>
        <v>0</v>
      </c>
      <c r="DT19" s="53">
        <f t="shared" si="41"/>
        <v>1</v>
      </c>
      <c r="DU19" s="54">
        <f>Z19+AX19+BV19+CT19+DR19</f>
        <v>5000</v>
      </c>
    </row>
    <row r="20" spans="1:125" s="26" customFormat="1" ht="17.100000000000001" customHeight="1" x14ac:dyDescent="0.2">
      <c r="A20" s="79" t="s">
        <v>35</v>
      </c>
      <c r="B20" s="80"/>
      <c r="C20" s="81"/>
      <c r="D20" s="82"/>
      <c r="E20" s="83">
        <f t="shared" si="0"/>
        <v>0</v>
      </c>
      <c r="F20" s="81"/>
      <c r="G20" s="82"/>
      <c r="H20" s="83">
        <f t="shared" si="1"/>
        <v>0</v>
      </c>
      <c r="I20" s="81"/>
      <c r="J20" s="82"/>
      <c r="K20" s="83">
        <f t="shared" si="2"/>
        <v>0</v>
      </c>
      <c r="L20" s="84"/>
      <c r="M20" s="82"/>
      <c r="N20" s="83">
        <f t="shared" si="3"/>
        <v>0</v>
      </c>
      <c r="O20" s="84"/>
      <c r="P20" s="82"/>
      <c r="Q20" s="83">
        <f t="shared" si="4"/>
        <v>0</v>
      </c>
      <c r="R20" s="84"/>
      <c r="S20" s="82"/>
      <c r="T20" s="83">
        <f t="shared" si="5"/>
        <v>0</v>
      </c>
      <c r="U20" s="84"/>
      <c r="V20" s="82"/>
      <c r="W20" s="85">
        <f t="shared" si="6"/>
        <v>0</v>
      </c>
      <c r="X20" s="86">
        <f t="shared" si="7"/>
        <v>0</v>
      </c>
      <c r="Y20" s="87">
        <f t="shared" si="7"/>
        <v>0</v>
      </c>
      <c r="Z20" s="88">
        <f t="shared" si="7"/>
        <v>0</v>
      </c>
      <c r="AA20" s="89"/>
      <c r="AB20" s="82"/>
      <c r="AC20" s="83">
        <f t="shared" si="8"/>
        <v>0</v>
      </c>
      <c r="AD20" s="84"/>
      <c r="AE20" s="82"/>
      <c r="AF20" s="83">
        <f t="shared" si="9"/>
        <v>0</v>
      </c>
      <c r="AG20" s="84"/>
      <c r="AH20" s="82"/>
      <c r="AI20" s="83">
        <f t="shared" si="10"/>
        <v>0</v>
      </c>
      <c r="AJ20" s="84"/>
      <c r="AK20" s="82"/>
      <c r="AL20" s="83">
        <f t="shared" si="11"/>
        <v>0</v>
      </c>
      <c r="AM20" s="84"/>
      <c r="AN20" s="82"/>
      <c r="AO20" s="83">
        <f t="shared" si="12"/>
        <v>0</v>
      </c>
      <c r="AP20" s="84"/>
      <c r="AQ20" s="82"/>
      <c r="AR20" s="83">
        <f t="shared" si="13"/>
        <v>0</v>
      </c>
      <c r="AS20" s="84"/>
      <c r="AT20" s="82"/>
      <c r="AU20" s="83">
        <f t="shared" si="14"/>
        <v>0</v>
      </c>
      <c r="AV20" s="86">
        <f t="shared" si="15"/>
        <v>0</v>
      </c>
      <c r="AW20" s="87">
        <f t="shared" si="15"/>
        <v>0</v>
      </c>
      <c r="AX20" s="90">
        <f t="shared" si="15"/>
        <v>0</v>
      </c>
      <c r="AY20" s="84"/>
      <c r="AZ20" s="82"/>
      <c r="BA20" s="83">
        <f t="shared" si="16"/>
        <v>0</v>
      </c>
      <c r="BB20" s="84"/>
      <c r="BC20" s="82"/>
      <c r="BD20" s="83">
        <f t="shared" si="17"/>
        <v>0</v>
      </c>
      <c r="BE20" s="84"/>
      <c r="BF20" s="82"/>
      <c r="BG20" s="83">
        <f t="shared" si="18"/>
        <v>0</v>
      </c>
      <c r="BH20" s="84"/>
      <c r="BI20" s="82"/>
      <c r="BJ20" s="83">
        <f t="shared" si="19"/>
        <v>0</v>
      </c>
      <c r="BK20" s="84"/>
      <c r="BL20" s="82"/>
      <c r="BM20" s="83">
        <f t="shared" si="20"/>
        <v>0</v>
      </c>
      <c r="BN20" s="84"/>
      <c r="BO20" s="82"/>
      <c r="BP20" s="83">
        <f t="shared" si="21"/>
        <v>0</v>
      </c>
      <c r="BQ20" s="84"/>
      <c r="BR20" s="82"/>
      <c r="BS20" s="83">
        <f t="shared" si="22"/>
        <v>0</v>
      </c>
      <c r="BT20" s="86">
        <f t="shared" si="23"/>
        <v>0</v>
      </c>
      <c r="BU20" s="87">
        <f t="shared" si="23"/>
        <v>0</v>
      </c>
      <c r="BV20" s="90">
        <f t="shared" si="23"/>
        <v>0</v>
      </c>
      <c r="BW20" s="84"/>
      <c r="BX20" s="82"/>
      <c r="BY20" s="83">
        <f t="shared" si="24"/>
        <v>0</v>
      </c>
      <c r="BZ20" s="84"/>
      <c r="CA20" s="82"/>
      <c r="CB20" s="83">
        <f t="shared" si="25"/>
        <v>0</v>
      </c>
      <c r="CC20" s="84"/>
      <c r="CD20" s="82"/>
      <c r="CE20" s="83">
        <f t="shared" si="26"/>
        <v>0</v>
      </c>
      <c r="CF20" s="84"/>
      <c r="CG20" s="82"/>
      <c r="CH20" s="83">
        <f t="shared" si="27"/>
        <v>0</v>
      </c>
      <c r="CI20" s="84"/>
      <c r="CJ20" s="82"/>
      <c r="CK20" s="83">
        <f t="shared" si="28"/>
        <v>0</v>
      </c>
      <c r="CL20" s="84"/>
      <c r="CM20" s="82"/>
      <c r="CN20" s="83">
        <f t="shared" si="29"/>
        <v>0</v>
      </c>
      <c r="CO20" s="84"/>
      <c r="CP20" s="82"/>
      <c r="CQ20" s="83">
        <f t="shared" si="30"/>
        <v>0</v>
      </c>
      <c r="CR20" s="86">
        <f t="shared" si="31"/>
        <v>0</v>
      </c>
      <c r="CS20" s="87">
        <f t="shared" si="31"/>
        <v>0</v>
      </c>
      <c r="CT20" s="51">
        <f t="shared" si="31"/>
        <v>0</v>
      </c>
      <c r="CU20" s="84"/>
      <c r="CV20" s="82"/>
      <c r="CW20" s="83">
        <f t="shared" si="32"/>
        <v>0</v>
      </c>
      <c r="CX20" s="84"/>
      <c r="CY20" s="82"/>
      <c r="CZ20" s="83">
        <f t="shared" si="33"/>
        <v>0</v>
      </c>
      <c r="DA20" s="84"/>
      <c r="DB20" s="82"/>
      <c r="DC20" s="83">
        <f t="shared" si="34"/>
        <v>0</v>
      </c>
      <c r="DD20" s="84"/>
      <c r="DE20" s="82"/>
      <c r="DF20" s="83">
        <f t="shared" si="35"/>
        <v>0</v>
      </c>
      <c r="DG20" s="84"/>
      <c r="DH20" s="82"/>
      <c r="DI20" s="83">
        <f t="shared" si="36"/>
        <v>0</v>
      </c>
      <c r="DJ20" s="84"/>
      <c r="DK20" s="82"/>
      <c r="DL20" s="83">
        <f t="shared" si="37"/>
        <v>0</v>
      </c>
      <c r="DM20" s="84"/>
      <c r="DN20" s="82"/>
      <c r="DO20" s="83">
        <f t="shared" si="38"/>
        <v>0</v>
      </c>
      <c r="DP20" s="86">
        <f t="shared" si="39"/>
        <v>0</v>
      </c>
      <c r="DQ20" s="87">
        <f t="shared" si="39"/>
        <v>0</v>
      </c>
      <c r="DR20" s="90">
        <f t="shared" si="39"/>
        <v>0</v>
      </c>
      <c r="DS20" s="91">
        <f t="shared" si="40"/>
        <v>0</v>
      </c>
      <c r="DT20" s="92">
        <f t="shared" si="41"/>
        <v>0</v>
      </c>
      <c r="DU20" s="88">
        <f t="shared" si="41"/>
        <v>0</v>
      </c>
    </row>
    <row r="21" spans="1:125" s="26" customFormat="1" ht="17.100000000000001" customHeight="1" thickBot="1" x14ac:dyDescent="0.25">
      <c r="A21" s="36" t="s">
        <v>34</v>
      </c>
      <c r="B21" s="37">
        <v>4500</v>
      </c>
      <c r="C21" s="38"/>
      <c r="D21" s="39"/>
      <c r="E21" s="3">
        <f t="shared" si="0"/>
        <v>0</v>
      </c>
      <c r="F21" s="38"/>
      <c r="G21" s="39"/>
      <c r="H21" s="3">
        <f t="shared" si="1"/>
        <v>0</v>
      </c>
      <c r="I21" s="38"/>
      <c r="J21" s="39"/>
      <c r="K21" s="3">
        <f t="shared" si="2"/>
        <v>0</v>
      </c>
      <c r="L21" s="40"/>
      <c r="M21" s="39"/>
      <c r="N21" s="3">
        <f t="shared" si="3"/>
        <v>0</v>
      </c>
      <c r="O21" s="97"/>
      <c r="P21" s="98"/>
      <c r="Q21" s="3">
        <f t="shared" si="4"/>
        <v>0</v>
      </c>
      <c r="R21" s="101">
        <v>10000</v>
      </c>
      <c r="S21" s="39"/>
      <c r="T21" s="3">
        <f t="shared" si="5"/>
        <v>0</v>
      </c>
      <c r="U21" s="41"/>
      <c r="V21" s="39"/>
      <c r="W21" s="65">
        <f t="shared" si="6"/>
        <v>0</v>
      </c>
      <c r="X21" s="71">
        <f t="shared" si="7"/>
        <v>10000</v>
      </c>
      <c r="Y21" s="68">
        <f t="shared" si="7"/>
        <v>0</v>
      </c>
      <c r="Z21" s="74">
        <f t="shared" si="7"/>
        <v>0</v>
      </c>
      <c r="AA21" s="42"/>
      <c r="AB21" s="39"/>
      <c r="AC21" s="3">
        <f t="shared" si="8"/>
        <v>0</v>
      </c>
      <c r="AD21" s="101">
        <v>40000</v>
      </c>
      <c r="AE21" s="39"/>
      <c r="AF21" s="3">
        <f t="shared" si="9"/>
        <v>0</v>
      </c>
      <c r="AG21" s="41"/>
      <c r="AH21" s="39"/>
      <c r="AI21" s="3">
        <f t="shared" si="10"/>
        <v>0</v>
      </c>
      <c r="AJ21" s="101">
        <v>10000</v>
      </c>
      <c r="AK21" s="39"/>
      <c r="AL21" s="3">
        <f t="shared" si="11"/>
        <v>0</v>
      </c>
      <c r="AM21" s="41"/>
      <c r="AN21" s="39"/>
      <c r="AO21" s="3">
        <f t="shared" si="12"/>
        <v>0</v>
      </c>
      <c r="AP21" s="101">
        <v>10000</v>
      </c>
      <c r="AQ21" s="39"/>
      <c r="AR21" s="3">
        <f t="shared" si="13"/>
        <v>0</v>
      </c>
      <c r="AS21" s="41"/>
      <c r="AT21" s="39"/>
      <c r="AU21" s="3">
        <f t="shared" si="14"/>
        <v>0</v>
      </c>
      <c r="AV21" s="71">
        <f t="shared" si="15"/>
        <v>60000</v>
      </c>
      <c r="AW21" s="68">
        <f t="shared" si="15"/>
        <v>0</v>
      </c>
      <c r="AX21" s="55">
        <f t="shared" si="15"/>
        <v>0</v>
      </c>
      <c r="AY21" s="41"/>
      <c r="AZ21" s="39"/>
      <c r="BA21" s="3">
        <f t="shared" si="16"/>
        <v>0</v>
      </c>
      <c r="BB21" s="41"/>
      <c r="BC21" s="39"/>
      <c r="BD21" s="3">
        <f t="shared" si="17"/>
        <v>0</v>
      </c>
      <c r="BE21" s="41"/>
      <c r="BF21" s="39"/>
      <c r="BG21" s="3">
        <f t="shared" si="18"/>
        <v>0</v>
      </c>
      <c r="BH21" s="41"/>
      <c r="BI21" s="39"/>
      <c r="BJ21" s="3">
        <f t="shared" si="19"/>
        <v>0</v>
      </c>
      <c r="BK21" s="41"/>
      <c r="BL21" s="39"/>
      <c r="BM21" s="3">
        <f t="shared" si="20"/>
        <v>0</v>
      </c>
      <c r="BN21" s="41"/>
      <c r="BO21" s="39"/>
      <c r="BP21" s="3">
        <f t="shared" si="21"/>
        <v>0</v>
      </c>
      <c r="BQ21" s="41"/>
      <c r="BR21" s="39"/>
      <c r="BS21" s="3">
        <f t="shared" si="22"/>
        <v>0</v>
      </c>
      <c r="BT21" s="71">
        <f t="shared" si="23"/>
        <v>0</v>
      </c>
      <c r="BU21" s="68">
        <f t="shared" si="23"/>
        <v>0</v>
      </c>
      <c r="BV21" s="55">
        <f t="shared" si="23"/>
        <v>0</v>
      </c>
      <c r="BW21" s="41"/>
      <c r="BX21" s="39"/>
      <c r="BY21" s="3">
        <f t="shared" si="24"/>
        <v>0</v>
      </c>
      <c r="BZ21" s="41"/>
      <c r="CA21" s="39"/>
      <c r="CB21" s="3">
        <f t="shared" si="25"/>
        <v>0</v>
      </c>
      <c r="CC21" s="41"/>
      <c r="CD21" s="39"/>
      <c r="CE21" s="3">
        <f t="shared" si="26"/>
        <v>0</v>
      </c>
      <c r="CF21" s="41"/>
      <c r="CG21" s="39"/>
      <c r="CH21" s="3">
        <f t="shared" si="27"/>
        <v>0</v>
      </c>
      <c r="CI21" s="41"/>
      <c r="CJ21" s="39"/>
      <c r="CK21" s="3">
        <f t="shared" si="28"/>
        <v>0</v>
      </c>
      <c r="CL21" s="40"/>
      <c r="CM21" s="39"/>
      <c r="CN21" s="3">
        <f t="shared" si="29"/>
        <v>0</v>
      </c>
      <c r="CO21" s="41"/>
      <c r="CP21" s="39"/>
      <c r="CQ21" s="3">
        <f t="shared" si="30"/>
        <v>0</v>
      </c>
      <c r="CR21" s="71">
        <f t="shared" si="31"/>
        <v>0</v>
      </c>
      <c r="CS21" s="68">
        <f t="shared" si="31"/>
        <v>0</v>
      </c>
      <c r="CT21" s="51">
        <f t="shared" si="31"/>
        <v>0</v>
      </c>
      <c r="CU21" s="41"/>
      <c r="CV21" s="39"/>
      <c r="CW21" s="3">
        <f t="shared" si="32"/>
        <v>0</v>
      </c>
      <c r="CX21" s="101">
        <v>40000</v>
      </c>
      <c r="CY21" s="39"/>
      <c r="CZ21" s="3">
        <f t="shared" si="33"/>
        <v>0</v>
      </c>
      <c r="DA21" s="41"/>
      <c r="DB21" s="39"/>
      <c r="DC21" s="3">
        <f t="shared" si="34"/>
        <v>0</v>
      </c>
      <c r="DD21" s="101">
        <v>10000</v>
      </c>
      <c r="DE21" s="39"/>
      <c r="DF21" s="3">
        <f t="shared" si="35"/>
        <v>0</v>
      </c>
      <c r="DG21" s="41"/>
      <c r="DH21" s="39"/>
      <c r="DI21" s="3">
        <f t="shared" si="36"/>
        <v>0</v>
      </c>
      <c r="DJ21" s="101">
        <v>10000</v>
      </c>
      <c r="DK21" s="39"/>
      <c r="DL21" s="3">
        <f t="shared" si="37"/>
        <v>0</v>
      </c>
      <c r="DM21" s="41"/>
      <c r="DN21" s="39"/>
      <c r="DO21" s="3">
        <f t="shared" si="38"/>
        <v>0</v>
      </c>
      <c r="DP21" s="71">
        <f t="shared" si="39"/>
        <v>60000</v>
      </c>
      <c r="DQ21" s="68">
        <f t="shared" si="39"/>
        <v>0</v>
      </c>
      <c r="DR21" s="55">
        <f t="shared" si="39"/>
        <v>0</v>
      </c>
      <c r="DS21" s="56">
        <f t="shared" si="40"/>
        <v>130000</v>
      </c>
      <c r="DT21" s="57">
        <f t="shared" si="41"/>
        <v>0</v>
      </c>
      <c r="DU21" s="58">
        <f t="shared" si="41"/>
        <v>0</v>
      </c>
    </row>
    <row r="22" spans="1:125" ht="17.100000000000001" customHeight="1" thickBot="1" x14ac:dyDescent="0.3">
      <c r="X22" s="59">
        <f>SUM(X4:X21)</f>
        <v>10000</v>
      </c>
      <c r="Z22" s="75">
        <f>SUM(Z4:Z21)</f>
        <v>0</v>
      </c>
      <c r="AV22" s="59">
        <f>SUM(AV4:AV21)</f>
        <v>80000</v>
      </c>
      <c r="AX22" s="59">
        <f>SUM(AX4:AX21)</f>
        <v>53500</v>
      </c>
      <c r="BT22" s="59">
        <f>SUM(BT4:BT21)</f>
        <v>136000</v>
      </c>
      <c r="BV22" s="59">
        <f>SUM(BV4:BV21)</f>
        <v>0</v>
      </c>
      <c r="CR22" s="59">
        <f>SUM(CR4:CR21)</f>
        <v>60000</v>
      </c>
      <c r="CT22" s="59">
        <f>SUM(CT4:CT21)</f>
        <v>0</v>
      </c>
      <c r="DP22" s="59">
        <f>SUM(DP4:DP21)</f>
        <v>164500</v>
      </c>
      <c r="DR22" s="59">
        <f>SUM(DR4:DR21)</f>
        <v>0</v>
      </c>
      <c r="DS22" s="60">
        <f>SUM(DS4:DS21)</f>
        <v>450500</v>
      </c>
      <c r="DT22" s="61">
        <f>SUM(DT4:DT21)</f>
        <v>10.5</v>
      </c>
      <c r="DU22" s="62">
        <f>SUM(DU4:DU21)</f>
        <v>53500</v>
      </c>
    </row>
    <row r="23" spans="1:125" ht="17.100000000000001" customHeight="1" x14ac:dyDescent="0.25">
      <c r="DS23" s="44"/>
      <c r="DT23" s="46"/>
      <c r="DU23" s="44"/>
    </row>
    <row r="24" spans="1:125" ht="17.100000000000001" customHeight="1" x14ac:dyDescent="0.25"/>
    <row r="25" spans="1:125" ht="17.100000000000001" customHeight="1" x14ac:dyDescent="0.25"/>
    <row r="26" spans="1:125" ht="17.100000000000001" customHeight="1" x14ac:dyDescent="0.25"/>
    <row r="27" spans="1:125" ht="17.100000000000001" customHeight="1" x14ac:dyDescent="0.25"/>
    <row r="28" spans="1:125" ht="17.100000000000001" customHeight="1" x14ac:dyDescent="0.25"/>
    <row r="29" spans="1:125" ht="17.100000000000001" customHeight="1" x14ac:dyDescent="0.25"/>
  </sheetData>
  <sheetProtection formatCells="0" formatColumns="0" formatRows="0" insertColumns="0" insertRows="0" insertHyperlinks="0" deleteColumns="0" deleteRows="0" sort="0" autoFilter="0" pivotTables="0"/>
  <mergeCells count="82">
    <mergeCell ref="AJ1:AL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BT1:BV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DD1:DF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C2:E2"/>
    <mergeCell ref="F2:H2"/>
    <mergeCell ref="I2:K2"/>
    <mergeCell ref="L2:N2"/>
    <mergeCell ref="O2:Q2"/>
    <mergeCell ref="DG1:DI1"/>
    <mergeCell ref="DJ1:DL1"/>
    <mergeCell ref="DM1:DO1"/>
    <mergeCell ref="DP1:DR1"/>
    <mergeCell ref="DS1:DU1"/>
    <mergeCell ref="AY2:BA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CI2:CK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DS2:DU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</mergeCells>
  <printOptions horizontalCentered="1"/>
  <pageMargins left="0.19685039370078741" right="0.19685039370078741" top="0.19685039370078741" bottom="0.19685039370078741" header="0" footer="0"/>
  <pageSetup paperSize="9" scale="74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2A7E-4124-4F39-9220-A9CD3DF84192}">
  <sheetPr>
    <pageSetUpPr fitToPage="1"/>
  </sheetPr>
  <dimension ref="A1:DU29"/>
  <sheetViews>
    <sheetView zoomScaleNormal="100" workbookViewId="0">
      <pane xSplit="1" topLeftCell="B1" activePane="topRight" state="frozen"/>
      <selection pane="topRight" activeCell="DZ18" sqref="DZ18"/>
    </sheetView>
  </sheetViews>
  <sheetFormatPr baseColWidth="10" defaultRowHeight="15" x14ac:dyDescent="0.25"/>
  <cols>
    <col min="1" max="1" width="30.7109375" style="5" bestFit="1" customWidth="1"/>
    <col min="2" max="2" width="8" style="43" bestFit="1" customWidth="1"/>
    <col min="3" max="3" width="8.7109375" style="5" customWidth="1"/>
    <col min="4" max="4" width="2.7109375" style="5" customWidth="1"/>
    <col min="5" max="6" width="8.7109375" style="5" customWidth="1"/>
    <col min="7" max="7" width="2.7109375" style="5" customWidth="1"/>
    <col min="8" max="9" width="8.7109375" style="5" customWidth="1"/>
    <col min="10" max="10" width="2.7109375" style="5" customWidth="1"/>
    <col min="11" max="12" width="8.7109375" style="5" customWidth="1"/>
    <col min="13" max="13" width="2.7109375" style="5" customWidth="1"/>
    <col min="14" max="15" width="8.7109375" style="5" customWidth="1"/>
    <col min="16" max="16" width="2.7109375" style="5" customWidth="1"/>
    <col min="17" max="18" width="8.7109375" style="5" customWidth="1"/>
    <col min="19" max="19" width="2.7109375" style="5" customWidth="1"/>
    <col min="20" max="21" width="8.7109375" style="5" customWidth="1"/>
    <col min="22" max="22" width="2.7109375" style="5" customWidth="1"/>
    <col min="23" max="23" width="8.7109375" style="5" customWidth="1"/>
    <col min="24" max="24" width="11" style="5" customWidth="1"/>
    <col min="25" max="25" width="2.7109375" style="5" customWidth="1"/>
    <col min="26" max="26" width="10.42578125" style="45" bestFit="1" customWidth="1"/>
    <col min="27" max="27" width="8.7109375" style="5" customWidth="1"/>
    <col min="28" max="28" width="2.7109375" style="5" customWidth="1"/>
    <col min="29" max="30" width="8.7109375" style="5" customWidth="1"/>
    <col min="31" max="31" width="2.7109375" style="5" customWidth="1"/>
    <col min="32" max="33" width="8.7109375" style="5" customWidth="1"/>
    <col min="34" max="34" width="2.7109375" style="5" customWidth="1"/>
    <col min="35" max="36" width="8.7109375" style="5" customWidth="1"/>
    <col min="37" max="37" width="2.7109375" style="5" customWidth="1"/>
    <col min="38" max="39" width="8.7109375" style="5" customWidth="1"/>
    <col min="40" max="40" width="2.7109375" style="5" customWidth="1"/>
    <col min="41" max="42" width="8.7109375" style="5" customWidth="1"/>
    <col min="43" max="43" width="2.7109375" style="5" customWidth="1"/>
    <col min="44" max="45" width="8.7109375" style="5" customWidth="1"/>
    <col min="46" max="46" width="2.7109375" style="5" customWidth="1"/>
    <col min="47" max="47" width="8.7109375" style="5" customWidth="1"/>
    <col min="48" max="48" width="10.42578125" style="5" customWidth="1"/>
    <col min="49" max="49" width="2.7109375" style="5" customWidth="1"/>
    <col min="50" max="50" width="10.42578125" style="5" bestFit="1" customWidth="1"/>
    <col min="51" max="51" width="8.7109375" style="5" customWidth="1"/>
    <col min="52" max="52" width="2.7109375" style="5" customWidth="1"/>
    <col min="53" max="54" width="8.7109375" style="5" customWidth="1"/>
    <col min="55" max="55" width="2.7109375" style="5" customWidth="1"/>
    <col min="56" max="57" width="8.7109375" style="5" customWidth="1"/>
    <col min="58" max="58" width="2.7109375" style="5" customWidth="1"/>
    <col min="59" max="60" width="8.7109375" style="5" customWidth="1"/>
    <col min="61" max="61" width="2.7109375" style="5" customWidth="1"/>
    <col min="62" max="63" width="8.7109375" style="5" customWidth="1"/>
    <col min="64" max="64" width="2.7109375" style="5" customWidth="1"/>
    <col min="65" max="66" width="8.7109375" style="5" customWidth="1"/>
    <col min="67" max="67" width="2.7109375" style="5" customWidth="1"/>
    <col min="68" max="69" width="8.7109375" style="5" customWidth="1"/>
    <col min="70" max="70" width="2.7109375" style="5" customWidth="1"/>
    <col min="71" max="71" width="8.7109375" style="5" customWidth="1"/>
    <col min="72" max="72" width="10.42578125" style="5" bestFit="1" customWidth="1"/>
    <col min="73" max="73" width="2.7109375" style="5" customWidth="1"/>
    <col min="74" max="74" width="10.42578125" style="5" bestFit="1" customWidth="1"/>
    <col min="75" max="75" width="8.7109375" style="5" customWidth="1"/>
    <col min="76" max="76" width="2.7109375" style="5" customWidth="1"/>
    <col min="77" max="78" width="8.7109375" style="5" customWidth="1"/>
    <col min="79" max="79" width="2.7109375" style="5" customWidth="1"/>
    <col min="80" max="81" width="8.7109375" style="5" customWidth="1"/>
    <col min="82" max="82" width="2.7109375" style="5" customWidth="1"/>
    <col min="83" max="84" width="8.7109375" style="5" customWidth="1"/>
    <col min="85" max="85" width="2.7109375" style="5" customWidth="1"/>
    <col min="86" max="87" width="8.7109375" style="5" customWidth="1"/>
    <col min="88" max="88" width="2.7109375" style="5" customWidth="1"/>
    <col min="89" max="90" width="8.7109375" style="5" customWidth="1"/>
    <col min="91" max="91" width="2.7109375" style="5" customWidth="1"/>
    <col min="92" max="93" width="8.7109375" style="5" customWidth="1"/>
    <col min="94" max="94" width="2.7109375" style="5" customWidth="1"/>
    <col min="95" max="95" width="8.7109375" style="5" customWidth="1"/>
    <col min="96" max="96" width="10.42578125" style="5" bestFit="1" customWidth="1"/>
    <col min="97" max="97" width="2.7109375" style="5" customWidth="1"/>
    <col min="98" max="98" width="10.42578125" style="5" bestFit="1" customWidth="1"/>
    <col min="99" max="99" width="8.7109375" style="5" customWidth="1"/>
    <col min="100" max="100" width="2.7109375" style="5" customWidth="1"/>
    <col min="101" max="102" width="8.7109375" style="5" customWidth="1"/>
    <col min="103" max="103" width="2.7109375" style="5" customWidth="1"/>
    <col min="104" max="104" width="8.7109375" style="5" customWidth="1"/>
    <col min="105" max="105" width="8.7109375" style="5" hidden="1" customWidth="1"/>
    <col min="106" max="106" width="2.7109375" style="5" hidden="1" customWidth="1"/>
    <col min="107" max="108" width="8.7109375" style="5" hidden="1" customWidth="1"/>
    <col min="109" max="109" width="2.7109375" style="5" hidden="1" customWidth="1"/>
    <col min="110" max="111" width="8.7109375" style="5" hidden="1" customWidth="1"/>
    <col min="112" max="112" width="2.7109375" style="5" hidden="1" customWidth="1"/>
    <col min="113" max="114" width="8.7109375" style="5" hidden="1" customWidth="1"/>
    <col min="115" max="115" width="2.7109375" style="5" hidden="1" customWidth="1"/>
    <col min="116" max="117" width="8.7109375" style="5" hidden="1" customWidth="1"/>
    <col min="118" max="118" width="2.7109375" style="5" hidden="1" customWidth="1"/>
    <col min="119" max="119" width="8.7109375" style="5" hidden="1" customWidth="1"/>
    <col min="120" max="120" width="10.42578125" style="5" bestFit="1" customWidth="1"/>
    <col min="121" max="121" width="2.7109375" style="5" customWidth="1"/>
    <col min="122" max="122" width="10.42578125" style="5" bestFit="1" customWidth="1"/>
    <col min="123" max="123" width="11.5703125" style="5" bestFit="1" customWidth="1"/>
    <col min="124" max="124" width="4.42578125" style="5" bestFit="1" customWidth="1"/>
    <col min="125" max="125" width="13.28515625" style="5" bestFit="1" customWidth="1"/>
    <col min="126" max="16384" width="11.42578125" style="5"/>
  </cols>
  <sheetData>
    <row r="1" spans="1:125" ht="26.25" x14ac:dyDescent="0.4">
      <c r="A1" s="4" t="s">
        <v>42</v>
      </c>
      <c r="B1" s="76" t="s">
        <v>0</v>
      </c>
      <c r="C1" s="232">
        <v>1</v>
      </c>
      <c r="D1" s="233"/>
      <c r="E1" s="233"/>
      <c r="F1" s="232">
        <v>2</v>
      </c>
      <c r="G1" s="233"/>
      <c r="H1" s="233"/>
      <c r="I1" s="232">
        <v>3</v>
      </c>
      <c r="J1" s="233"/>
      <c r="K1" s="233"/>
      <c r="L1" s="233">
        <v>4</v>
      </c>
      <c r="M1" s="233"/>
      <c r="N1" s="233"/>
      <c r="O1" s="233">
        <v>5</v>
      </c>
      <c r="P1" s="233"/>
      <c r="Q1" s="233"/>
      <c r="R1" s="233">
        <v>6</v>
      </c>
      <c r="S1" s="233"/>
      <c r="T1" s="233"/>
      <c r="U1" s="233">
        <v>7</v>
      </c>
      <c r="V1" s="233"/>
      <c r="W1" s="300"/>
      <c r="X1" s="216" t="s">
        <v>1</v>
      </c>
      <c r="Y1" s="217"/>
      <c r="Z1" s="218"/>
      <c r="AA1" s="234">
        <v>8</v>
      </c>
      <c r="AB1" s="227"/>
      <c r="AC1" s="227"/>
      <c r="AD1" s="227">
        <v>9</v>
      </c>
      <c r="AE1" s="227"/>
      <c r="AF1" s="227"/>
      <c r="AG1" s="227">
        <v>10</v>
      </c>
      <c r="AH1" s="227"/>
      <c r="AI1" s="227"/>
      <c r="AJ1" s="227">
        <v>11</v>
      </c>
      <c r="AK1" s="227"/>
      <c r="AL1" s="227"/>
      <c r="AM1" s="227">
        <v>12</v>
      </c>
      <c r="AN1" s="227"/>
      <c r="AO1" s="227"/>
      <c r="AP1" s="227">
        <v>13</v>
      </c>
      <c r="AQ1" s="227"/>
      <c r="AR1" s="227"/>
      <c r="AS1" s="227">
        <v>14</v>
      </c>
      <c r="AT1" s="227"/>
      <c r="AU1" s="228"/>
      <c r="AV1" s="216" t="s">
        <v>1</v>
      </c>
      <c r="AW1" s="217"/>
      <c r="AX1" s="218"/>
      <c r="AY1" s="229">
        <v>15</v>
      </c>
      <c r="AZ1" s="230"/>
      <c r="BA1" s="230"/>
      <c r="BB1" s="230">
        <v>16</v>
      </c>
      <c r="BC1" s="230"/>
      <c r="BD1" s="230"/>
      <c r="BE1" s="230">
        <v>17</v>
      </c>
      <c r="BF1" s="230"/>
      <c r="BG1" s="230"/>
      <c r="BH1" s="230">
        <v>18</v>
      </c>
      <c r="BI1" s="230"/>
      <c r="BJ1" s="230"/>
      <c r="BK1" s="230">
        <v>19</v>
      </c>
      <c r="BL1" s="230"/>
      <c r="BM1" s="230"/>
      <c r="BN1" s="230">
        <v>20</v>
      </c>
      <c r="BO1" s="230"/>
      <c r="BP1" s="230"/>
      <c r="BQ1" s="230">
        <v>21</v>
      </c>
      <c r="BR1" s="230"/>
      <c r="BS1" s="231"/>
      <c r="BT1" s="216" t="s">
        <v>1</v>
      </c>
      <c r="BU1" s="217"/>
      <c r="BV1" s="218"/>
      <c r="BW1" s="223">
        <v>22</v>
      </c>
      <c r="BX1" s="224"/>
      <c r="BY1" s="224"/>
      <c r="BZ1" s="224">
        <v>23</v>
      </c>
      <c r="CA1" s="224"/>
      <c r="CB1" s="224"/>
      <c r="CC1" s="224">
        <v>24</v>
      </c>
      <c r="CD1" s="224"/>
      <c r="CE1" s="224"/>
      <c r="CF1" s="224">
        <v>25</v>
      </c>
      <c r="CG1" s="224"/>
      <c r="CH1" s="224"/>
      <c r="CI1" s="224">
        <v>26</v>
      </c>
      <c r="CJ1" s="224"/>
      <c r="CK1" s="224"/>
      <c r="CL1" s="224">
        <v>27</v>
      </c>
      <c r="CM1" s="224"/>
      <c r="CN1" s="224"/>
      <c r="CO1" s="224">
        <v>28</v>
      </c>
      <c r="CP1" s="224"/>
      <c r="CQ1" s="225"/>
      <c r="CR1" s="216" t="s">
        <v>1</v>
      </c>
      <c r="CS1" s="217"/>
      <c r="CT1" s="218"/>
      <c r="CU1" s="234">
        <v>29</v>
      </c>
      <c r="CV1" s="227"/>
      <c r="CW1" s="227"/>
      <c r="CX1" s="227">
        <v>30</v>
      </c>
      <c r="CY1" s="227"/>
      <c r="CZ1" s="227"/>
      <c r="DA1" s="227">
        <v>31</v>
      </c>
      <c r="DB1" s="227"/>
      <c r="DC1" s="227"/>
      <c r="DD1" s="303">
        <v>1</v>
      </c>
      <c r="DE1" s="303"/>
      <c r="DF1" s="303"/>
      <c r="DG1" s="303">
        <v>2</v>
      </c>
      <c r="DH1" s="303"/>
      <c r="DI1" s="303"/>
      <c r="DJ1" s="303">
        <v>3</v>
      </c>
      <c r="DK1" s="303"/>
      <c r="DL1" s="303"/>
      <c r="DM1" s="303">
        <v>4</v>
      </c>
      <c r="DN1" s="303"/>
      <c r="DO1" s="304"/>
      <c r="DP1" s="216" t="s">
        <v>1</v>
      </c>
      <c r="DQ1" s="217"/>
      <c r="DR1" s="218"/>
      <c r="DS1" s="219" t="s">
        <v>1</v>
      </c>
      <c r="DT1" s="220"/>
      <c r="DU1" s="221"/>
    </row>
    <row r="2" spans="1:125" ht="19.5" thickBot="1" x14ac:dyDescent="0.3">
      <c r="A2" s="6" t="s">
        <v>2</v>
      </c>
      <c r="B2" s="77" t="s">
        <v>3</v>
      </c>
      <c r="C2" s="222" t="s">
        <v>10</v>
      </c>
      <c r="D2" s="207"/>
      <c r="E2" s="207"/>
      <c r="F2" s="222" t="s">
        <v>11</v>
      </c>
      <c r="G2" s="207"/>
      <c r="H2" s="207"/>
      <c r="I2" s="222" t="s">
        <v>4</v>
      </c>
      <c r="J2" s="207"/>
      <c r="K2" s="207"/>
      <c r="L2" s="207" t="s">
        <v>5</v>
      </c>
      <c r="M2" s="207"/>
      <c r="N2" s="207"/>
      <c r="O2" s="207" t="s">
        <v>6</v>
      </c>
      <c r="P2" s="207"/>
      <c r="Q2" s="207"/>
      <c r="R2" s="207" t="s">
        <v>7</v>
      </c>
      <c r="S2" s="207"/>
      <c r="T2" s="207"/>
      <c r="U2" s="207" t="s">
        <v>8</v>
      </c>
      <c r="V2" s="207"/>
      <c r="W2" s="299"/>
      <c r="X2" s="197" t="s">
        <v>9</v>
      </c>
      <c r="Y2" s="198"/>
      <c r="Z2" s="199"/>
      <c r="AA2" s="211" t="s">
        <v>10</v>
      </c>
      <c r="AB2" s="212"/>
      <c r="AC2" s="212"/>
      <c r="AD2" s="212" t="s">
        <v>11</v>
      </c>
      <c r="AE2" s="212"/>
      <c r="AF2" s="212"/>
      <c r="AG2" s="212" t="s">
        <v>4</v>
      </c>
      <c r="AH2" s="212"/>
      <c r="AI2" s="212"/>
      <c r="AJ2" s="212" t="s">
        <v>5</v>
      </c>
      <c r="AK2" s="212"/>
      <c r="AL2" s="212"/>
      <c r="AM2" s="212" t="s">
        <v>6</v>
      </c>
      <c r="AN2" s="212"/>
      <c r="AO2" s="212"/>
      <c r="AP2" s="212" t="s">
        <v>7</v>
      </c>
      <c r="AQ2" s="212"/>
      <c r="AR2" s="212"/>
      <c r="AS2" s="212" t="s">
        <v>8</v>
      </c>
      <c r="AT2" s="212"/>
      <c r="AU2" s="213"/>
      <c r="AV2" s="197" t="s">
        <v>12</v>
      </c>
      <c r="AW2" s="198"/>
      <c r="AX2" s="199"/>
      <c r="AY2" s="206" t="s">
        <v>10</v>
      </c>
      <c r="AZ2" s="203"/>
      <c r="BA2" s="203"/>
      <c r="BB2" s="203" t="s">
        <v>11</v>
      </c>
      <c r="BC2" s="203"/>
      <c r="BD2" s="203"/>
      <c r="BE2" s="203" t="s">
        <v>4</v>
      </c>
      <c r="BF2" s="203"/>
      <c r="BG2" s="203"/>
      <c r="BH2" s="203" t="s">
        <v>5</v>
      </c>
      <c r="BI2" s="203"/>
      <c r="BJ2" s="203"/>
      <c r="BK2" s="203" t="s">
        <v>6</v>
      </c>
      <c r="BL2" s="203"/>
      <c r="BM2" s="203"/>
      <c r="BN2" s="203" t="s">
        <v>7</v>
      </c>
      <c r="BO2" s="203"/>
      <c r="BP2" s="203"/>
      <c r="BQ2" s="203" t="s">
        <v>8</v>
      </c>
      <c r="BR2" s="203"/>
      <c r="BS2" s="204"/>
      <c r="BT2" s="197" t="s">
        <v>13</v>
      </c>
      <c r="BU2" s="198"/>
      <c r="BV2" s="199"/>
      <c r="BW2" s="205" t="s">
        <v>10</v>
      </c>
      <c r="BX2" s="195"/>
      <c r="BY2" s="195"/>
      <c r="BZ2" s="195" t="s">
        <v>11</v>
      </c>
      <c r="CA2" s="195"/>
      <c r="CB2" s="195"/>
      <c r="CC2" s="195" t="s">
        <v>4</v>
      </c>
      <c r="CD2" s="195"/>
      <c r="CE2" s="195"/>
      <c r="CF2" s="195" t="s">
        <v>5</v>
      </c>
      <c r="CG2" s="195"/>
      <c r="CH2" s="195"/>
      <c r="CI2" s="195" t="s">
        <v>6</v>
      </c>
      <c r="CJ2" s="195"/>
      <c r="CK2" s="195"/>
      <c r="CL2" s="195" t="s">
        <v>7</v>
      </c>
      <c r="CM2" s="195"/>
      <c r="CN2" s="195"/>
      <c r="CO2" s="195" t="s">
        <v>8</v>
      </c>
      <c r="CP2" s="195"/>
      <c r="CQ2" s="196"/>
      <c r="CR2" s="197" t="s">
        <v>14</v>
      </c>
      <c r="CS2" s="198"/>
      <c r="CT2" s="199"/>
      <c r="CU2" s="211" t="s">
        <v>10</v>
      </c>
      <c r="CV2" s="212"/>
      <c r="CW2" s="212"/>
      <c r="CX2" s="212" t="s">
        <v>11</v>
      </c>
      <c r="CY2" s="212"/>
      <c r="CZ2" s="212"/>
      <c r="DA2" s="212" t="s">
        <v>4</v>
      </c>
      <c r="DB2" s="212"/>
      <c r="DC2" s="212"/>
      <c r="DD2" s="305" t="s">
        <v>5</v>
      </c>
      <c r="DE2" s="305"/>
      <c r="DF2" s="305"/>
      <c r="DG2" s="301" t="s">
        <v>6</v>
      </c>
      <c r="DH2" s="301"/>
      <c r="DI2" s="301"/>
      <c r="DJ2" s="301" t="s">
        <v>7</v>
      </c>
      <c r="DK2" s="301"/>
      <c r="DL2" s="301"/>
      <c r="DM2" s="301" t="s">
        <v>37</v>
      </c>
      <c r="DN2" s="301"/>
      <c r="DO2" s="302"/>
      <c r="DP2" s="197" t="s">
        <v>15</v>
      </c>
      <c r="DQ2" s="198"/>
      <c r="DR2" s="199"/>
      <c r="DS2" s="192" t="s">
        <v>16</v>
      </c>
      <c r="DT2" s="193"/>
      <c r="DU2" s="194"/>
    </row>
    <row r="3" spans="1:125" s="17" customFormat="1" ht="17.100000000000001" customHeight="1" thickBot="1" x14ac:dyDescent="0.2">
      <c r="A3" s="7" t="s">
        <v>17</v>
      </c>
      <c r="B3" s="78" t="s">
        <v>18</v>
      </c>
      <c r="C3" s="8" t="s">
        <v>19</v>
      </c>
      <c r="D3" s="9" t="s">
        <v>20</v>
      </c>
      <c r="E3" s="10" t="s">
        <v>21</v>
      </c>
      <c r="F3" s="8" t="s">
        <v>19</v>
      </c>
      <c r="G3" s="9" t="s">
        <v>20</v>
      </c>
      <c r="H3" s="10" t="s">
        <v>21</v>
      </c>
      <c r="I3" s="8" t="s">
        <v>19</v>
      </c>
      <c r="J3" s="9" t="s">
        <v>20</v>
      </c>
      <c r="K3" s="10" t="s">
        <v>21</v>
      </c>
      <c r="L3" s="11" t="s">
        <v>19</v>
      </c>
      <c r="M3" s="9" t="s">
        <v>20</v>
      </c>
      <c r="N3" s="10" t="s">
        <v>21</v>
      </c>
      <c r="O3" s="11" t="s">
        <v>19</v>
      </c>
      <c r="P3" s="9" t="s">
        <v>20</v>
      </c>
      <c r="Q3" s="10" t="s">
        <v>21</v>
      </c>
      <c r="R3" s="11" t="s">
        <v>19</v>
      </c>
      <c r="S3" s="9" t="s">
        <v>20</v>
      </c>
      <c r="T3" s="10" t="s">
        <v>21</v>
      </c>
      <c r="U3" s="11" t="s">
        <v>19</v>
      </c>
      <c r="V3" s="9" t="s">
        <v>20</v>
      </c>
      <c r="W3" s="12" t="s">
        <v>21</v>
      </c>
      <c r="X3" s="8" t="s">
        <v>19</v>
      </c>
      <c r="Y3" s="13" t="s">
        <v>20</v>
      </c>
      <c r="Z3" s="12" t="s">
        <v>21</v>
      </c>
      <c r="AA3" s="8" t="s">
        <v>19</v>
      </c>
      <c r="AB3" s="9" t="s">
        <v>20</v>
      </c>
      <c r="AC3" s="10" t="s">
        <v>21</v>
      </c>
      <c r="AD3" s="8" t="s">
        <v>19</v>
      </c>
      <c r="AE3" s="9" t="s">
        <v>20</v>
      </c>
      <c r="AF3" s="10" t="s">
        <v>21</v>
      </c>
      <c r="AG3" s="8" t="s">
        <v>19</v>
      </c>
      <c r="AH3" s="9" t="s">
        <v>20</v>
      </c>
      <c r="AI3" s="10" t="s">
        <v>21</v>
      </c>
      <c r="AJ3" s="11" t="s">
        <v>19</v>
      </c>
      <c r="AK3" s="9" t="s">
        <v>20</v>
      </c>
      <c r="AL3" s="10" t="s">
        <v>21</v>
      </c>
      <c r="AM3" s="11" t="s">
        <v>19</v>
      </c>
      <c r="AN3" s="9" t="s">
        <v>20</v>
      </c>
      <c r="AO3" s="10" t="s">
        <v>21</v>
      </c>
      <c r="AP3" s="11" t="s">
        <v>19</v>
      </c>
      <c r="AQ3" s="9" t="s">
        <v>20</v>
      </c>
      <c r="AR3" s="10" t="s">
        <v>21</v>
      </c>
      <c r="AS3" s="11" t="s">
        <v>19</v>
      </c>
      <c r="AT3" s="9" t="s">
        <v>20</v>
      </c>
      <c r="AU3" s="12" t="s">
        <v>21</v>
      </c>
      <c r="AV3" s="8" t="s">
        <v>19</v>
      </c>
      <c r="AW3" s="13" t="s">
        <v>20</v>
      </c>
      <c r="AX3" s="12" t="s">
        <v>21</v>
      </c>
      <c r="AY3" s="8" t="s">
        <v>19</v>
      </c>
      <c r="AZ3" s="9" t="s">
        <v>20</v>
      </c>
      <c r="BA3" s="10" t="s">
        <v>21</v>
      </c>
      <c r="BB3" s="11" t="s">
        <v>19</v>
      </c>
      <c r="BC3" s="9" t="s">
        <v>20</v>
      </c>
      <c r="BD3" s="10" t="s">
        <v>21</v>
      </c>
      <c r="BE3" s="11" t="s">
        <v>19</v>
      </c>
      <c r="BF3" s="9" t="s">
        <v>20</v>
      </c>
      <c r="BG3" s="10" t="s">
        <v>21</v>
      </c>
      <c r="BH3" s="11" t="s">
        <v>19</v>
      </c>
      <c r="BI3" s="9" t="s">
        <v>20</v>
      </c>
      <c r="BJ3" s="10" t="s">
        <v>21</v>
      </c>
      <c r="BK3" s="11" t="s">
        <v>19</v>
      </c>
      <c r="BL3" s="9" t="s">
        <v>20</v>
      </c>
      <c r="BM3" s="10" t="s">
        <v>21</v>
      </c>
      <c r="BN3" s="11" t="s">
        <v>19</v>
      </c>
      <c r="BO3" s="9" t="s">
        <v>20</v>
      </c>
      <c r="BP3" s="10" t="s">
        <v>21</v>
      </c>
      <c r="BQ3" s="11" t="s">
        <v>19</v>
      </c>
      <c r="BR3" s="9" t="s">
        <v>20</v>
      </c>
      <c r="BS3" s="12" t="s">
        <v>21</v>
      </c>
      <c r="BT3" s="8" t="s">
        <v>19</v>
      </c>
      <c r="BU3" s="13" t="s">
        <v>20</v>
      </c>
      <c r="BV3" s="12" t="s">
        <v>21</v>
      </c>
      <c r="BW3" s="8" t="s">
        <v>19</v>
      </c>
      <c r="BX3" s="9" t="s">
        <v>20</v>
      </c>
      <c r="BY3" s="10" t="s">
        <v>21</v>
      </c>
      <c r="BZ3" s="11" t="s">
        <v>19</v>
      </c>
      <c r="CA3" s="9" t="s">
        <v>20</v>
      </c>
      <c r="CB3" s="10" t="s">
        <v>21</v>
      </c>
      <c r="CC3" s="11" t="s">
        <v>19</v>
      </c>
      <c r="CD3" s="9" t="s">
        <v>20</v>
      </c>
      <c r="CE3" s="10" t="s">
        <v>21</v>
      </c>
      <c r="CF3" s="11" t="s">
        <v>19</v>
      </c>
      <c r="CG3" s="9" t="s">
        <v>20</v>
      </c>
      <c r="CH3" s="10" t="s">
        <v>21</v>
      </c>
      <c r="CI3" s="11" t="s">
        <v>19</v>
      </c>
      <c r="CJ3" s="9" t="s">
        <v>20</v>
      </c>
      <c r="CK3" s="10" t="s">
        <v>21</v>
      </c>
      <c r="CL3" s="11" t="s">
        <v>19</v>
      </c>
      <c r="CM3" s="9" t="s">
        <v>20</v>
      </c>
      <c r="CN3" s="10" t="s">
        <v>21</v>
      </c>
      <c r="CO3" s="11" t="s">
        <v>19</v>
      </c>
      <c r="CP3" s="9" t="s">
        <v>20</v>
      </c>
      <c r="CQ3" s="12" t="s">
        <v>21</v>
      </c>
      <c r="CR3" s="8" t="s">
        <v>19</v>
      </c>
      <c r="CS3" s="13" t="s">
        <v>20</v>
      </c>
      <c r="CT3" s="12" t="s">
        <v>21</v>
      </c>
      <c r="CU3" s="8" t="s">
        <v>19</v>
      </c>
      <c r="CV3" s="9" t="s">
        <v>20</v>
      </c>
      <c r="CW3" s="10" t="s">
        <v>21</v>
      </c>
      <c r="CX3" s="11" t="s">
        <v>19</v>
      </c>
      <c r="CY3" s="9" t="s">
        <v>20</v>
      </c>
      <c r="CZ3" s="10" t="s">
        <v>21</v>
      </c>
      <c r="DA3" s="11" t="s">
        <v>19</v>
      </c>
      <c r="DB3" s="9" t="s">
        <v>20</v>
      </c>
      <c r="DC3" s="10" t="s">
        <v>21</v>
      </c>
      <c r="DD3" s="11" t="s">
        <v>19</v>
      </c>
      <c r="DE3" s="9" t="s">
        <v>20</v>
      </c>
      <c r="DF3" s="10" t="s">
        <v>21</v>
      </c>
      <c r="DG3" s="11" t="s">
        <v>19</v>
      </c>
      <c r="DH3" s="9" t="s">
        <v>20</v>
      </c>
      <c r="DI3" s="12" t="s">
        <v>21</v>
      </c>
      <c r="DJ3" s="11" t="s">
        <v>19</v>
      </c>
      <c r="DK3" s="9" t="s">
        <v>20</v>
      </c>
      <c r="DL3" s="12" t="s">
        <v>21</v>
      </c>
      <c r="DM3" s="11" t="s">
        <v>19</v>
      </c>
      <c r="DN3" s="9" t="s">
        <v>20</v>
      </c>
      <c r="DO3" s="12" t="s">
        <v>21</v>
      </c>
      <c r="DP3" s="8" t="s">
        <v>19</v>
      </c>
      <c r="DQ3" s="13" t="s">
        <v>20</v>
      </c>
      <c r="DR3" s="12" t="s">
        <v>21</v>
      </c>
      <c r="DS3" s="14" t="s">
        <v>19</v>
      </c>
      <c r="DT3" s="15" t="s">
        <v>20</v>
      </c>
      <c r="DU3" s="16" t="s">
        <v>21</v>
      </c>
    </row>
    <row r="4" spans="1:125" s="26" customFormat="1" ht="17.100000000000001" customHeight="1" x14ac:dyDescent="0.2">
      <c r="A4" s="18" t="s">
        <v>22</v>
      </c>
      <c r="B4" s="19">
        <v>5000</v>
      </c>
      <c r="C4" s="20"/>
      <c r="D4" s="21"/>
      <c r="E4" s="1">
        <f>$B4*D4</f>
        <v>0</v>
      </c>
      <c r="F4" s="20"/>
      <c r="G4" s="21"/>
      <c r="H4" s="1">
        <f>$B4*G4</f>
        <v>0</v>
      </c>
      <c r="I4" s="20"/>
      <c r="J4" s="21"/>
      <c r="K4" s="1">
        <f>$B4*J4</f>
        <v>0</v>
      </c>
      <c r="L4" s="22"/>
      <c r="M4" s="21"/>
      <c r="N4" s="1">
        <f>$B4*M4</f>
        <v>0</v>
      </c>
      <c r="O4" s="22"/>
      <c r="P4" s="21"/>
      <c r="Q4" s="1">
        <f>$B4*P4</f>
        <v>0</v>
      </c>
      <c r="R4" s="23"/>
      <c r="S4" s="21"/>
      <c r="T4" s="1">
        <f>$B4*S4</f>
        <v>0</v>
      </c>
      <c r="U4" s="24"/>
      <c r="V4" s="21"/>
      <c r="W4" s="63">
        <f>$B4*V4</f>
        <v>0</v>
      </c>
      <c r="X4" s="69">
        <f>C4+F4+I4+L4+O4+R4+U4</f>
        <v>0</v>
      </c>
      <c r="Y4" s="66">
        <f>D4+G4+J4+M4+P4+S4+V4</f>
        <v>0</v>
      </c>
      <c r="Z4" s="72">
        <f>E4+H4+K4+N4+Q4+T4+W4</f>
        <v>0</v>
      </c>
      <c r="AA4" s="25"/>
      <c r="AB4" s="21"/>
      <c r="AC4" s="1">
        <f>$B4*AB4</f>
        <v>0</v>
      </c>
      <c r="AD4" s="24"/>
      <c r="AE4" s="21"/>
      <c r="AF4" s="1">
        <f>$B4*AE4</f>
        <v>0</v>
      </c>
      <c r="AG4" s="24"/>
      <c r="AH4" s="21"/>
      <c r="AI4" s="1">
        <f>$B4*AH4</f>
        <v>0</v>
      </c>
      <c r="AJ4" s="24"/>
      <c r="AK4" s="21"/>
      <c r="AL4" s="1">
        <f>$B4*AK4</f>
        <v>0</v>
      </c>
      <c r="AM4" s="24"/>
      <c r="AN4" s="21"/>
      <c r="AO4" s="1">
        <f>$B4*AN4</f>
        <v>0</v>
      </c>
      <c r="AP4" s="24"/>
      <c r="AQ4" s="21"/>
      <c r="AR4" s="1">
        <f>$B4*AQ4</f>
        <v>0</v>
      </c>
      <c r="AS4" s="24"/>
      <c r="AT4" s="21"/>
      <c r="AU4" s="1">
        <f>$B4*AT4</f>
        <v>0</v>
      </c>
      <c r="AV4" s="69">
        <f>AA4+AD4+AG4+AJ4+AM4+AP4+AS4</f>
        <v>0</v>
      </c>
      <c r="AW4" s="66">
        <f>AB4+AE4+AH4+AK4+AN4+AQ4+AT4</f>
        <v>0</v>
      </c>
      <c r="AX4" s="47">
        <f>AC4+AF4+AI4+AL4+AO4+AR4+AU4</f>
        <v>0</v>
      </c>
      <c r="AY4" s="24"/>
      <c r="AZ4" s="21"/>
      <c r="BA4" s="1">
        <f>$B4*AZ4</f>
        <v>0</v>
      </c>
      <c r="BB4" s="24"/>
      <c r="BC4" s="21"/>
      <c r="BD4" s="1">
        <f>$B4*BC4</f>
        <v>0</v>
      </c>
      <c r="BE4" s="24"/>
      <c r="BF4" s="21"/>
      <c r="BG4" s="1">
        <f>$B4*BF4</f>
        <v>0</v>
      </c>
      <c r="BH4" s="24"/>
      <c r="BI4" s="21"/>
      <c r="BJ4" s="1">
        <f>$B4*BI4</f>
        <v>0</v>
      </c>
      <c r="BK4" s="24"/>
      <c r="BL4" s="21"/>
      <c r="BM4" s="1">
        <f>$B4*BL4</f>
        <v>0</v>
      </c>
      <c r="BN4" s="24"/>
      <c r="BO4" s="21"/>
      <c r="BP4" s="1">
        <f>$B4*BO4</f>
        <v>0</v>
      </c>
      <c r="BQ4" s="24"/>
      <c r="BR4" s="21"/>
      <c r="BS4" s="1">
        <f>$B4*BR4</f>
        <v>0</v>
      </c>
      <c r="BT4" s="69">
        <f>AY4+BB4+BE4+BH4+BK4+BN4+BQ4</f>
        <v>0</v>
      </c>
      <c r="BU4" s="66">
        <f>AZ4+BC4+BF4+BI4+BL4+BO4+BR4</f>
        <v>0</v>
      </c>
      <c r="BV4" s="47">
        <f>BA4+BD4+BG4+BJ4+BM4+BP4+BS4</f>
        <v>0</v>
      </c>
      <c r="BW4" s="24"/>
      <c r="BX4" s="21"/>
      <c r="BY4" s="1">
        <f>$B4*BX4</f>
        <v>0</v>
      </c>
      <c r="BZ4" s="24"/>
      <c r="CA4" s="21"/>
      <c r="CB4" s="1">
        <f>$B4*CA4</f>
        <v>0</v>
      </c>
      <c r="CC4" s="24"/>
      <c r="CD4" s="21">
        <v>1</v>
      </c>
      <c r="CE4" s="1">
        <f>$B4*CD4</f>
        <v>5000</v>
      </c>
      <c r="CF4" s="24"/>
      <c r="CG4" s="21"/>
      <c r="CH4" s="1">
        <f>$B4*CG4</f>
        <v>0</v>
      </c>
      <c r="CI4" s="24"/>
      <c r="CJ4" s="21"/>
      <c r="CK4" s="1">
        <f>$B4*CJ4</f>
        <v>0</v>
      </c>
      <c r="CL4" s="24"/>
      <c r="CM4" s="21"/>
      <c r="CN4" s="1">
        <f>$B4*CM4</f>
        <v>0</v>
      </c>
      <c r="CO4" s="24"/>
      <c r="CP4" s="21"/>
      <c r="CQ4" s="1">
        <f>$B4*CP4</f>
        <v>0</v>
      </c>
      <c r="CR4" s="69">
        <f>BW4+BZ4+CC4+CF4+CI4+CL4+CO4</f>
        <v>0</v>
      </c>
      <c r="CS4" s="66">
        <f>BX4+CA4+CD4+CG4+CJ4+CM4+CP4</f>
        <v>1</v>
      </c>
      <c r="CT4" s="47">
        <f>BY4+CB4+CE4+CH4+CK4+CN4+CQ4</f>
        <v>5000</v>
      </c>
      <c r="CU4" s="24"/>
      <c r="CV4" s="21"/>
      <c r="CW4" s="1">
        <f>$B4*CV4</f>
        <v>0</v>
      </c>
      <c r="CX4" s="24"/>
      <c r="CY4" s="21"/>
      <c r="CZ4" s="1">
        <f>$B4*CY4</f>
        <v>0</v>
      </c>
      <c r="DA4" s="24"/>
      <c r="DB4" s="21"/>
      <c r="DC4" s="1">
        <f>$B4*DB4</f>
        <v>0</v>
      </c>
      <c r="DD4" s="24"/>
      <c r="DE4" s="21"/>
      <c r="DF4" s="1">
        <f>$B4*DE4</f>
        <v>0</v>
      </c>
      <c r="DG4" s="24"/>
      <c r="DH4" s="21"/>
      <c r="DI4" s="1">
        <f>$B4*DH4</f>
        <v>0</v>
      </c>
      <c r="DJ4" s="24"/>
      <c r="DK4" s="21"/>
      <c r="DL4" s="1">
        <f>$B4*DK4</f>
        <v>0</v>
      </c>
      <c r="DM4" s="24"/>
      <c r="DN4" s="21"/>
      <c r="DO4" s="1">
        <f>$B4*DN4</f>
        <v>0</v>
      </c>
      <c r="DP4" s="69">
        <f>CU4+CX4+DA4+DD4+DG4+DJ4+DM4</f>
        <v>0</v>
      </c>
      <c r="DQ4" s="66">
        <f>CV4+CY4+DB4+DE4+DH4+DK4+DN4</f>
        <v>0</v>
      </c>
      <c r="DR4" s="47">
        <f>CW4+CZ4+DC4+DF4+DI4+DL4+DO4</f>
        <v>0</v>
      </c>
      <c r="DS4" s="48">
        <f>X4+AV4+CR4+DP4</f>
        <v>0</v>
      </c>
      <c r="DT4" s="49">
        <f>Y4+AW4+BU4+CS4+DQ4</f>
        <v>1</v>
      </c>
      <c r="DU4" s="50">
        <f>Z4+AX4+BV4+CT4+DR4</f>
        <v>5000</v>
      </c>
    </row>
    <row r="5" spans="1:125" s="26" customFormat="1" ht="17.100000000000001" customHeight="1" x14ac:dyDescent="0.2">
      <c r="A5" s="27" t="s">
        <v>23</v>
      </c>
      <c r="B5" s="28">
        <v>5500</v>
      </c>
      <c r="C5" s="29"/>
      <c r="D5" s="30"/>
      <c r="E5" s="2">
        <f t="shared" ref="E5:E21" si="0">$B5*D5</f>
        <v>0</v>
      </c>
      <c r="F5" s="29"/>
      <c r="G5" s="30"/>
      <c r="H5" s="2">
        <f t="shared" ref="H5:H21" si="1">$B5*G5</f>
        <v>0</v>
      </c>
      <c r="I5" s="29"/>
      <c r="J5" s="30"/>
      <c r="K5" s="2">
        <f t="shared" ref="K5:K21" si="2">$B5*J5</f>
        <v>0</v>
      </c>
      <c r="L5" s="31"/>
      <c r="M5" s="30"/>
      <c r="N5" s="2">
        <f t="shared" ref="N5:N21" si="3">$B5*M5</f>
        <v>0</v>
      </c>
      <c r="O5" s="31"/>
      <c r="P5" s="30"/>
      <c r="Q5" s="2">
        <f t="shared" ref="Q5:Q21" si="4">$B5*P5</f>
        <v>0</v>
      </c>
      <c r="R5" s="32"/>
      <c r="S5" s="30"/>
      <c r="T5" s="2">
        <f t="shared" ref="T5:T21" si="5">$B5*S5</f>
        <v>0</v>
      </c>
      <c r="U5" s="33"/>
      <c r="V5" s="30"/>
      <c r="W5" s="64">
        <f t="shared" ref="W5:W21" si="6">$B5*V5</f>
        <v>0</v>
      </c>
      <c r="X5" s="70">
        <f t="shared" ref="X5:Z21" si="7">C5+F5+I5+L5+O5+R5+U5</f>
        <v>0</v>
      </c>
      <c r="Y5" s="67">
        <f t="shared" si="7"/>
        <v>0</v>
      </c>
      <c r="Z5" s="73">
        <f t="shared" si="7"/>
        <v>0</v>
      </c>
      <c r="AA5" s="35"/>
      <c r="AB5" s="30"/>
      <c r="AC5" s="2">
        <f t="shared" ref="AC5:AC21" si="8">$B5*AB5</f>
        <v>0</v>
      </c>
      <c r="AD5" s="33"/>
      <c r="AE5" s="30"/>
      <c r="AF5" s="2">
        <f t="shared" ref="AF5:AF21" si="9">$B5*AE5</f>
        <v>0</v>
      </c>
      <c r="AG5" s="33"/>
      <c r="AH5" s="30"/>
      <c r="AI5" s="2">
        <f t="shared" ref="AI5:AI21" si="10">$B5*AH5</f>
        <v>0</v>
      </c>
      <c r="AJ5" s="33"/>
      <c r="AK5" s="30"/>
      <c r="AL5" s="2">
        <f t="shared" ref="AL5:AL21" si="11">$B5*AK5</f>
        <v>0</v>
      </c>
      <c r="AM5" s="33"/>
      <c r="AN5" s="30"/>
      <c r="AO5" s="2">
        <f t="shared" ref="AO5:AO21" si="12">$B5*AN5</f>
        <v>0</v>
      </c>
      <c r="AP5" s="33"/>
      <c r="AQ5" s="30"/>
      <c r="AR5" s="2">
        <f t="shared" ref="AR5:AR21" si="13">$B5*AQ5</f>
        <v>0</v>
      </c>
      <c r="AS5" s="33"/>
      <c r="AT5" s="30"/>
      <c r="AU5" s="2">
        <f t="shared" ref="AU5:AU21" si="14">$B5*AT5</f>
        <v>0</v>
      </c>
      <c r="AV5" s="70">
        <f t="shared" ref="AV5:AX21" si="15">AA5+AD5+AG5+AJ5+AM5+AP5+AS5</f>
        <v>0</v>
      </c>
      <c r="AW5" s="67">
        <f t="shared" si="15"/>
        <v>0</v>
      </c>
      <c r="AX5" s="51">
        <f t="shared" si="15"/>
        <v>0</v>
      </c>
      <c r="AY5" s="33"/>
      <c r="AZ5" s="30"/>
      <c r="BA5" s="2">
        <f t="shared" ref="BA5:BA21" si="16">$B5*AZ5</f>
        <v>0</v>
      </c>
      <c r="BB5" s="33"/>
      <c r="BC5" s="30"/>
      <c r="BD5" s="2">
        <f t="shared" ref="BD5:BD21" si="17">$B5*BC5</f>
        <v>0</v>
      </c>
      <c r="BE5" s="33"/>
      <c r="BF5" s="30"/>
      <c r="BG5" s="2">
        <f t="shared" ref="BG5:BG21" si="18">$B5*BF5</f>
        <v>0</v>
      </c>
      <c r="BH5" s="33"/>
      <c r="BI5" s="30"/>
      <c r="BJ5" s="2">
        <f t="shared" ref="BJ5:BJ21" si="19">$B5*BI5</f>
        <v>0</v>
      </c>
      <c r="BK5" s="33"/>
      <c r="BL5" s="30"/>
      <c r="BM5" s="2">
        <f t="shared" ref="BM5:BM21" si="20">$B5*BL5</f>
        <v>0</v>
      </c>
      <c r="BN5" s="33"/>
      <c r="BO5" s="30"/>
      <c r="BP5" s="2">
        <f t="shared" ref="BP5:BP21" si="21">$B5*BO5</f>
        <v>0</v>
      </c>
      <c r="BQ5" s="33"/>
      <c r="BR5" s="30"/>
      <c r="BS5" s="2">
        <f t="shared" ref="BS5:BS21" si="22">$B5*BR5</f>
        <v>0</v>
      </c>
      <c r="BT5" s="70">
        <f t="shared" ref="BT5:BV21" si="23">AY5+BB5+BE5+BH5+BK5+BN5+BQ5</f>
        <v>0</v>
      </c>
      <c r="BU5" s="67">
        <f t="shared" si="23"/>
        <v>0</v>
      </c>
      <c r="BV5" s="51">
        <f t="shared" si="23"/>
        <v>0</v>
      </c>
      <c r="BW5" s="33"/>
      <c r="BX5" s="30"/>
      <c r="BY5" s="2">
        <f t="shared" ref="BY5:BY21" si="24">$B5*BX5</f>
        <v>0</v>
      </c>
      <c r="BZ5" s="33"/>
      <c r="CA5" s="30"/>
      <c r="CB5" s="2">
        <f t="shared" ref="CB5:CB21" si="25">$B5*CA5</f>
        <v>0</v>
      </c>
      <c r="CC5" s="33"/>
      <c r="CD5" s="30">
        <v>1</v>
      </c>
      <c r="CE5" s="2">
        <f t="shared" ref="CE5:CE21" si="26">$B5*CD5</f>
        <v>5500</v>
      </c>
      <c r="CF5" s="33"/>
      <c r="CG5" s="30"/>
      <c r="CH5" s="2">
        <f t="shared" ref="CH5:CH21" si="27">$B5*CG5</f>
        <v>0</v>
      </c>
      <c r="CI5" s="33"/>
      <c r="CJ5" s="30"/>
      <c r="CK5" s="2">
        <f t="shared" ref="CK5:CK21" si="28">$B5*CJ5</f>
        <v>0</v>
      </c>
      <c r="CL5" s="33">
        <v>15000</v>
      </c>
      <c r="CM5" s="30"/>
      <c r="CN5" s="2">
        <f t="shared" ref="CN5:CN21" si="29">$B5*CM5</f>
        <v>0</v>
      </c>
      <c r="CO5" s="33"/>
      <c r="CP5" s="30"/>
      <c r="CQ5" s="2">
        <f t="shared" ref="CQ5:CQ21" si="30">$B5*CP5</f>
        <v>0</v>
      </c>
      <c r="CR5" s="70">
        <f t="shared" ref="CR5:CT21" si="31">BW5+BZ5+CC5+CF5+CI5+CL5+CO5</f>
        <v>15000</v>
      </c>
      <c r="CS5" s="67">
        <f t="shared" si="31"/>
        <v>1</v>
      </c>
      <c r="CT5" s="51">
        <f t="shared" si="31"/>
        <v>5500</v>
      </c>
      <c r="CU5" s="33"/>
      <c r="CV5" s="30"/>
      <c r="CW5" s="2">
        <f t="shared" ref="CW5:CW21" si="32">$B5*CV5</f>
        <v>0</v>
      </c>
      <c r="CX5" s="33"/>
      <c r="CY5" s="30"/>
      <c r="CZ5" s="2">
        <f t="shared" ref="CZ5:CZ21" si="33">$B5*CY5</f>
        <v>0</v>
      </c>
      <c r="DA5" s="33"/>
      <c r="DB5" s="30"/>
      <c r="DC5" s="2">
        <f t="shared" ref="DC5:DC21" si="34">$B5*DB5</f>
        <v>0</v>
      </c>
      <c r="DD5" s="33"/>
      <c r="DE5" s="30"/>
      <c r="DF5" s="2">
        <f t="shared" ref="DF5:DF21" si="35">$B5*DE5</f>
        <v>0</v>
      </c>
      <c r="DG5" s="33"/>
      <c r="DH5" s="30"/>
      <c r="DI5" s="2">
        <f t="shared" ref="DI5:DI21" si="36">$B5*DH5</f>
        <v>0</v>
      </c>
      <c r="DJ5" s="33"/>
      <c r="DK5" s="30"/>
      <c r="DL5" s="2">
        <f t="shared" ref="DL5:DL21" si="37">$B5*DK5</f>
        <v>0</v>
      </c>
      <c r="DM5" s="33"/>
      <c r="DN5" s="30"/>
      <c r="DO5" s="2">
        <f t="shared" ref="DO5:DO21" si="38">$B5*DN5</f>
        <v>0</v>
      </c>
      <c r="DP5" s="70">
        <f t="shared" ref="DP5:DR21" si="39">CU5+CX5+DA5+DD5+DG5+DJ5+DM5</f>
        <v>0</v>
      </c>
      <c r="DQ5" s="67">
        <f t="shared" si="39"/>
        <v>0</v>
      </c>
      <c r="DR5" s="51">
        <f t="shared" si="39"/>
        <v>0</v>
      </c>
      <c r="DS5" s="52">
        <f t="shared" ref="DS5:DS21" si="40">X5+AV5+CR5+DP5</f>
        <v>15000</v>
      </c>
      <c r="DT5" s="53">
        <f t="shared" ref="DT5:DU21" si="41">Y5+AW5+BU5+CS5+DQ5</f>
        <v>1</v>
      </c>
      <c r="DU5" s="54">
        <f t="shared" si="41"/>
        <v>5500</v>
      </c>
    </row>
    <row r="6" spans="1:125" s="26" customFormat="1" ht="17.100000000000001" customHeight="1" x14ac:dyDescent="0.2">
      <c r="A6" s="27" t="s">
        <v>24</v>
      </c>
      <c r="B6" s="28">
        <v>5500</v>
      </c>
      <c r="C6" s="29"/>
      <c r="D6" s="30"/>
      <c r="E6" s="2">
        <f t="shared" si="0"/>
        <v>0</v>
      </c>
      <c r="F6" s="29"/>
      <c r="G6" s="30"/>
      <c r="H6" s="2">
        <f t="shared" si="1"/>
        <v>0</v>
      </c>
      <c r="I6" s="29"/>
      <c r="J6" s="30"/>
      <c r="K6" s="2">
        <f t="shared" si="2"/>
        <v>0</v>
      </c>
      <c r="L6" s="31"/>
      <c r="M6" s="30"/>
      <c r="N6" s="2">
        <f t="shared" si="3"/>
        <v>0</v>
      </c>
      <c r="O6" s="31"/>
      <c r="P6" s="30"/>
      <c r="Q6" s="2">
        <f t="shared" si="4"/>
        <v>0</v>
      </c>
      <c r="R6" s="32"/>
      <c r="S6" s="30"/>
      <c r="T6" s="2">
        <f t="shared" si="5"/>
        <v>0</v>
      </c>
      <c r="U6" s="33"/>
      <c r="V6" s="30"/>
      <c r="W6" s="64">
        <f t="shared" si="6"/>
        <v>0</v>
      </c>
      <c r="X6" s="70">
        <f t="shared" si="7"/>
        <v>0</v>
      </c>
      <c r="Y6" s="67">
        <f t="shared" si="7"/>
        <v>0</v>
      </c>
      <c r="Z6" s="73">
        <f t="shared" si="7"/>
        <v>0</v>
      </c>
      <c r="AA6" s="35"/>
      <c r="AB6" s="30"/>
      <c r="AC6" s="2">
        <f t="shared" si="8"/>
        <v>0</v>
      </c>
      <c r="AD6" s="33"/>
      <c r="AE6" s="30"/>
      <c r="AF6" s="2">
        <f t="shared" si="9"/>
        <v>0</v>
      </c>
      <c r="AG6" s="33"/>
      <c r="AH6" s="30"/>
      <c r="AI6" s="2">
        <f t="shared" si="10"/>
        <v>0</v>
      </c>
      <c r="AJ6" s="33"/>
      <c r="AK6" s="30"/>
      <c r="AL6" s="2">
        <f t="shared" si="11"/>
        <v>0</v>
      </c>
      <c r="AM6" s="33"/>
      <c r="AN6" s="30"/>
      <c r="AO6" s="2">
        <f t="shared" si="12"/>
        <v>0</v>
      </c>
      <c r="AP6" s="33">
        <v>10000</v>
      </c>
      <c r="AQ6" s="30"/>
      <c r="AR6" s="2">
        <f t="shared" si="13"/>
        <v>0</v>
      </c>
      <c r="AS6" s="33"/>
      <c r="AT6" s="30"/>
      <c r="AU6" s="2">
        <f t="shared" si="14"/>
        <v>0</v>
      </c>
      <c r="AV6" s="70">
        <f t="shared" si="15"/>
        <v>10000</v>
      </c>
      <c r="AW6" s="67">
        <f t="shared" si="15"/>
        <v>0</v>
      </c>
      <c r="AX6" s="51">
        <f t="shared" si="15"/>
        <v>0</v>
      </c>
      <c r="AY6" s="33"/>
      <c r="AZ6" s="30"/>
      <c r="BA6" s="2">
        <f t="shared" si="16"/>
        <v>0</v>
      </c>
      <c r="BB6" s="33"/>
      <c r="BC6" s="30"/>
      <c r="BD6" s="2">
        <f t="shared" si="17"/>
        <v>0</v>
      </c>
      <c r="BE6" s="33"/>
      <c r="BF6" s="30"/>
      <c r="BG6" s="2">
        <f t="shared" si="18"/>
        <v>0</v>
      </c>
      <c r="BH6" s="33"/>
      <c r="BI6" s="30"/>
      <c r="BJ6" s="2">
        <f t="shared" si="19"/>
        <v>0</v>
      </c>
      <c r="BK6" s="33"/>
      <c r="BL6" s="30"/>
      <c r="BM6" s="2">
        <f t="shared" si="20"/>
        <v>0</v>
      </c>
      <c r="BN6" s="33"/>
      <c r="BO6" s="30"/>
      <c r="BP6" s="2">
        <f t="shared" si="21"/>
        <v>0</v>
      </c>
      <c r="BQ6" s="33"/>
      <c r="BR6" s="30"/>
      <c r="BS6" s="2">
        <f t="shared" si="22"/>
        <v>0</v>
      </c>
      <c r="BT6" s="70">
        <f t="shared" si="23"/>
        <v>0</v>
      </c>
      <c r="BU6" s="67">
        <f t="shared" si="23"/>
        <v>0</v>
      </c>
      <c r="BV6" s="51">
        <f t="shared" si="23"/>
        <v>0</v>
      </c>
      <c r="BW6" s="33"/>
      <c r="BX6" s="30"/>
      <c r="BY6" s="2">
        <f t="shared" si="24"/>
        <v>0</v>
      </c>
      <c r="BZ6" s="33"/>
      <c r="CA6" s="30"/>
      <c r="CB6" s="2">
        <f t="shared" si="25"/>
        <v>0</v>
      </c>
      <c r="CC6" s="33">
        <v>10000</v>
      </c>
      <c r="CD6" s="30">
        <v>1</v>
      </c>
      <c r="CE6" s="2">
        <f t="shared" si="26"/>
        <v>5500</v>
      </c>
      <c r="CF6" s="33"/>
      <c r="CG6" s="30"/>
      <c r="CH6" s="2">
        <f t="shared" si="27"/>
        <v>0</v>
      </c>
      <c r="CI6" s="33"/>
      <c r="CJ6" s="30"/>
      <c r="CK6" s="2">
        <f t="shared" si="28"/>
        <v>0</v>
      </c>
      <c r="CL6" s="33"/>
      <c r="CM6" s="30"/>
      <c r="CN6" s="2">
        <f t="shared" si="29"/>
        <v>0</v>
      </c>
      <c r="CO6" s="33"/>
      <c r="CP6" s="30"/>
      <c r="CQ6" s="2">
        <f t="shared" si="30"/>
        <v>0</v>
      </c>
      <c r="CR6" s="70">
        <f t="shared" si="31"/>
        <v>10000</v>
      </c>
      <c r="CS6" s="67">
        <f t="shared" si="31"/>
        <v>1</v>
      </c>
      <c r="CT6" s="51">
        <f t="shared" si="31"/>
        <v>5500</v>
      </c>
      <c r="CU6" s="33"/>
      <c r="CV6" s="30"/>
      <c r="CW6" s="2">
        <f t="shared" si="32"/>
        <v>0</v>
      </c>
      <c r="CX6" s="33"/>
      <c r="CY6" s="30"/>
      <c r="CZ6" s="2">
        <f t="shared" si="33"/>
        <v>0</v>
      </c>
      <c r="DA6" s="33"/>
      <c r="DB6" s="30"/>
      <c r="DC6" s="2">
        <f t="shared" si="34"/>
        <v>0</v>
      </c>
      <c r="DD6" s="33"/>
      <c r="DE6" s="30"/>
      <c r="DF6" s="2">
        <f t="shared" si="35"/>
        <v>0</v>
      </c>
      <c r="DG6" s="33"/>
      <c r="DH6" s="30"/>
      <c r="DI6" s="2">
        <f t="shared" si="36"/>
        <v>0</v>
      </c>
      <c r="DJ6" s="33"/>
      <c r="DK6" s="30"/>
      <c r="DL6" s="2">
        <f t="shared" si="37"/>
        <v>0</v>
      </c>
      <c r="DM6" s="33"/>
      <c r="DN6" s="30"/>
      <c r="DO6" s="2">
        <f t="shared" si="38"/>
        <v>0</v>
      </c>
      <c r="DP6" s="70">
        <f t="shared" si="39"/>
        <v>0</v>
      </c>
      <c r="DQ6" s="67">
        <f t="shared" si="39"/>
        <v>0</v>
      </c>
      <c r="DR6" s="51">
        <f t="shared" si="39"/>
        <v>0</v>
      </c>
      <c r="DS6" s="52">
        <f t="shared" si="40"/>
        <v>20000</v>
      </c>
      <c r="DT6" s="53">
        <f t="shared" si="41"/>
        <v>1</v>
      </c>
      <c r="DU6" s="54">
        <f t="shared" si="41"/>
        <v>5500</v>
      </c>
    </row>
    <row r="7" spans="1:125" s="26" customFormat="1" ht="17.100000000000001" customHeight="1" x14ac:dyDescent="0.2">
      <c r="A7" s="27" t="s">
        <v>25</v>
      </c>
      <c r="B7" s="28">
        <v>5000</v>
      </c>
      <c r="C7" s="29"/>
      <c r="D7" s="30"/>
      <c r="E7" s="2">
        <f t="shared" si="0"/>
        <v>0</v>
      </c>
      <c r="F7" s="29"/>
      <c r="G7" s="30"/>
      <c r="H7" s="2">
        <f t="shared" si="1"/>
        <v>0</v>
      </c>
      <c r="I7" s="29"/>
      <c r="J7" s="30"/>
      <c r="K7" s="2">
        <f t="shared" si="2"/>
        <v>0</v>
      </c>
      <c r="L7" s="31"/>
      <c r="M7" s="30"/>
      <c r="N7" s="2">
        <f t="shared" si="3"/>
        <v>0</v>
      </c>
      <c r="O7" s="31"/>
      <c r="P7" s="30"/>
      <c r="Q7" s="2">
        <f t="shared" si="4"/>
        <v>0</v>
      </c>
      <c r="R7" s="32"/>
      <c r="S7" s="30"/>
      <c r="T7" s="2">
        <f t="shared" si="5"/>
        <v>0</v>
      </c>
      <c r="U7" s="33"/>
      <c r="V7" s="30"/>
      <c r="W7" s="64">
        <f t="shared" si="6"/>
        <v>0</v>
      </c>
      <c r="X7" s="70">
        <f t="shared" si="7"/>
        <v>0</v>
      </c>
      <c r="Y7" s="67">
        <f t="shared" si="7"/>
        <v>0</v>
      </c>
      <c r="Z7" s="73">
        <f t="shared" si="7"/>
        <v>0</v>
      </c>
      <c r="AA7" s="35"/>
      <c r="AB7" s="30"/>
      <c r="AC7" s="2">
        <f t="shared" si="8"/>
        <v>0</v>
      </c>
      <c r="AD7" s="33"/>
      <c r="AE7" s="30"/>
      <c r="AF7" s="2">
        <f t="shared" si="9"/>
        <v>0</v>
      </c>
      <c r="AG7" s="33"/>
      <c r="AH7" s="30"/>
      <c r="AI7" s="2">
        <f t="shared" si="10"/>
        <v>0</v>
      </c>
      <c r="AJ7" s="33"/>
      <c r="AK7" s="30"/>
      <c r="AL7" s="2">
        <f t="shared" si="11"/>
        <v>0</v>
      </c>
      <c r="AM7" s="33"/>
      <c r="AN7" s="30"/>
      <c r="AO7" s="2">
        <f t="shared" si="12"/>
        <v>0</v>
      </c>
      <c r="AP7" s="33"/>
      <c r="AQ7" s="30"/>
      <c r="AR7" s="2">
        <f t="shared" si="13"/>
        <v>0</v>
      </c>
      <c r="AS7" s="33"/>
      <c r="AT7" s="30"/>
      <c r="AU7" s="2">
        <f t="shared" si="14"/>
        <v>0</v>
      </c>
      <c r="AV7" s="70">
        <f t="shared" si="15"/>
        <v>0</v>
      </c>
      <c r="AW7" s="67">
        <f t="shared" si="15"/>
        <v>0</v>
      </c>
      <c r="AX7" s="51">
        <f t="shared" si="15"/>
        <v>0</v>
      </c>
      <c r="AY7" s="33"/>
      <c r="AZ7" s="30"/>
      <c r="BA7" s="2">
        <f t="shared" si="16"/>
        <v>0</v>
      </c>
      <c r="BB7" s="33"/>
      <c r="BC7" s="30"/>
      <c r="BD7" s="2">
        <f t="shared" si="17"/>
        <v>0</v>
      </c>
      <c r="BE7" s="33"/>
      <c r="BF7" s="30"/>
      <c r="BG7" s="2">
        <f t="shared" si="18"/>
        <v>0</v>
      </c>
      <c r="BH7" s="33"/>
      <c r="BI7" s="30"/>
      <c r="BJ7" s="2">
        <f t="shared" si="19"/>
        <v>0</v>
      </c>
      <c r="BK7" s="33"/>
      <c r="BL7" s="30"/>
      <c r="BM7" s="2">
        <f t="shared" si="20"/>
        <v>0</v>
      </c>
      <c r="BN7" s="33">
        <v>50000</v>
      </c>
      <c r="BO7" s="30"/>
      <c r="BP7" s="2">
        <f t="shared" si="21"/>
        <v>0</v>
      </c>
      <c r="BQ7" s="33"/>
      <c r="BR7" s="30"/>
      <c r="BS7" s="2">
        <f t="shared" si="22"/>
        <v>0</v>
      </c>
      <c r="BT7" s="70">
        <f t="shared" si="23"/>
        <v>50000</v>
      </c>
      <c r="BU7" s="67">
        <f t="shared" si="23"/>
        <v>0</v>
      </c>
      <c r="BV7" s="51">
        <f t="shared" si="23"/>
        <v>0</v>
      </c>
      <c r="BW7" s="33"/>
      <c r="BX7" s="30"/>
      <c r="BY7" s="2">
        <f t="shared" si="24"/>
        <v>0</v>
      </c>
      <c r="BZ7" s="33"/>
      <c r="CA7" s="30"/>
      <c r="CB7" s="2">
        <f t="shared" si="25"/>
        <v>0</v>
      </c>
      <c r="CC7" s="33"/>
      <c r="CD7" s="30"/>
      <c r="CE7" s="2">
        <f t="shared" si="26"/>
        <v>0</v>
      </c>
      <c r="CF7" s="33"/>
      <c r="CG7" s="30"/>
      <c r="CH7" s="2">
        <f t="shared" si="27"/>
        <v>0</v>
      </c>
      <c r="CI7" s="33"/>
      <c r="CJ7" s="30"/>
      <c r="CK7" s="2">
        <f t="shared" si="28"/>
        <v>0</v>
      </c>
      <c r="CL7" s="33"/>
      <c r="CM7" s="30"/>
      <c r="CN7" s="2">
        <f t="shared" si="29"/>
        <v>0</v>
      </c>
      <c r="CO7" s="33"/>
      <c r="CP7" s="30"/>
      <c r="CQ7" s="2">
        <f t="shared" si="30"/>
        <v>0</v>
      </c>
      <c r="CR7" s="70">
        <f t="shared" si="31"/>
        <v>0</v>
      </c>
      <c r="CS7" s="67">
        <f t="shared" si="31"/>
        <v>0</v>
      </c>
      <c r="CT7" s="51">
        <f t="shared" si="31"/>
        <v>0</v>
      </c>
      <c r="CU7" s="33"/>
      <c r="CV7" s="30"/>
      <c r="CW7" s="2">
        <f t="shared" si="32"/>
        <v>0</v>
      </c>
      <c r="CX7" s="33"/>
      <c r="CY7" s="30"/>
      <c r="CZ7" s="2">
        <f t="shared" si="33"/>
        <v>0</v>
      </c>
      <c r="DA7" s="33"/>
      <c r="DB7" s="30"/>
      <c r="DC7" s="2">
        <f t="shared" si="34"/>
        <v>0</v>
      </c>
      <c r="DD7" s="33"/>
      <c r="DE7" s="30"/>
      <c r="DF7" s="2">
        <f t="shared" si="35"/>
        <v>0</v>
      </c>
      <c r="DG7" s="33"/>
      <c r="DH7" s="30"/>
      <c r="DI7" s="2">
        <f t="shared" si="36"/>
        <v>0</v>
      </c>
      <c r="DJ7" s="33"/>
      <c r="DK7" s="30"/>
      <c r="DL7" s="2">
        <f t="shared" si="37"/>
        <v>0</v>
      </c>
      <c r="DM7" s="33"/>
      <c r="DN7" s="30"/>
      <c r="DO7" s="2">
        <f t="shared" si="38"/>
        <v>0</v>
      </c>
      <c r="DP7" s="70">
        <f t="shared" si="39"/>
        <v>0</v>
      </c>
      <c r="DQ7" s="67">
        <f t="shared" si="39"/>
        <v>0</v>
      </c>
      <c r="DR7" s="51">
        <f t="shared" si="39"/>
        <v>0</v>
      </c>
      <c r="DS7" s="52">
        <v>50000</v>
      </c>
      <c r="DT7" s="53">
        <f t="shared" si="41"/>
        <v>0</v>
      </c>
      <c r="DU7" s="54">
        <f t="shared" si="41"/>
        <v>0</v>
      </c>
    </row>
    <row r="8" spans="1:125" s="26" customFormat="1" ht="17.100000000000001" customHeight="1" x14ac:dyDescent="0.2">
      <c r="A8" s="27" t="s">
        <v>26</v>
      </c>
      <c r="B8" s="28">
        <v>5000</v>
      </c>
      <c r="C8" s="29"/>
      <c r="D8" s="30"/>
      <c r="E8" s="2">
        <f t="shared" si="0"/>
        <v>0</v>
      </c>
      <c r="F8" s="29"/>
      <c r="G8" s="30"/>
      <c r="H8" s="2">
        <f t="shared" si="1"/>
        <v>0</v>
      </c>
      <c r="I8" s="29"/>
      <c r="J8" s="30"/>
      <c r="K8" s="2">
        <f t="shared" si="2"/>
        <v>0</v>
      </c>
      <c r="L8" s="31"/>
      <c r="M8" s="30"/>
      <c r="N8" s="2">
        <f t="shared" si="3"/>
        <v>0</v>
      </c>
      <c r="O8" s="33"/>
      <c r="P8" s="30"/>
      <c r="Q8" s="2">
        <f t="shared" si="4"/>
        <v>0</v>
      </c>
      <c r="R8" s="32"/>
      <c r="S8" s="30"/>
      <c r="T8" s="2">
        <f t="shared" si="5"/>
        <v>0</v>
      </c>
      <c r="U8" s="33"/>
      <c r="V8" s="30"/>
      <c r="W8" s="64">
        <f t="shared" si="6"/>
        <v>0</v>
      </c>
      <c r="X8" s="70">
        <f t="shared" si="7"/>
        <v>0</v>
      </c>
      <c r="Y8" s="67">
        <f t="shared" si="7"/>
        <v>0</v>
      </c>
      <c r="Z8" s="73">
        <f t="shared" si="7"/>
        <v>0</v>
      </c>
      <c r="AA8" s="35"/>
      <c r="AB8" s="30"/>
      <c r="AC8" s="2">
        <f t="shared" si="8"/>
        <v>0</v>
      </c>
      <c r="AD8" s="33"/>
      <c r="AE8" s="30"/>
      <c r="AF8" s="2">
        <f t="shared" si="9"/>
        <v>0</v>
      </c>
      <c r="AG8" s="33">
        <v>4000</v>
      </c>
      <c r="AH8" s="30"/>
      <c r="AI8" s="2">
        <f t="shared" si="10"/>
        <v>0</v>
      </c>
      <c r="AJ8" s="33"/>
      <c r="AK8" s="30"/>
      <c r="AL8" s="2">
        <f t="shared" si="11"/>
        <v>0</v>
      </c>
      <c r="AM8" s="33"/>
      <c r="AN8" s="30"/>
      <c r="AO8" s="2">
        <f t="shared" si="12"/>
        <v>0</v>
      </c>
      <c r="AP8" s="33"/>
      <c r="AQ8" s="30"/>
      <c r="AR8" s="2">
        <f t="shared" si="13"/>
        <v>0</v>
      </c>
      <c r="AS8" s="33"/>
      <c r="AT8" s="30"/>
      <c r="AU8" s="2">
        <f t="shared" si="14"/>
        <v>0</v>
      </c>
      <c r="AV8" s="70">
        <f t="shared" si="15"/>
        <v>4000</v>
      </c>
      <c r="AW8" s="67">
        <f t="shared" si="15"/>
        <v>0</v>
      </c>
      <c r="AX8" s="51">
        <f t="shared" si="15"/>
        <v>0</v>
      </c>
      <c r="AY8" s="33"/>
      <c r="AZ8" s="30"/>
      <c r="BA8" s="2">
        <f t="shared" si="16"/>
        <v>0</v>
      </c>
      <c r="BB8" s="33">
        <v>5000</v>
      </c>
      <c r="BC8" s="30"/>
      <c r="BD8" s="2">
        <f t="shared" si="17"/>
        <v>0</v>
      </c>
      <c r="BE8" s="33">
        <v>5000</v>
      </c>
      <c r="BF8" s="30"/>
      <c r="BG8" s="2">
        <f t="shared" si="18"/>
        <v>0</v>
      </c>
      <c r="BH8" s="33"/>
      <c r="BI8" s="30"/>
      <c r="BJ8" s="2">
        <f t="shared" si="19"/>
        <v>0</v>
      </c>
      <c r="BK8" s="33"/>
      <c r="BL8" s="30"/>
      <c r="BM8" s="2">
        <f t="shared" si="20"/>
        <v>0</v>
      </c>
      <c r="BN8" s="33"/>
      <c r="BO8" s="30"/>
      <c r="BP8" s="2">
        <f t="shared" si="21"/>
        <v>0</v>
      </c>
      <c r="BQ8" s="33"/>
      <c r="BR8" s="30"/>
      <c r="BS8" s="2">
        <f t="shared" si="22"/>
        <v>0</v>
      </c>
      <c r="BT8" s="70">
        <f t="shared" si="23"/>
        <v>10000</v>
      </c>
      <c r="BU8" s="67">
        <f t="shared" si="23"/>
        <v>0</v>
      </c>
      <c r="BV8" s="51">
        <f t="shared" si="23"/>
        <v>0</v>
      </c>
      <c r="BW8" s="33"/>
      <c r="BX8" s="30"/>
      <c r="BY8" s="2">
        <f t="shared" si="24"/>
        <v>0</v>
      </c>
      <c r="BZ8" s="33">
        <v>5000</v>
      </c>
      <c r="CA8" s="30"/>
      <c r="CB8" s="2">
        <f t="shared" si="25"/>
        <v>0</v>
      </c>
      <c r="CC8" s="33"/>
      <c r="CD8" s="30">
        <v>1</v>
      </c>
      <c r="CE8" s="2">
        <f t="shared" si="26"/>
        <v>5000</v>
      </c>
      <c r="CF8" s="33">
        <v>3000</v>
      </c>
      <c r="CG8" s="30"/>
      <c r="CH8" s="2">
        <f t="shared" si="27"/>
        <v>0</v>
      </c>
      <c r="CI8" s="33">
        <v>3000</v>
      </c>
      <c r="CJ8" s="30"/>
      <c r="CK8" s="2">
        <f t="shared" si="28"/>
        <v>0</v>
      </c>
      <c r="CL8" s="33"/>
      <c r="CM8" s="30"/>
      <c r="CN8" s="2">
        <f t="shared" si="29"/>
        <v>0</v>
      </c>
      <c r="CO8" s="33"/>
      <c r="CP8" s="30"/>
      <c r="CQ8" s="2">
        <f t="shared" si="30"/>
        <v>0</v>
      </c>
      <c r="CR8" s="70">
        <f t="shared" si="31"/>
        <v>11000</v>
      </c>
      <c r="CS8" s="67">
        <f t="shared" si="31"/>
        <v>1</v>
      </c>
      <c r="CT8" s="51">
        <f t="shared" si="31"/>
        <v>5000</v>
      </c>
      <c r="CU8" s="33"/>
      <c r="CV8" s="30"/>
      <c r="CW8" s="2">
        <f t="shared" si="32"/>
        <v>0</v>
      </c>
      <c r="CX8" s="33"/>
      <c r="CY8" s="30"/>
      <c r="CZ8" s="2">
        <f t="shared" si="33"/>
        <v>0</v>
      </c>
      <c r="DA8" s="33"/>
      <c r="DB8" s="30"/>
      <c r="DC8" s="2">
        <f t="shared" si="34"/>
        <v>0</v>
      </c>
      <c r="DD8" s="33"/>
      <c r="DE8" s="30"/>
      <c r="DF8" s="2">
        <f t="shared" si="35"/>
        <v>0</v>
      </c>
      <c r="DG8" s="33"/>
      <c r="DH8" s="30"/>
      <c r="DI8" s="2">
        <f t="shared" si="36"/>
        <v>0</v>
      </c>
      <c r="DJ8" s="33"/>
      <c r="DK8" s="30"/>
      <c r="DL8" s="2">
        <f t="shared" si="37"/>
        <v>0</v>
      </c>
      <c r="DM8" s="33"/>
      <c r="DN8" s="30"/>
      <c r="DO8" s="2">
        <f t="shared" si="38"/>
        <v>0</v>
      </c>
      <c r="DP8" s="70">
        <f t="shared" si="39"/>
        <v>0</v>
      </c>
      <c r="DQ8" s="67">
        <f t="shared" si="39"/>
        <v>0</v>
      </c>
      <c r="DR8" s="51">
        <f t="shared" si="39"/>
        <v>0</v>
      </c>
      <c r="DS8" s="52">
        <v>25000</v>
      </c>
      <c r="DT8" s="53">
        <f t="shared" si="41"/>
        <v>1</v>
      </c>
      <c r="DU8" s="54">
        <f t="shared" si="41"/>
        <v>5000</v>
      </c>
    </row>
    <row r="9" spans="1:125" s="26" customFormat="1" ht="17.100000000000001" customHeight="1" x14ac:dyDescent="0.2">
      <c r="A9" s="27" t="s">
        <v>27</v>
      </c>
      <c r="B9" s="28">
        <v>5000</v>
      </c>
      <c r="C9" s="29"/>
      <c r="D9" s="30"/>
      <c r="E9" s="2">
        <f t="shared" si="0"/>
        <v>0</v>
      </c>
      <c r="F9" s="29"/>
      <c r="G9" s="30"/>
      <c r="H9" s="2">
        <f t="shared" si="1"/>
        <v>0</v>
      </c>
      <c r="I9" s="29"/>
      <c r="J9" s="30"/>
      <c r="K9" s="2">
        <f t="shared" si="2"/>
        <v>0</v>
      </c>
      <c r="L9" s="31"/>
      <c r="M9" s="30"/>
      <c r="N9" s="2">
        <f t="shared" si="3"/>
        <v>0</v>
      </c>
      <c r="O9" s="31"/>
      <c r="P9" s="30"/>
      <c r="Q9" s="2">
        <f t="shared" si="4"/>
        <v>0</v>
      </c>
      <c r="R9" s="31"/>
      <c r="S9" s="30"/>
      <c r="T9" s="2">
        <f t="shared" si="5"/>
        <v>0</v>
      </c>
      <c r="U9" s="33"/>
      <c r="V9" s="30"/>
      <c r="W9" s="64">
        <f t="shared" si="6"/>
        <v>0</v>
      </c>
      <c r="X9" s="70">
        <f t="shared" si="7"/>
        <v>0</v>
      </c>
      <c r="Y9" s="67">
        <f t="shared" si="7"/>
        <v>0</v>
      </c>
      <c r="Z9" s="73">
        <f t="shared" si="7"/>
        <v>0</v>
      </c>
      <c r="AA9" s="35"/>
      <c r="AB9" s="30"/>
      <c r="AC9" s="2">
        <f t="shared" si="8"/>
        <v>0</v>
      </c>
      <c r="AD9" s="33"/>
      <c r="AE9" s="30"/>
      <c r="AF9" s="2">
        <f t="shared" si="9"/>
        <v>0</v>
      </c>
      <c r="AG9" s="33"/>
      <c r="AH9" s="30"/>
      <c r="AI9" s="2">
        <f t="shared" si="10"/>
        <v>0</v>
      </c>
      <c r="AJ9" s="33"/>
      <c r="AK9" s="30"/>
      <c r="AL9" s="2">
        <f t="shared" si="11"/>
        <v>0</v>
      </c>
      <c r="AM9" s="33"/>
      <c r="AN9" s="30"/>
      <c r="AO9" s="2">
        <f t="shared" si="12"/>
        <v>0</v>
      </c>
      <c r="AP9" s="33"/>
      <c r="AQ9" s="30"/>
      <c r="AR9" s="2">
        <f t="shared" si="13"/>
        <v>0</v>
      </c>
      <c r="AS9" s="33"/>
      <c r="AT9" s="30"/>
      <c r="AU9" s="2">
        <f t="shared" si="14"/>
        <v>0</v>
      </c>
      <c r="AV9" s="70">
        <f t="shared" si="15"/>
        <v>0</v>
      </c>
      <c r="AW9" s="67">
        <f t="shared" si="15"/>
        <v>0</v>
      </c>
      <c r="AX9" s="51">
        <f t="shared" si="15"/>
        <v>0</v>
      </c>
      <c r="AY9" s="33"/>
      <c r="AZ9" s="30"/>
      <c r="BA9" s="2">
        <f t="shared" si="16"/>
        <v>0</v>
      </c>
      <c r="BB9" s="33"/>
      <c r="BC9" s="30"/>
      <c r="BD9" s="2">
        <f t="shared" si="17"/>
        <v>0</v>
      </c>
      <c r="BE9" s="33"/>
      <c r="BF9" s="30"/>
      <c r="BG9" s="2">
        <f t="shared" si="18"/>
        <v>0</v>
      </c>
      <c r="BH9" s="33"/>
      <c r="BI9" s="30"/>
      <c r="BJ9" s="2">
        <f t="shared" si="19"/>
        <v>0</v>
      </c>
      <c r="BK9" s="33"/>
      <c r="BL9" s="30"/>
      <c r="BM9" s="2">
        <f t="shared" si="20"/>
        <v>0</v>
      </c>
      <c r="BN9" s="33"/>
      <c r="BO9" s="30"/>
      <c r="BP9" s="2">
        <f t="shared" si="21"/>
        <v>0</v>
      </c>
      <c r="BQ9" s="33"/>
      <c r="BR9" s="30"/>
      <c r="BS9" s="2">
        <f t="shared" si="22"/>
        <v>0</v>
      </c>
      <c r="BT9" s="70">
        <f t="shared" si="23"/>
        <v>0</v>
      </c>
      <c r="BU9" s="67">
        <f t="shared" si="23"/>
        <v>0</v>
      </c>
      <c r="BV9" s="51">
        <f t="shared" si="23"/>
        <v>0</v>
      </c>
      <c r="BW9" s="33"/>
      <c r="BX9" s="30"/>
      <c r="BY9" s="2">
        <f t="shared" si="24"/>
        <v>0</v>
      </c>
      <c r="BZ9" s="33"/>
      <c r="CA9" s="30"/>
      <c r="CB9" s="2">
        <f t="shared" si="25"/>
        <v>0</v>
      </c>
      <c r="CC9" s="33"/>
      <c r="CD9" s="30">
        <v>1</v>
      </c>
      <c r="CE9" s="2">
        <f t="shared" si="26"/>
        <v>5000</v>
      </c>
      <c r="CF9" s="33"/>
      <c r="CG9" s="30"/>
      <c r="CH9" s="2">
        <f t="shared" si="27"/>
        <v>0</v>
      </c>
      <c r="CI9" s="33"/>
      <c r="CJ9" s="30"/>
      <c r="CK9" s="2">
        <f t="shared" si="28"/>
        <v>0</v>
      </c>
      <c r="CL9" s="33"/>
      <c r="CM9" s="30"/>
      <c r="CN9" s="2">
        <f t="shared" si="29"/>
        <v>0</v>
      </c>
      <c r="CO9" s="33"/>
      <c r="CP9" s="30"/>
      <c r="CQ9" s="2">
        <f t="shared" si="30"/>
        <v>0</v>
      </c>
      <c r="CR9" s="70">
        <f t="shared" si="31"/>
        <v>0</v>
      </c>
      <c r="CS9" s="67">
        <f t="shared" si="31"/>
        <v>1</v>
      </c>
      <c r="CT9" s="51">
        <f t="shared" si="31"/>
        <v>5000</v>
      </c>
      <c r="CU9" s="33"/>
      <c r="CV9" s="30"/>
      <c r="CW9" s="2">
        <f t="shared" si="32"/>
        <v>0</v>
      </c>
      <c r="CX9" s="33"/>
      <c r="CY9" s="30"/>
      <c r="CZ9" s="2">
        <f t="shared" si="33"/>
        <v>0</v>
      </c>
      <c r="DA9" s="33"/>
      <c r="DB9" s="30"/>
      <c r="DC9" s="2">
        <f t="shared" si="34"/>
        <v>0</v>
      </c>
      <c r="DD9" s="33"/>
      <c r="DE9" s="30"/>
      <c r="DF9" s="2">
        <f t="shared" si="35"/>
        <v>0</v>
      </c>
      <c r="DG9" s="33"/>
      <c r="DH9" s="30"/>
      <c r="DI9" s="2">
        <f t="shared" si="36"/>
        <v>0</v>
      </c>
      <c r="DJ9" s="33"/>
      <c r="DK9" s="30"/>
      <c r="DL9" s="2">
        <f t="shared" si="37"/>
        <v>0</v>
      </c>
      <c r="DM9" s="33"/>
      <c r="DN9" s="30"/>
      <c r="DO9" s="2">
        <f t="shared" si="38"/>
        <v>0</v>
      </c>
      <c r="DP9" s="70">
        <f t="shared" si="39"/>
        <v>0</v>
      </c>
      <c r="DQ9" s="67">
        <f t="shared" si="39"/>
        <v>0</v>
      </c>
      <c r="DR9" s="51">
        <f t="shared" si="39"/>
        <v>0</v>
      </c>
      <c r="DS9" s="52">
        <f t="shared" si="40"/>
        <v>0</v>
      </c>
      <c r="DT9" s="53">
        <f t="shared" si="41"/>
        <v>1</v>
      </c>
      <c r="DU9" s="54">
        <f t="shared" si="41"/>
        <v>5000</v>
      </c>
    </row>
    <row r="10" spans="1:125" s="26" customFormat="1" ht="17.100000000000001" customHeight="1" x14ac:dyDescent="0.2">
      <c r="A10" s="27" t="s">
        <v>28</v>
      </c>
      <c r="B10" s="28">
        <v>5000</v>
      </c>
      <c r="C10" s="29"/>
      <c r="D10" s="30"/>
      <c r="E10" s="2">
        <f t="shared" si="0"/>
        <v>0</v>
      </c>
      <c r="F10" s="29"/>
      <c r="G10" s="30"/>
      <c r="H10" s="2">
        <f t="shared" si="1"/>
        <v>0</v>
      </c>
      <c r="I10" s="29">
        <v>10000</v>
      </c>
      <c r="J10" s="30"/>
      <c r="K10" s="2">
        <f t="shared" si="2"/>
        <v>0</v>
      </c>
      <c r="L10" s="31"/>
      <c r="M10" s="30"/>
      <c r="N10" s="2">
        <f t="shared" si="3"/>
        <v>0</v>
      </c>
      <c r="O10" s="31"/>
      <c r="P10" s="30"/>
      <c r="Q10" s="2">
        <f t="shared" si="4"/>
        <v>0</v>
      </c>
      <c r="R10" s="31"/>
      <c r="S10" s="30"/>
      <c r="T10" s="2">
        <f t="shared" si="5"/>
        <v>0</v>
      </c>
      <c r="U10" s="33"/>
      <c r="V10" s="30"/>
      <c r="W10" s="64">
        <f t="shared" si="6"/>
        <v>0</v>
      </c>
      <c r="X10" s="70">
        <f t="shared" si="7"/>
        <v>10000</v>
      </c>
      <c r="Y10" s="67">
        <f t="shared" si="7"/>
        <v>0</v>
      </c>
      <c r="Z10" s="73">
        <f t="shared" si="7"/>
        <v>0</v>
      </c>
      <c r="AA10" s="35"/>
      <c r="AB10" s="30"/>
      <c r="AC10" s="2">
        <f t="shared" si="8"/>
        <v>0</v>
      </c>
      <c r="AD10" s="33">
        <v>5000</v>
      </c>
      <c r="AE10" s="30"/>
      <c r="AF10" s="2">
        <f t="shared" si="9"/>
        <v>0</v>
      </c>
      <c r="AG10" s="33"/>
      <c r="AH10" s="30"/>
      <c r="AI10" s="2">
        <f t="shared" si="10"/>
        <v>0</v>
      </c>
      <c r="AJ10" s="33"/>
      <c r="AK10" s="30"/>
      <c r="AL10" s="2">
        <f t="shared" si="11"/>
        <v>0</v>
      </c>
      <c r="AM10" s="33"/>
      <c r="AN10" s="30"/>
      <c r="AO10" s="2">
        <f t="shared" si="12"/>
        <v>0</v>
      </c>
      <c r="AP10" s="33"/>
      <c r="AQ10" s="30"/>
      <c r="AR10" s="2">
        <f t="shared" si="13"/>
        <v>0</v>
      </c>
      <c r="AS10" s="33"/>
      <c r="AT10" s="30"/>
      <c r="AU10" s="2">
        <f t="shared" si="14"/>
        <v>0</v>
      </c>
      <c r="AV10" s="70">
        <f t="shared" si="15"/>
        <v>5000</v>
      </c>
      <c r="AW10" s="67">
        <f t="shared" si="15"/>
        <v>0</v>
      </c>
      <c r="AX10" s="51">
        <f t="shared" si="15"/>
        <v>0</v>
      </c>
      <c r="AY10" s="33"/>
      <c r="AZ10" s="30"/>
      <c r="BA10" s="2">
        <f t="shared" si="16"/>
        <v>0</v>
      </c>
      <c r="BB10" s="33"/>
      <c r="BC10" s="30"/>
      <c r="BD10" s="2">
        <f t="shared" si="17"/>
        <v>0</v>
      </c>
      <c r="BE10" s="33"/>
      <c r="BF10" s="30"/>
      <c r="BG10" s="2">
        <f t="shared" si="18"/>
        <v>0</v>
      </c>
      <c r="BH10" s="33"/>
      <c r="BI10" s="30"/>
      <c r="BJ10" s="2">
        <f t="shared" si="19"/>
        <v>0</v>
      </c>
      <c r="BK10" s="33">
        <v>20000</v>
      </c>
      <c r="BL10" s="30"/>
      <c r="BM10" s="2">
        <f t="shared" si="20"/>
        <v>0</v>
      </c>
      <c r="BN10" s="33"/>
      <c r="BO10" s="30"/>
      <c r="BP10" s="2">
        <f t="shared" si="21"/>
        <v>0</v>
      </c>
      <c r="BQ10" s="33"/>
      <c r="BR10" s="30"/>
      <c r="BS10" s="2">
        <f t="shared" si="22"/>
        <v>0</v>
      </c>
      <c r="BT10" s="70">
        <f t="shared" si="23"/>
        <v>20000</v>
      </c>
      <c r="BU10" s="67">
        <f t="shared" si="23"/>
        <v>0</v>
      </c>
      <c r="BV10" s="51">
        <f t="shared" si="23"/>
        <v>0</v>
      </c>
      <c r="BW10" s="33"/>
      <c r="BX10" s="30"/>
      <c r="BY10" s="2">
        <f t="shared" si="24"/>
        <v>0</v>
      </c>
      <c r="BZ10" s="33">
        <v>10000</v>
      </c>
      <c r="CA10" s="30"/>
      <c r="CB10" s="2">
        <f t="shared" si="25"/>
        <v>0</v>
      </c>
      <c r="CC10" s="33"/>
      <c r="CD10" s="30">
        <v>1</v>
      </c>
      <c r="CE10" s="2">
        <f t="shared" si="26"/>
        <v>5000</v>
      </c>
      <c r="CF10" s="33">
        <v>20000</v>
      </c>
      <c r="CG10" s="30"/>
      <c r="CH10" s="2">
        <f t="shared" si="27"/>
        <v>0</v>
      </c>
      <c r="CI10" s="33"/>
      <c r="CJ10" s="30"/>
      <c r="CK10" s="2">
        <f t="shared" si="28"/>
        <v>0</v>
      </c>
      <c r="CL10" s="33"/>
      <c r="CM10" s="30"/>
      <c r="CN10" s="2">
        <f t="shared" si="29"/>
        <v>0</v>
      </c>
      <c r="CO10" s="33"/>
      <c r="CP10" s="30"/>
      <c r="CQ10" s="2">
        <f t="shared" si="30"/>
        <v>0</v>
      </c>
      <c r="CR10" s="70">
        <f t="shared" si="31"/>
        <v>30000</v>
      </c>
      <c r="CS10" s="67">
        <f t="shared" si="31"/>
        <v>1</v>
      </c>
      <c r="CT10" s="51">
        <f t="shared" si="31"/>
        <v>5000</v>
      </c>
      <c r="CU10" s="33"/>
      <c r="CV10" s="30"/>
      <c r="CW10" s="2">
        <f t="shared" si="32"/>
        <v>0</v>
      </c>
      <c r="CX10" s="33"/>
      <c r="CY10" s="30"/>
      <c r="CZ10" s="2">
        <f t="shared" si="33"/>
        <v>0</v>
      </c>
      <c r="DA10" s="33"/>
      <c r="DB10" s="30"/>
      <c r="DC10" s="2">
        <f t="shared" si="34"/>
        <v>0</v>
      </c>
      <c r="DD10" s="33"/>
      <c r="DE10" s="30"/>
      <c r="DF10" s="2">
        <f t="shared" si="35"/>
        <v>0</v>
      </c>
      <c r="DG10" s="33"/>
      <c r="DH10" s="30"/>
      <c r="DI10" s="2">
        <f t="shared" si="36"/>
        <v>0</v>
      </c>
      <c r="DJ10" s="33"/>
      <c r="DK10" s="30"/>
      <c r="DL10" s="2">
        <f t="shared" si="37"/>
        <v>0</v>
      </c>
      <c r="DM10" s="33"/>
      <c r="DN10" s="30"/>
      <c r="DO10" s="2">
        <f t="shared" si="38"/>
        <v>0</v>
      </c>
      <c r="DP10" s="70">
        <f t="shared" si="39"/>
        <v>0</v>
      </c>
      <c r="DQ10" s="67">
        <f t="shared" si="39"/>
        <v>0</v>
      </c>
      <c r="DR10" s="51">
        <f t="shared" si="39"/>
        <v>0</v>
      </c>
      <c r="DS10" s="52">
        <v>65000</v>
      </c>
      <c r="DT10" s="53">
        <f t="shared" si="41"/>
        <v>1</v>
      </c>
      <c r="DU10" s="54">
        <f t="shared" si="41"/>
        <v>5000</v>
      </c>
    </row>
    <row r="11" spans="1:125" s="26" customFormat="1" ht="17.100000000000001" customHeight="1" x14ac:dyDescent="0.2">
      <c r="A11" s="27" t="s">
        <v>29</v>
      </c>
      <c r="B11" s="28">
        <v>5000</v>
      </c>
      <c r="C11" s="29"/>
      <c r="D11" s="30"/>
      <c r="E11" s="2">
        <f t="shared" si="0"/>
        <v>0</v>
      </c>
      <c r="F11" s="29">
        <v>1000</v>
      </c>
      <c r="G11" s="30"/>
      <c r="H11" s="2">
        <f t="shared" si="1"/>
        <v>0</v>
      </c>
      <c r="I11" s="29"/>
      <c r="J11" s="30"/>
      <c r="K11" s="2">
        <f t="shared" si="2"/>
        <v>0</v>
      </c>
      <c r="L11" s="31"/>
      <c r="M11" s="30"/>
      <c r="N11" s="2">
        <f t="shared" si="3"/>
        <v>0</v>
      </c>
      <c r="O11" s="31"/>
      <c r="P11" s="30"/>
      <c r="Q11" s="2">
        <f t="shared" si="4"/>
        <v>0</v>
      </c>
      <c r="R11" s="31"/>
      <c r="S11" s="30"/>
      <c r="T11" s="2">
        <f t="shared" si="5"/>
        <v>0</v>
      </c>
      <c r="U11" s="33"/>
      <c r="V11" s="30"/>
      <c r="W11" s="64">
        <f t="shared" si="6"/>
        <v>0</v>
      </c>
      <c r="X11" s="70">
        <f t="shared" si="7"/>
        <v>1000</v>
      </c>
      <c r="Y11" s="67">
        <f t="shared" si="7"/>
        <v>0</v>
      </c>
      <c r="Z11" s="73">
        <f t="shared" si="7"/>
        <v>0</v>
      </c>
      <c r="AA11" s="35"/>
      <c r="AB11" s="30"/>
      <c r="AC11" s="2">
        <f t="shared" si="8"/>
        <v>0</v>
      </c>
      <c r="AD11" s="33"/>
      <c r="AE11" s="30"/>
      <c r="AF11" s="2">
        <f t="shared" si="9"/>
        <v>0</v>
      </c>
      <c r="AG11" s="33"/>
      <c r="AH11" s="30"/>
      <c r="AI11" s="2">
        <f t="shared" si="10"/>
        <v>0</v>
      </c>
      <c r="AJ11" s="33"/>
      <c r="AK11" s="30"/>
      <c r="AL11" s="2">
        <f t="shared" si="11"/>
        <v>0</v>
      </c>
      <c r="AM11" s="33"/>
      <c r="AN11" s="30"/>
      <c r="AO11" s="2">
        <f t="shared" si="12"/>
        <v>0</v>
      </c>
      <c r="AP11" s="33"/>
      <c r="AQ11" s="30"/>
      <c r="AR11" s="2">
        <f t="shared" si="13"/>
        <v>0</v>
      </c>
      <c r="AS11" s="33"/>
      <c r="AT11" s="30"/>
      <c r="AU11" s="2">
        <f t="shared" si="14"/>
        <v>0</v>
      </c>
      <c r="AV11" s="70">
        <f t="shared" si="15"/>
        <v>0</v>
      </c>
      <c r="AW11" s="67">
        <f t="shared" si="15"/>
        <v>0</v>
      </c>
      <c r="AX11" s="51">
        <f t="shared" si="15"/>
        <v>0</v>
      </c>
      <c r="AY11" s="33"/>
      <c r="AZ11" s="30"/>
      <c r="BA11" s="2">
        <f t="shared" si="16"/>
        <v>0</v>
      </c>
      <c r="BB11" s="33"/>
      <c r="BC11" s="30"/>
      <c r="BD11" s="2">
        <f t="shared" si="17"/>
        <v>0</v>
      </c>
      <c r="BE11" s="33"/>
      <c r="BF11" s="30"/>
      <c r="BG11" s="2">
        <f t="shared" si="18"/>
        <v>0</v>
      </c>
      <c r="BH11" s="33"/>
      <c r="BI11" s="30"/>
      <c r="BJ11" s="2">
        <f t="shared" si="19"/>
        <v>0</v>
      </c>
      <c r="BK11" s="33"/>
      <c r="BL11" s="30"/>
      <c r="BM11" s="2">
        <f t="shared" si="20"/>
        <v>0</v>
      </c>
      <c r="BN11" s="33"/>
      <c r="BO11" s="30"/>
      <c r="BP11" s="2">
        <f t="shared" si="21"/>
        <v>0</v>
      </c>
      <c r="BQ11" s="33"/>
      <c r="BR11" s="30"/>
      <c r="BS11" s="2">
        <f t="shared" si="22"/>
        <v>0</v>
      </c>
      <c r="BT11" s="70">
        <f t="shared" si="23"/>
        <v>0</v>
      </c>
      <c r="BU11" s="67">
        <f t="shared" si="23"/>
        <v>0</v>
      </c>
      <c r="BV11" s="51">
        <f t="shared" si="23"/>
        <v>0</v>
      </c>
      <c r="BW11" s="33"/>
      <c r="BX11" s="30"/>
      <c r="BY11" s="2">
        <f t="shared" si="24"/>
        <v>0</v>
      </c>
      <c r="BZ11" s="33"/>
      <c r="CA11" s="30"/>
      <c r="CB11" s="2">
        <f t="shared" si="25"/>
        <v>0</v>
      </c>
      <c r="CC11" s="33"/>
      <c r="CD11" s="30">
        <v>1</v>
      </c>
      <c r="CE11" s="2">
        <f t="shared" si="26"/>
        <v>5000</v>
      </c>
      <c r="CF11" s="33"/>
      <c r="CG11" s="30"/>
      <c r="CH11" s="2">
        <f t="shared" si="27"/>
        <v>0</v>
      </c>
      <c r="CI11" s="33"/>
      <c r="CJ11" s="30"/>
      <c r="CK11" s="2">
        <f t="shared" si="28"/>
        <v>0</v>
      </c>
      <c r="CL11" s="33">
        <v>3000</v>
      </c>
      <c r="CM11" s="30"/>
      <c r="CN11" s="2">
        <f t="shared" si="29"/>
        <v>0</v>
      </c>
      <c r="CO11" s="33"/>
      <c r="CP11" s="30"/>
      <c r="CQ11" s="2">
        <f t="shared" si="30"/>
        <v>0</v>
      </c>
      <c r="CR11" s="70">
        <f t="shared" si="31"/>
        <v>3000</v>
      </c>
      <c r="CS11" s="67">
        <f t="shared" si="31"/>
        <v>1</v>
      </c>
      <c r="CT11" s="51">
        <f t="shared" si="31"/>
        <v>5000</v>
      </c>
      <c r="CU11" s="33"/>
      <c r="CV11" s="30"/>
      <c r="CW11" s="2">
        <f t="shared" si="32"/>
        <v>0</v>
      </c>
      <c r="CX11" s="33"/>
      <c r="CY11" s="30"/>
      <c r="CZ11" s="2">
        <f t="shared" si="33"/>
        <v>0</v>
      </c>
      <c r="DA11" s="33"/>
      <c r="DB11" s="30"/>
      <c r="DC11" s="2">
        <f t="shared" si="34"/>
        <v>0</v>
      </c>
      <c r="DD11" s="33"/>
      <c r="DE11" s="30"/>
      <c r="DF11" s="2">
        <f t="shared" si="35"/>
        <v>0</v>
      </c>
      <c r="DG11" s="33"/>
      <c r="DH11" s="30"/>
      <c r="DI11" s="2">
        <f t="shared" si="36"/>
        <v>0</v>
      </c>
      <c r="DJ11" s="33"/>
      <c r="DK11" s="30"/>
      <c r="DL11" s="2">
        <f t="shared" si="37"/>
        <v>0</v>
      </c>
      <c r="DM11" s="33"/>
      <c r="DN11" s="30"/>
      <c r="DO11" s="2">
        <f t="shared" si="38"/>
        <v>0</v>
      </c>
      <c r="DP11" s="70">
        <f t="shared" si="39"/>
        <v>0</v>
      </c>
      <c r="DQ11" s="67">
        <f t="shared" si="39"/>
        <v>0</v>
      </c>
      <c r="DR11" s="51">
        <f t="shared" si="39"/>
        <v>0</v>
      </c>
      <c r="DS11" s="52">
        <f t="shared" si="40"/>
        <v>4000</v>
      </c>
      <c r="DT11" s="53">
        <f t="shared" si="41"/>
        <v>1</v>
      </c>
      <c r="DU11" s="54">
        <f t="shared" si="41"/>
        <v>5000</v>
      </c>
    </row>
    <row r="12" spans="1:125" s="26" customFormat="1" ht="17.100000000000001" customHeight="1" x14ac:dyDescent="0.2">
      <c r="A12" s="27" t="s">
        <v>30</v>
      </c>
      <c r="B12" s="28">
        <v>5000</v>
      </c>
      <c r="C12" s="29"/>
      <c r="D12" s="30"/>
      <c r="E12" s="2">
        <f t="shared" si="0"/>
        <v>0</v>
      </c>
      <c r="F12" s="29"/>
      <c r="G12" s="30"/>
      <c r="H12" s="2">
        <f t="shared" si="1"/>
        <v>0</v>
      </c>
      <c r="I12" s="29"/>
      <c r="J12" s="30"/>
      <c r="K12" s="2">
        <f t="shared" si="2"/>
        <v>0</v>
      </c>
      <c r="L12" s="33"/>
      <c r="M12" s="30"/>
      <c r="N12" s="2">
        <f t="shared" si="3"/>
        <v>0</v>
      </c>
      <c r="O12" s="31"/>
      <c r="P12" s="30"/>
      <c r="Q12" s="2">
        <f t="shared" si="4"/>
        <v>0</v>
      </c>
      <c r="R12" s="31"/>
      <c r="S12" s="30"/>
      <c r="T12" s="2">
        <f t="shared" si="5"/>
        <v>0</v>
      </c>
      <c r="U12" s="33"/>
      <c r="V12" s="30"/>
      <c r="W12" s="64">
        <f t="shared" si="6"/>
        <v>0</v>
      </c>
      <c r="X12" s="70">
        <f t="shared" si="7"/>
        <v>0</v>
      </c>
      <c r="Y12" s="67">
        <f t="shared" si="7"/>
        <v>0</v>
      </c>
      <c r="Z12" s="73">
        <f t="shared" si="7"/>
        <v>0</v>
      </c>
      <c r="AA12" s="35"/>
      <c r="AB12" s="30"/>
      <c r="AC12" s="2">
        <f t="shared" si="8"/>
        <v>0</v>
      </c>
      <c r="AD12" s="33"/>
      <c r="AE12" s="30"/>
      <c r="AF12" s="2">
        <f t="shared" si="9"/>
        <v>0</v>
      </c>
      <c r="AG12" s="33"/>
      <c r="AH12" s="30"/>
      <c r="AI12" s="2">
        <f t="shared" si="10"/>
        <v>0</v>
      </c>
      <c r="AJ12" s="33"/>
      <c r="AK12" s="30"/>
      <c r="AL12" s="2">
        <f t="shared" si="11"/>
        <v>0</v>
      </c>
      <c r="AM12" s="33"/>
      <c r="AN12" s="30"/>
      <c r="AO12" s="2">
        <f t="shared" si="12"/>
        <v>0</v>
      </c>
      <c r="AP12" s="33"/>
      <c r="AQ12" s="30"/>
      <c r="AR12" s="2">
        <f t="shared" si="13"/>
        <v>0</v>
      </c>
      <c r="AS12" s="33"/>
      <c r="AT12" s="30"/>
      <c r="AU12" s="2">
        <f t="shared" si="14"/>
        <v>0</v>
      </c>
      <c r="AV12" s="70">
        <f t="shared" si="15"/>
        <v>0</v>
      </c>
      <c r="AW12" s="67">
        <f t="shared" si="15"/>
        <v>0</v>
      </c>
      <c r="AX12" s="51">
        <f t="shared" si="15"/>
        <v>0</v>
      </c>
      <c r="AY12" s="33"/>
      <c r="AZ12" s="30"/>
      <c r="BA12" s="2">
        <f t="shared" si="16"/>
        <v>0</v>
      </c>
      <c r="BB12" s="33"/>
      <c r="BC12" s="30"/>
      <c r="BD12" s="2">
        <f t="shared" si="17"/>
        <v>0</v>
      </c>
      <c r="BE12" s="33"/>
      <c r="BF12" s="30"/>
      <c r="BG12" s="2">
        <f t="shared" si="18"/>
        <v>0</v>
      </c>
      <c r="BH12" s="33"/>
      <c r="BI12" s="30"/>
      <c r="BJ12" s="2">
        <f t="shared" si="19"/>
        <v>0</v>
      </c>
      <c r="BK12" s="33"/>
      <c r="BL12" s="30"/>
      <c r="BM12" s="2">
        <f t="shared" si="20"/>
        <v>0</v>
      </c>
      <c r="BN12" s="33"/>
      <c r="BO12" s="30"/>
      <c r="BP12" s="2">
        <f t="shared" si="21"/>
        <v>0</v>
      </c>
      <c r="BQ12" s="33"/>
      <c r="BR12" s="30"/>
      <c r="BS12" s="2">
        <f t="shared" si="22"/>
        <v>0</v>
      </c>
      <c r="BT12" s="70">
        <f t="shared" si="23"/>
        <v>0</v>
      </c>
      <c r="BU12" s="67">
        <f t="shared" si="23"/>
        <v>0</v>
      </c>
      <c r="BV12" s="51">
        <f t="shared" si="23"/>
        <v>0</v>
      </c>
      <c r="BW12" s="33"/>
      <c r="BX12" s="30"/>
      <c r="BY12" s="2">
        <f t="shared" si="24"/>
        <v>0</v>
      </c>
      <c r="BZ12" s="33"/>
      <c r="CA12" s="30"/>
      <c r="CB12" s="2">
        <f t="shared" si="25"/>
        <v>0</v>
      </c>
      <c r="CC12" s="33"/>
      <c r="CD12" s="30"/>
      <c r="CE12" s="2">
        <f t="shared" si="26"/>
        <v>0</v>
      </c>
      <c r="CF12" s="33"/>
      <c r="CG12" s="30"/>
      <c r="CH12" s="2">
        <f t="shared" si="27"/>
        <v>0</v>
      </c>
      <c r="CI12" s="33"/>
      <c r="CJ12" s="30"/>
      <c r="CK12" s="2">
        <f t="shared" si="28"/>
        <v>0</v>
      </c>
      <c r="CL12" s="33"/>
      <c r="CM12" s="30"/>
      <c r="CN12" s="2">
        <f t="shared" si="29"/>
        <v>0</v>
      </c>
      <c r="CO12" s="33"/>
      <c r="CP12" s="30"/>
      <c r="CQ12" s="2">
        <f t="shared" si="30"/>
        <v>0</v>
      </c>
      <c r="CR12" s="70">
        <f t="shared" si="31"/>
        <v>0</v>
      </c>
      <c r="CS12" s="67">
        <f t="shared" si="31"/>
        <v>0</v>
      </c>
      <c r="CT12" s="51">
        <f t="shared" si="31"/>
        <v>0</v>
      </c>
      <c r="CU12" s="33"/>
      <c r="CV12" s="30"/>
      <c r="CW12" s="2">
        <f t="shared" si="32"/>
        <v>0</v>
      </c>
      <c r="CX12" s="33"/>
      <c r="CY12" s="30"/>
      <c r="CZ12" s="2">
        <f t="shared" si="33"/>
        <v>0</v>
      </c>
      <c r="DA12" s="33"/>
      <c r="DB12" s="30"/>
      <c r="DC12" s="2">
        <f t="shared" si="34"/>
        <v>0</v>
      </c>
      <c r="DD12" s="33"/>
      <c r="DE12" s="30"/>
      <c r="DF12" s="2">
        <f t="shared" si="35"/>
        <v>0</v>
      </c>
      <c r="DG12" s="33"/>
      <c r="DH12" s="30"/>
      <c r="DI12" s="2">
        <f t="shared" si="36"/>
        <v>0</v>
      </c>
      <c r="DJ12" s="33"/>
      <c r="DK12" s="30"/>
      <c r="DL12" s="2">
        <f t="shared" si="37"/>
        <v>0</v>
      </c>
      <c r="DM12" s="33"/>
      <c r="DN12" s="30"/>
      <c r="DO12" s="2">
        <f t="shared" si="38"/>
        <v>0</v>
      </c>
      <c r="DP12" s="70">
        <f t="shared" si="39"/>
        <v>0</v>
      </c>
      <c r="DQ12" s="67">
        <f t="shared" si="39"/>
        <v>0</v>
      </c>
      <c r="DR12" s="51">
        <f t="shared" si="39"/>
        <v>0</v>
      </c>
      <c r="DS12" s="52">
        <f t="shared" si="40"/>
        <v>0</v>
      </c>
      <c r="DT12" s="53">
        <f t="shared" si="41"/>
        <v>0</v>
      </c>
      <c r="DU12" s="54">
        <f t="shared" si="41"/>
        <v>0</v>
      </c>
    </row>
    <row r="13" spans="1:125" s="26" customFormat="1" ht="17.100000000000001" customHeight="1" x14ac:dyDescent="0.2">
      <c r="A13" s="27" t="s">
        <v>31</v>
      </c>
      <c r="B13" s="28">
        <v>5000</v>
      </c>
      <c r="C13" s="29"/>
      <c r="D13" s="30"/>
      <c r="E13" s="2">
        <f t="shared" si="0"/>
        <v>0</v>
      </c>
      <c r="F13" s="29"/>
      <c r="G13" s="30"/>
      <c r="H13" s="2">
        <f t="shared" si="1"/>
        <v>0</v>
      </c>
      <c r="I13" s="29"/>
      <c r="J13" s="30"/>
      <c r="K13" s="2">
        <f t="shared" si="2"/>
        <v>0</v>
      </c>
      <c r="L13" s="31"/>
      <c r="M13" s="30"/>
      <c r="N13" s="2">
        <f t="shared" si="3"/>
        <v>0</v>
      </c>
      <c r="O13" s="31"/>
      <c r="P13" s="30"/>
      <c r="Q13" s="2">
        <f t="shared" si="4"/>
        <v>0</v>
      </c>
      <c r="R13" s="31"/>
      <c r="S13" s="30"/>
      <c r="T13" s="2">
        <f t="shared" si="5"/>
        <v>0</v>
      </c>
      <c r="U13" s="33"/>
      <c r="V13" s="30"/>
      <c r="W13" s="64">
        <f t="shared" si="6"/>
        <v>0</v>
      </c>
      <c r="X13" s="70">
        <f t="shared" si="7"/>
        <v>0</v>
      </c>
      <c r="Y13" s="67">
        <f t="shared" si="7"/>
        <v>0</v>
      </c>
      <c r="Z13" s="73">
        <f t="shared" si="7"/>
        <v>0</v>
      </c>
      <c r="AA13" s="35"/>
      <c r="AB13" s="30"/>
      <c r="AC13" s="2">
        <f t="shared" si="8"/>
        <v>0</v>
      </c>
      <c r="AD13" s="33"/>
      <c r="AE13" s="30"/>
      <c r="AF13" s="2">
        <f t="shared" si="9"/>
        <v>0</v>
      </c>
      <c r="AG13" s="33"/>
      <c r="AH13" s="30"/>
      <c r="AI13" s="2">
        <f t="shared" si="10"/>
        <v>0</v>
      </c>
      <c r="AJ13" s="33"/>
      <c r="AK13" s="30"/>
      <c r="AL13" s="2">
        <f t="shared" si="11"/>
        <v>0</v>
      </c>
      <c r="AM13" s="33"/>
      <c r="AN13" s="30"/>
      <c r="AO13" s="2">
        <f t="shared" si="12"/>
        <v>0</v>
      </c>
      <c r="AP13" s="33"/>
      <c r="AQ13" s="30"/>
      <c r="AR13" s="2">
        <f t="shared" si="13"/>
        <v>0</v>
      </c>
      <c r="AS13" s="33"/>
      <c r="AT13" s="30"/>
      <c r="AU13" s="2">
        <f t="shared" si="14"/>
        <v>0</v>
      </c>
      <c r="AV13" s="70">
        <f t="shared" si="15"/>
        <v>0</v>
      </c>
      <c r="AW13" s="67">
        <f t="shared" si="15"/>
        <v>0</v>
      </c>
      <c r="AX13" s="51">
        <f t="shared" si="15"/>
        <v>0</v>
      </c>
      <c r="AY13" s="33"/>
      <c r="AZ13" s="30"/>
      <c r="BA13" s="2">
        <f t="shared" si="16"/>
        <v>0</v>
      </c>
      <c r="BB13" s="33"/>
      <c r="BC13" s="30"/>
      <c r="BD13" s="2">
        <f t="shared" si="17"/>
        <v>0</v>
      </c>
      <c r="BE13" s="33"/>
      <c r="BF13" s="30"/>
      <c r="BG13" s="2">
        <f t="shared" si="18"/>
        <v>0</v>
      </c>
      <c r="BH13" s="33"/>
      <c r="BI13" s="30"/>
      <c r="BJ13" s="2">
        <f t="shared" si="19"/>
        <v>0</v>
      </c>
      <c r="BK13" s="33"/>
      <c r="BL13" s="30"/>
      <c r="BM13" s="2">
        <f t="shared" si="20"/>
        <v>0</v>
      </c>
      <c r="BN13" s="33"/>
      <c r="BO13" s="30"/>
      <c r="BP13" s="2">
        <f t="shared" si="21"/>
        <v>0</v>
      </c>
      <c r="BQ13" s="33"/>
      <c r="BR13" s="30"/>
      <c r="BS13" s="2">
        <f t="shared" si="22"/>
        <v>0</v>
      </c>
      <c r="BT13" s="70">
        <f t="shared" si="23"/>
        <v>0</v>
      </c>
      <c r="BU13" s="67">
        <f t="shared" si="23"/>
        <v>0</v>
      </c>
      <c r="BV13" s="51">
        <f t="shared" si="23"/>
        <v>0</v>
      </c>
      <c r="BW13" s="33"/>
      <c r="BX13" s="30"/>
      <c r="BY13" s="2">
        <f t="shared" si="24"/>
        <v>0</v>
      </c>
      <c r="BZ13" s="33"/>
      <c r="CA13" s="30"/>
      <c r="CB13" s="2">
        <f t="shared" si="25"/>
        <v>0</v>
      </c>
      <c r="CC13" s="33"/>
      <c r="CD13" s="30"/>
      <c r="CE13" s="2">
        <f t="shared" si="26"/>
        <v>0</v>
      </c>
      <c r="CF13" s="33"/>
      <c r="CG13" s="30"/>
      <c r="CH13" s="2">
        <f t="shared" si="27"/>
        <v>0</v>
      </c>
      <c r="CI13" s="33"/>
      <c r="CJ13" s="30"/>
      <c r="CK13" s="2">
        <f t="shared" si="28"/>
        <v>0</v>
      </c>
      <c r="CL13" s="33"/>
      <c r="CM13" s="30"/>
      <c r="CN13" s="2">
        <f t="shared" si="29"/>
        <v>0</v>
      </c>
      <c r="CO13" s="33"/>
      <c r="CP13" s="30"/>
      <c r="CQ13" s="2">
        <f t="shared" si="30"/>
        <v>0</v>
      </c>
      <c r="CR13" s="70">
        <f t="shared" si="31"/>
        <v>0</v>
      </c>
      <c r="CS13" s="67">
        <f t="shared" si="31"/>
        <v>0</v>
      </c>
      <c r="CT13" s="51">
        <f t="shared" si="31"/>
        <v>0</v>
      </c>
      <c r="CU13" s="33"/>
      <c r="CV13" s="30"/>
      <c r="CW13" s="2">
        <f t="shared" si="32"/>
        <v>0</v>
      </c>
      <c r="CX13" s="33"/>
      <c r="CY13" s="30"/>
      <c r="CZ13" s="2">
        <f t="shared" si="33"/>
        <v>0</v>
      </c>
      <c r="DA13" s="33"/>
      <c r="DB13" s="30"/>
      <c r="DC13" s="2">
        <f t="shared" si="34"/>
        <v>0</v>
      </c>
      <c r="DD13" s="33"/>
      <c r="DE13" s="30"/>
      <c r="DF13" s="2">
        <f t="shared" si="35"/>
        <v>0</v>
      </c>
      <c r="DG13" s="33"/>
      <c r="DH13" s="30"/>
      <c r="DI13" s="2">
        <f t="shared" si="36"/>
        <v>0</v>
      </c>
      <c r="DJ13" s="33"/>
      <c r="DK13" s="30"/>
      <c r="DL13" s="2">
        <f t="shared" si="37"/>
        <v>0</v>
      </c>
      <c r="DM13" s="33"/>
      <c r="DN13" s="30"/>
      <c r="DO13" s="2">
        <f t="shared" si="38"/>
        <v>0</v>
      </c>
      <c r="DP13" s="70">
        <f t="shared" si="39"/>
        <v>0</v>
      </c>
      <c r="DQ13" s="67">
        <f t="shared" si="39"/>
        <v>0</v>
      </c>
      <c r="DR13" s="51">
        <f t="shared" si="39"/>
        <v>0</v>
      </c>
      <c r="DS13" s="52">
        <f t="shared" si="40"/>
        <v>0</v>
      </c>
      <c r="DT13" s="53">
        <f t="shared" si="41"/>
        <v>0</v>
      </c>
      <c r="DU13" s="54">
        <f t="shared" si="41"/>
        <v>0</v>
      </c>
    </row>
    <row r="14" spans="1:125" s="26" customFormat="1" ht="17.100000000000001" customHeight="1" x14ac:dyDescent="0.2">
      <c r="A14" s="27" t="s">
        <v>32</v>
      </c>
      <c r="B14" s="28">
        <v>5000</v>
      </c>
      <c r="C14" s="29"/>
      <c r="D14" s="30"/>
      <c r="E14" s="2">
        <f t="shared" si="0"/>
        <v>0</v>
      </c>
      <c r="F14" s="29">
        <v>20000</v>
      </c>
      <c r="G14" s="30"/>
      <c r="H14" s="2">
        <f t="shared" si="1"/>
        <v>0</v>
      </c>
      <c r="I14" s="29"/>
      <c r="J14" s="30"/>
      <c r="K14" s="2">
        <f t="shared" si="2"/>
        <v>0</v>
      </c>
      <c r="L14" s="31"/>
      <c r="M14" s="30"/>
      <c r="N14" s="2">
        <f t="shared" si="3"/>
        <v>0</v>
      </c>
      <c r="O14" s="31"/>
      <c r="P14" s="30"/>
      <c r="Q14" s="2">
        <f t="shared" si="4"/>
        <v>0</v>
      </c>
      <c r="R14" s="31"/>
      <c r="S14" s="30"/>
      <c r="T14" s="2">
        <f t="shared" si="5"/>
        <v>0</v>
      </c>
      <c r="U14" s="33"/>
      <c r="V14" s="30"/>
      <c r="W14" s="64">
        <f t="shared" si="6"/>
        <v>0</v>
      </c>
      <c r="X14" s="70">
        <f t="shared" si="7"/>
        <v>20000</v>
      </c>
      <c r="Y14" s="67">
        <f t="shared" si="7"/>
        <v>0</v>
      </c>
      <c r="Z14" s="73">
        <f t="shared" si="7"/>
        <v>0</v>
      </c>
      <c r="AA14" s="35"/>
      <c r="AB14" s="30"/>
      <c r="AC14" s="2">
        <f t="shared" si="8"/>
        <v>0</v>
      </c>
      <c r="AD14" s="33"/>
      <c r="AE14" s="30"/>
      <c r="AF14" s="2">
        <f t="shared" si="9"/>
        <v>0</v>
      </c>
      <c r="AG14" s="33"/>
      <c r="AH14" s="30"/>
      <c r="AI14" s="2">
        <f t="shared" si="10"/>
        <v>0</v>
      </c>
      <c r="AJ14" s="33"/>
      <c r="AK14" s="30"/>
      <c r="AL14" s="2">
        <f t="shared" si="11"/>
        <v>0</v>
      </c>
      <c r="AM14" s="33"/>
      <c r="AN14" s="30"/>
      <c r="AO14" s="2">
        <f t="shared" si="12"/>
        <v>0</v>
      </c>
      <c r="AP14" s="33"/>
      <c r="AQ14" s="30"/>
      <c r="AR14" s="2">
        <f t="shared" si="13"/>
        <v>0</v>
      </c>
      <c r="AS14" s="33"/>
      <c r="AT14" s="30"/>
      <c r="AU14" s="2">
        <f t="shared" si="14"/>
        <v>0</v>
      </c>
      <c r="AV14" s="70">
        <f t="shared" si="15"/>
        <v>0</v>
      </c>
      <c r="AW14" s="67">
        <f t="shared" si="15"/>
        <v>0</v>
      </c>
      <c r="AX14" s="51">
        <f t="shared" si="15"/>
        <v>0</v>
      </c>
      <c r="AY14" s="33"/>
      <c r="AZ14" s="30"/>
      <c r="BA14" s="2">
        <f t="shared" si="16"/>
        <v>0</v>
      </c>
      <c r="BB14" s="33"/>
      <c r="BC14" s="30"/>
      <c r="BD14" s="2">
        <f t="shared" si="17"/>
        <v>0</v>
      </c>
      <c r="BE14" s="33"/>
      <c r="BF14" s="30"/>
      <c r="BG14" s="2">
        <f t="shared" si="18"/>
        <v>0</v>
      </c>
      <c r="BH14" s="33"/>
      <c r="BI14" s="30"/>
      <c r="BJ14" s="2">
        <f t="shared" si="19"/>
        <v>0</v>
      </c>
      <c r="BK14" s="33"/>
      <c r="BL14" s="30"/>
      <c r="BM14" s="2">
        <f t="shared" si="20"/>
        <v>0</v>
      </c>
      <c r="BN14" s="33"/>
      <c r="BO14" s="30"/>
      <c r="BP14" s="2">
        <f t="shared" si="21"/>
        <v>0</v>
      </c>
      <c r="BQ14" s="33"/>
      <c r="BR14" s="30"/>
      <c r="BS14" s="2">
        <f t="shared" si="22"/>
        <v>0</v>
      </c>
      <c r="BT14" s="70">
        <f t="shared" si="23"/>
        <v>0</v>
      </c>
      <c r="BU14" s="67">
        <f t="shared" si="23"/>
        <v>0</v>
      </c>
      <c r="BV14" s="51">
        <f t="shared" si="23"/>
        <v>0</v>
      </c>
      <c r="BW14" s="33"/>
      <c r="BX14" s="30"/>
      <c r="BY14" s="2">
        <f t="shared" si="24"/>
        <v>0</v>
      </c>
      <c r="BZ14" s="33"/>
      <c r="CA14" s="30"/>
      <c r="CB14" s="2">
        <f t="shared" si="25"/>
        <v>0</v>
      </c>
      <c r="CC14" s="33"/>
      <c r="CD14" s="30">
        <v>1</v>
      </c>
      <c r="CE14" s="2">
        <f t="shared" si="26"/>
        <v>5000</v>
      </c>
      <c r="CF14" s="33"/>
      <c r="CG14" s="30"/>
      <c r="CH14" s="2">
        <f t="shared" si="27"/>
        <v>0</v>
      </c>
      <c r="CI14" s="33"/>
      <c r="CJ14" s="30"/>
      <c r="CK14" s="2">
        <f t="shared" si="28"/>
        <v>0</v>
      </c>
      <c r="CL14" s="33"/>
      <c r="CM14" s="30"/>
      <c r="CN14" s="2">
        <f t="shared" si="29"/>
        <v>0</v>
      </c>
      <c r="CO14" s="33"/>
      <c r="CP14" s="30"/>
      <c r="CQ14" s="2">
        <f t="shared" si="30"/>
        <v>0</v>
      </c>
      <c r="CR14" s="70">
        <f t="shared" si="31"/>
        <v>0</v>
      </c>
      <c r="CS14" s="67">
        <f t="shared" si="31"/>
        <v>1</v>
      </c>
      <c r="CT14" s="51">
        <f t="shared" si="31"/>
        <v>5000</v>
      </c>
      <c r="CU14" s="33"/>
      <c r="CV14" s="30"/>
      <c r="CW14" s="2">
        <f t="shared" si="32"/>
        <v>0</v>
      </c>
      <c r="CX14" s="33"/>
      <c r="CY14" s="30"/>
      <c r="CZ14" s="2">
        <f t="shared" si="33"/>
        <v>0</v>
      </c>
      <c r="DA14" s="33"/>
      <c r="DB14" s="30"/>
      <c r="DC14" s="2">
        <f t="shared" si="34"/>
        <v>0</v>
      </c>
      <c r="DD14" s="33"/>
      <c r="DE14" s="30"/>
      <c r="DF14" s="2">
        <f t="shared" si="35"/>
        <v>0</v>
      </c>
      <c r="DG14" s="33"/>
      <c r="DH14" s="30"/>
      <c r="DI14" s="2">
        <f t="shared" si="36"/>
        <v>0</v>
      </c>
      <c r="DJ14" s="33"/>
      <c r="DK14" s="30"/>
      <c r="DL14" s="2">
        <f t="shared" si="37"/>
        <v>0</v>
      </c>
      <c r="DM14" s="33"/>
      <c r="DN14" s="30"/>
      <c r="DO14" s="2">
        <f t="shared" si="38"/>
        <v>0</v>
      </c>
      <c r="DP14" s="70">
        <f t="shared" si="39"/>
        <v>0</v>
      </c>
      <c r="DQ14" s="67">
        <f t="shared" si="39"/>
        <v>0</v>
      </c>
      <c r="DR14" s="51">
        <f t="shared" si="39"/>
        <v>0</v>
      </c>
      <c r="DS14" s="52">
        <f t="shared" si="40"/>
        <v>20000</v>
      </c>
      <c r="DT14" s="53">
        <f t="shared" si="41"/>
        <v>1</v>
      </c>
      <c r="DU14" s="54">
        <f t="shared" si="41"/>
        <v>5000</v>
      </c>
    </row>
    <row r="15" spans="1:125" s="26" customFormat="1" ht="17.100000000000001" customHeight="1" x14ac:dyDescent="0.2">
      <c r="A15" s="27" t="s">
        <v>36</v>
      </c>
      <c r="B15" s="28">
        <v>5500</v>
      </c>
      <c r="C15" s="29"/>
      <c r="D15" s="30"/>
      <c r="E15" s="2">
        <f t="shared" si="0"/>
        <v>0</v>
      </c>
      <c r="F15" s="29"/>
      <c r="G15" s="30"/>
      <c r="H15" s="2">
        <f t="shared" si="1"/>
        <v>0</v>
      </c>
      <c r="I15" s="29"/>
      <c r="J15" s="30"/>
      <c r="K15" s="2">
        <f t="shared" si="2"/>
        <v>0</v>
      </c>
      <c r="L15" s="31"/>
      <c r="M15" s="30"/>
      <c r="N15" s="2">
        <f t="shared" si="3"/>
        <v>0</v>
      </c>
      <c r="O15" s="31"/>
      <c r="P15" s="30"/>
      <c r="Q15" s="2">
        <f t="shared" si="4"/>
        <v>0</v>
      </c>
      <c r="R15" s="31"/>
      <c r="S15" s="30"/>
      <c r="T15" s="2">
        <f t="shared" si="5"/>
        <v>0</v>
      </c>
      <c r="U15" s="33"/>
      <c r="V15" s="30"/>
      <c r="W15" s="64">
        <f t="shared" si="6"/>
        <v>0</v>
      </c>
      <c r="X15" s="70">
        <f t="shared" si="7"/>
        <v>0</v>
      </c>
      <c r="Y15" s="67">
        <f t="shared" si="7"/>
        <v>0</v>
      </c>
      <c r="Z15" s="73">
        <f t="shared" si="7"/>
        <v>0</v>
      </c>
      <c r="AA15" s="35"/>
      <c r="AB15" s="30"/>
      <c r="AC15" s="2">
        <f t="shared" si="8"/>
        <v>0</v>
      </c>
      <c r="AD15" s="33"/>
      <c r="AE15" s="30"/>
      <c r="AF15" s="2">
        <f t="shared" si="9"/>
        <v>0</v>
      </c>
      <c r="AG15" s="33"/>
      <c r="AH15" s="30"/>
      <c r="AI15" s="2">
        <f t="shared" si="10"/>
        <v>0</v>
      </c>
      <c r="AJ15" s="33"/>
      <c r="AK15" s="30"/>
      <c r="AL15" s="2">
        <f t="shared" si="11"/>
        <v>0</v>
      </c>
      <c r="AM15" s="33"/>
      <c r="AN15" s="30"/>
      <c r="AO15" s="2">
        <f t="shared" si="12"/>
        <v>0</v>
      </c>
      <c r="AP15" s="33"/>
      <c r="AQ15" s="30"/>
      <c r="AR15" s="2">
        <f t="shared" si="13"/>
        <v>0</v>
      </c>
      <c r="AS15" s="33"/>
      <c r="AT15" s="30"/>
      <c r="AU15" s="2">
        <f t="shared" si="14"/>
        <v>0</v>
      </c>
      <c r="AV15" s="70">
        <f t="shared" si="15"/>
        <v>0</v>
      </c>
      <c r="AW15" s="67">
        <f t="shared" si="15"/>
        <v>0</v>
      </c>
      <c r="AX15" s="51">
        <f t="shared" si="15"/>
        <v>0</v>
      </c>
      <c r="AY15" s="33"/>
      <c r="AZ15" s="30"/>
      <c r="BA15" s="2">
        <f t="shared" si="16"/>
        <v>0</v>
      </c>
      <c r="BB15" s="33"/>
      <c r="BC15" s="30"/>
      <c r="BD15" s="2">
        <f t="shared" si="17"/>
        <v>0</v>
      </c>
      <c r="BE15" s="33"/>
      <c r="BF15" s="30"/>
      <c r="BG15" s="2">
        <f t="shared" si="18"/>
        <v>0</v>
      </c>
      <c r="BH15" s="33"/>
      <c r="BI15" s="30"/>
      <c r="BJ15" s="2">
        <f t="shared" si="19"/>
        <v>0</v>
      </c>
      <c r="BK15" s="33"/>
      <c r="BL15" s="30"/>
      <c r="BM15" s="2">
        <f t="shared" si="20"/>
        <v>0</v>
      </c>
      <c r="BN15" s="33"/>
      <c r="BO15" s="30"/>
      <c r="BP15" s="2">
        <f t="shared" si="21"/>
        <v>0</v>
      </c>
      <c r="BQ15" s="33"/>
      <c r="BR15" s="30"/>
      <c r="BS15" s="2">
        <f t="shared" si="22"/>
        <v>0</v>
      </c>
      <c r="BT15" s="70">
        <f t="shared" si="23"/>
        <v>0</v>
      </c>
      <c r="BU15" s="67">
        <f t="shared" si="23"/>
        <v>0</v>
      </c>
      <c r="BV15" s="51">
        <f t="shared" si="23"/>
        <v>0</v>
      </c>
      <c r="BW15" s="33"/>
      <c r="BX15" s="30"/>
      <c r="BY15" s="2">
        <f t="shared" si="24"/>
        <v>0</v>
      </c>
      <c r="BZ15" s="33"/>
      <c r="CA15" s="30"/>
      <c r="CB15" s="2">
        <f t="shared" si="25"/>
        <v>0</v>
      </c>
      <c r="CC15" s="33"/>
      <c r="CD15" s="30">
        <v>1</v>
      </c>
      <c r="CE15" s="2">
        <f t="shared" si="26"/>
        <v>5500</v>
      </c>
      <c r="CF15" s="33"/>
      <c r="CG15" s="30"/>
      <c r="CH15" s="2">
        <f t="shared" si="27"/>
        <v>0</v>
      </c>
      <c r="CI15" s="33"/>
      <c r="CJ15" s="30"/>
      <c r="CK15" s="2">
        <f t="shared" si="28"/>
        <v>0</v>
      </c>
      <c r="CL15" s="33"/>
      <c r="CM15" s="30"/>
      <c r="CN15" s="2">
        <f t="shared" si="29"/>
        <v>0</v>
      </c>
      <c r="CO15" s="33"/>
      <c r="CP15" s="30"/>
      <c r="CQ15" s="2">
        <f t="shared" si="30"/>
        <v>0</v>
      </c>
      <c r="CR15" s="70">
        <f t="shared" si="31"/>
        <v>0</v>
      </c>
      <c r="CS15" s="67">
        <f t="shared" si="31"/>
        <v>1</v>
      </c>
      <c r="CT15" s="51">
        <f t="shared" si="31"/>
        <v>5500</v>
      </c>
      <c r="CU15" s="33"/>
      <c r="CV15" s="30"/>
      <c r="CW15" s="2">
        <f t="shared" si="32"/>
        <v>0</v>
      </c>
      <c r="CX15" s="33"/>
      <c r="CY15" s="30"/>
      <c r="CZ15" s="2">
        <f t="shared" si="33"/>
        <v>0</v>
      </c>
      <c r="DA15" s="33"/>
      <c r="DB15" s="30"/>
      <c r="DC15" s="2">
        <f t="shared" si="34"/>
        <v>0</v>
      </c>
      <c r="DD15" s="33"/>
      <c r="DE15" s="30"/>
      <c r="DF15" s="2">
        <f t="shared" si="35"/>
        <v>0</v>
      </c>
      <c r="DG15" s="33"/>
      <c r="DH15" s="30"/>
      <c r="DI15" s="2">
        <f t="shared" si="36"/>
        <v>0</v>
      </c>
      <c r="DJ15" s="33"/>
      <c r="DK15" s="30"/>
      <c r="DL15" s="2">
        <f t="shared" si="37"/>
        <v>0</v>
      </c>
      <c r="DM15" s="33"/>
      <c r="DN15" s="30"/>
      <c r="DO15" s="2">
        <f t="shared" si="38"/>
        <v>0</v>
      </c>
      <c r="DP15" s="70">
        <f t="shared" si="39"/>
        <v>0</v>
      </c>
      <c r="DQ15" s="67">
        <f t="shared" si="39"/>
        <v>0</v>
      </c>
      <c r="DR15" s="51">
        <f t="shared" si="39"/>
        <v>0</v>
      </c>
      <c r="DS15" s="52">
        <f t="shared" si="40"/>
        <v>0</v>
      </c>
      <c r="DT15" s="53">
        <f t="shared" si="41"/>
        <v>1</v>
      </c>
      <c r="DU15" s="54">
        <f t="shared" si="41"/>
        <v>5500</v>
      </c>
    </row>
    <row r="16" spans="1:125" s="26" customFormat="1" ht="17.100000000000001" customHeight="1" x14ac:dyDescent="0.2">
      <c r="A16" s="27" t="s">
        <v>33</v>
      </c>
      <c r="B16" s="28">
        <v>5000</v>
      </c>
      <c r="C16" s="29"/>
      <c r="D16" s="30"/>
      <c r="E16" s="2">
        <f t="shared" si="0"/>
        <v>0</v>
      </c>
      <c r="F16" s="29"/>
      <c r="G16" s="30"/>
      <c r="H16" s="2">
        <f t="shared" si="1"/>
        <v>0</v>
      </c>
      <c r="I16" s="29"/>
      <c r="J16" s="30"/>
      <c r="K16" s="2">
        <f t="shared" si="2"/>
        <v>0</v>
      </c>
      <c r="L16" s="31"/>
      <c r="M16" s="30"/>
      <c r="N16" s="2">
        <f t="shared" si="3"/>
        <v>0</v>
      </c>
      <c r="O16" s="31"/>
      <c r="P16" s="30"/>
      <c r="Q16" s="2">
        <f t="shared" si="4"/>
        <v>0</v>
      </c>
      <c r="R16" s="31"/>
      <c r="S16" s="30"/>
      <c r="T16" s="2">
        <f t="shared" si="5"/>
        <v>0</v>
      </c>
      <c r="U16" s="33"/>
      <c r="V16" s="30"/>
      <c r="W16" s="64">
        <f t="shared" si="6"/>
        <v>0</v>
      </c>
      <c r="X16" s="70">
        <f t="shared" si="7"/>
        <v>0</v>
      </c>
      <c r="Y16" s="67">
        <f t="shared" si="7"/>
        <v>0</v>
      </c>
      <c r="Z16" s="73">
        <f t="shared" si="7"/>
        <v>0</v>
      </c>
      <c r="AA16" s="35"/>
      <c r="AB16" s="30"/>
      <c r="AC16" s="2">
        <f t="shared" si="8"/>
        <v>0</v>
      </c>
      <c r="AD16" s="33"/>
      <c r="AE16" s="30"/>
      <c r="AF16" s="2">
        <f t="shared" si="9"/>
        <v>0</v>
      </c>
      <c r="AG16" s="33"/>
      <c r="AH16" s="30"/>
      <c r="AI16" s="2">
        <f t="shared" si="10"/>
        <v>0</v>
      </c>
      <c r="AJ16" s="33"/>
      <c r="AK16" s="30"/>
      <c r="AL16" s="2">
        <f t="shared" si="11"/>
        <v>0</v>
      </c>
      <c r="AM16" s="33"/>
      <c r="AN16" s="30"/>
      <c r="AO16" s="2">
        <f t="shared" si="12"/>
        <v>0</v>
      </c>
      <c r="AP16" s="33"/>
      <c r="AQ16" s="30"/>
      <c r="AR16" s="2">
        <f t="shared" si="13"/>
        <v>0</v>
      </c>
      <c r="AS16" s="33"/>
      <c r="AT16" s="30"/>
      <c r="AU16" s="2">
        <f t="shared" si="14"/>
        <v>0</v>
      </c>
      <c r="AV16" s="70">
        <f t="shared" si="15"/>
        <v>0</v>
      </c>
      <c r="AW16" s="67">
        <f t="shared" si="15"/>
        <v>0</v>
      </c>
      <c r="AX16" s="51">
        <f t="shared" si="15"/>
        <v>0</v>
      </c>
      <c r="AY16" s="33"/>
      <c r="AZ16" s="30"/>
      <c r="BA16" s="2">
        <f t="shared" si="16"/>
        <v>0</v>
      </c>
      <c r="BB16" s="33"/>
      <c r="BC16" s="30"/>
      <c r="BD16" s="2">
        <f t="shared" si="17"/>
        <v>0</v>
      </c>
      <c r="BE16" s="33"/>
      <c r="BF16" s="30"/>
      <c r="BG16" s="2">
        <f t="shared" si="18"/>
        <v>0</v>
      </c>
      <c r="BH16" s="33"/>
      <c r="BI16" s="30"/>
      <c r="BJ16" s="2">
        <f t="shared" si="19"/>
        <v>0</v>
      </c>
      <c r="BK16" s="33"/>
      <c r="BL16" s="30"/>
      <c r="BM16" s="2">
        <f t="shared" si="20"/>
        <v>0</v>
      </c>
      <c r="BN16" s="33"/>
      <c r="BO16" s="30"/>
      <c r="BP16" s="2">
        <f t="shared" si="21"/>
        <v>0</v>
      </c>
      <c r="BQ16" s="33"/>
      <c r="BR16" s="30"/>
      <c r="BS16" s="2">
        <f t="shared" si="22"/>
        <v>0</v>
      </c>
      <c r="BT16" s="70">
        <f t="shared" si="23"/>
        <v>0</v>
      </c>
      <c r="BU16" s="67">
        <f t="shared" si="23"/>
        <v>0</v>
      </c>
      <c r="BV16" s="51">
        <f t="shared" si="23"/>
        <v>0</v>
      </c>
      <c r="BW16" s="33"/>
      <c r="BX16" s="30"/>
      <c r="BY16" s="2">
        <f t="shared" si="24"/>
        <v>0</v>
      </c>
      <c r="BZ16" s="33"/>
      <c r="CA16" s="30"/>
      <c r="CB16" s="2">
        <f t="shared" si="25"/>
        <v>0</v>
      </c>
      <c r="CC16" s="33"/>
      <c r="CD16" s="30">
        <v>1</v>
      </c>
      <c r="CE16" s="2">
        <f t="shared" si="26"/>
        <v>5000</v>
      </c>
      <c r="CF16" s="33"/>
      <c r="CG16" s="30"/>
      <c r="CH16" s="2">
        <f t="shared" si="27"/>
        <v>0</v>
      </c>
      <c r="CI16" s="33"/>
      <c r="CJ16" s="30"/>
      <c r="CK16" s="2">
        <f t="shared" si="28"/>
        <v>0</v>
      </c>
      <c r="CL16" s="33"/>
      <c r="CM16" s="30"/>
      <c r="CN16" s="2">
        <f t="shared" si="29"/>
        <v>0</v>
      </c>
      <c r="CO16" s="33"/>
      <c r="CP16" s="30"/>
      <c r="CQ16" s="2">
        <f t="shared" si="30"/>
        <v>0</v>
      </c>
      <c r="CR16" s="70">
        <f t="shared" si="31"/>
        <v>0</v>
      </c>
      <c r="CS16" s="67">
        <f t="shared" si="31"/>
        <v>1</v>
      </c>
      <c r="CT16" s="51">
        <f t="shared" si="31"/>
        <v>5000</v>
      </c>
      <c r="CU16" s="33"/>
      <c r="CV16" s="30"/>
      <c r="CW16" s="2">
        <f t="shared" si="32"/>
        <v>0</v>
      </c>
      <c r="CX16" s="33"/>
      <c r="CY16" s="30"/>
      <c r="CZ16" s="2">
        <f t="shared" si="33"/>
        <v>0</v>
      </c>
      <c r="DA16" s="33"/>
      <c r="DB16" s="30"/>
      <c r="DC16" s="2">
        <f t="shared" si="34"/>
        <v>0</v>
      </c>
      <c r="DD16" s="33"/>
      <c r="DE16" s="30"/>
      <c r="DF16" s="2">
        <f t="shared" si="35"/>
        <v>0</v>
      </c>
      <c r="DG16" s="33"/>
      <c r="DH16" s="30"/>
      <c r="DI16" s="2">
        <f t="shared" si="36"/>
        <v>0</v>
      </c>
      <c r="DJ16" s="33"/>
      <c r="DK16" s="30"/>
      <c r="DL16" s="2">
        <f t="shared" si="37"/>
        <v>0</v>
      </c>
      <c r="DM16" s="33"/>
      <c r="DN16" s="30"/>
      <c r="DO16" s="2">
        <f t="shared" si="38"/>
        <v>0</v>
      </c>
      <c r="DP16" s="70">
        <f t="shared" si="39"/>
        <v>0</v>
      </c>
      <c r="DQ16" s="67">
        <f t="shared" si="39"/>
        <v>0</v>
      </c>
      <c r="DR16" s="51">
        <f t="shared" si="39"/>
        <v>0</v>
      </c>
      <c r="DS16" s="52">
        <f t="shared" si="40"/>
        <v>0</v>
      </c>
      <c r="DT16" s="53">
        <f t="shared" si="41"/>
        <v>1</v>
      </c>
      <c r="DU16" s="54">
        <f t="shared" si="41"/>
        <v>5000</v>
      </c>
    </row>
    <row r="17" spans="1:125" s="26" customFormat="1" ht="17.100000000000001" customHeight="1" x14ac:dyDescent="0.2">
      <c r="A17" s="27" t="s">
        <v>39</v>
      </c>
      <c r="B17" s="28">
        <v>5000</v>
      </c>
      <c r="C17" s="29"/>
      <c r="D17" s="30"/>
      <c r="E17" s="2">
        <f t="shared" si="0"/>
        <v>0</v>
      </c>
      <c r="F17" s="29">
        <v>1000</v>
      </c>
      <c r="G17" s="30"/>
      <c r="H17" s="2">
        <f t="shared" si="1"/>
        <v>0</v>
      </c>
      <c r="I17" s="29">
        <v>3000</v>
      </c>
      <c r="J17" s="30"/>
      <c r="K17" s="2">
        <f t="shared" si="2"/>
        <v>0</v>
      </c>
      <c r="L17" s="31">
        <v>5000</v>
      </c>
      <c r="M17" s="30"/>
      <c r="N17" s="2">
        <f t="shared" si="3"/>
        <v>0</v>
      </c>
      <c r="O17" s="31"/>
      <c r="P17" s="30"/>
      <c r="Q17" s="2">
        <f t="shared" si="4"/>
        <v>0</v>
      </c>
      <c r="R17" s="31"/>
      <c r="S17" s="30"/>
      <c r="T17" s="2">
        <f t="shared" si="5"/>
        <v>0</v>
      </c>
      <c r="U17" s="33"/>
      <c r="V17" s="30"/>
      <c r="W17" s="64">
        <f t="shared" si="6"/>
        <v>0</v>
      </c>
      <c r="X17" s="70">
        <f t="shared" si="7"/>
        <v>9000</v>
      </c>
      <c r="Y17" s="67">
        <f t="shared" si="7"/>
        <v>0</v>
      </c>
      <c r="Z17" s="73">
        <f t="shared" si="7"/>
        <v>0</v>
      </c>
      <c r="AA17" s="35"/>
      <c r="AB17" s="30"/>
      <c r="AC17" s="2">
        <f t="shared" si="8"/>
        <v>0</v>
      </c>
      <c r="AD17" s="33"/>
      <c r="AE17" s="30"/>
      <c r="AF17" s="2">
        <f t="shared" si="9"/>
        <v>0</v>
      </c>
      <c r="AG17" s="33"/>
      <c r="AH17" s="30"/>
      <c r="AI17" s="2">
        <f t="shared" si="10"/>
        <v>0</v>
      </c>
      <c r="AJ17" s="33"/>
      <c r="AK17" s="30"/>
      <c r="AL17" s="2">
        <f t="shared" si="11"/>
        <v>0</v>
      </c>
      <c r="AM17" s="33"/>
      <c r="AN17" s="30"/>
      <c r="AO17" s="2">
        <f t="shared" si="12"/>
        <v>0</v>
      </c>
      <c r="AP17" s="33">
        <v>20000</v>
      </c>
      <c r="AQ17" s="30"/>
      <c r="AR17" s="2">
        <f t="shared" si="13"/>
        <v>0</v>
      </c>
      <c r="AS17" s="33">
        <v>30000</v>
      </c>
      <c r="AT17" s="30"/>
      <c r="AU17" s="2">
        <f t="shared" si="14"/>
        <v>0</v>
      </c>
      <c r="AV17" s="70">
        <f t="shared" si="15"/>
        <v>50000</v>
      </c>
      <c r="AW17" s="67">
        <f t="shared" si="15"/>
        <v>0</v>
      </c>
      <c r="AX17" s="51">
        <f t="shared" si="15"/>
        <v>0</v>
      </c>
      <c r="AY17" s="33"/>
      <c r="AZ17" s="30"/>
      <c r="BA17" s="2">
        <f t="shared" si="16"/>
        <v>0</v>
      </c>
      <c r="BB17" s="33"/>
      <c r="BC17" s="30"/>
      <c r="BD17" s="2">
        <f t="shared" si="17"/>
        <v>0</v>
      </c>
      <c r="BE17" s="33"/>
      <c r="BF17" s="30"/>
      <c r="BG17" s="2">
        <f t="shared" si="18"/>
        <v>0</v>
      </c>
      <c r="BH17" s="33">
        <v>5000</v>
      </c>
      <c r="BI17" s="30"/>
      <c r="BJ17" s="2">
        <f t="shared" si="19"/>
        <v>0</v>
      </c>
      <c r="BK17" s="33">
        <v>6000</v>
      </c>
      <c r="BL17" s="30"/>
      <c r="BM17" s="2">
        <f t="shared" si="20"/>
        <v>0</v>
      </c>
      <c r="BN17" s="33">
        <v>10000</v>
      </c>
      <c r="BO17" s="30"/>
      <c r="BP17" s="2">
        <f t="shared" si="21"/>
        <v>0</v>
      </c>
      <c r="BQ17" s="33"/>
      <c r="BR17" s="30"/>
      <c r="BS17" s="2">
        <f t="shared" si="22"/>
        <v>0</v>
      </c>
      <c r="BT17" s="70">
        <f t="shared" si="23"/>
        <v>21000</v>
      </c>
      <c r="BU17" s="67">
        <f t="shared" si="23"/>
        <v>0</v>
      </c>
      <c r="BV17" s="51">
        <f t="shared" si="23"/>
        <v>0</v>
      </c>
      <c r="BW17" s="33"/>
      <c r="BX17" s="30"/>
      <c r="BY17" s="2">
        <f t="shared" si="24"/>
        <v>0</v>
      </c>
      <c r="BZ17" s="33"/>
      <c r="CA17" s="30"/>
      <c r="CB17" s="2">
        <f t="shared" si="25"/>
        <v>0</v>
      </c>
      <c r="CC17" s="33">
        <v>10000</v>
      </c>
      <c r="CD17" s="30">
        <v>1</v>
      </c>
      <c r="CE17" s="2">
        <f t="shared" si="26"/>
        <v>5000</v>
      </c>
      <c r="CF17" s="33"/>
      <c r="CG17" s="30"/>
      <c r="CH17" s="2">
        <f t="shared" si="27"/>
        <v>0</v>
      </c>
      <c r="CI17" s="33">
        <v>10000</v>
      </c>
      <c r="CJ17" s="30"/>
      <c r="CK17" s="2">
        <f t="shared" si="28"/>
        <v>0</v>
      </c>
      <c r="CL17" s="33"/>
      <c r="CM17" s="30"/>
      <c r="CN17" s="2">
        <f t="shared" si="29"/>
        <v>0</v>
      </c>
      <c r="CO17" s="33"/>
      <c r="CP17" s="30"/>
      <c r="CQ17" s="2">
        <f t="shared" si="30"/>
        <v>0</v>
      </c>
      <c r="CR17" s="70">
        <f t="shared" si="31"/>
        <v>20000</v>
      </c>
      <c r="CS17" s="67">
        <f t="shared" si="31"/>
        <v>1</v>
      </c>
      <c r="CT17" s="51">
        <f t="shared" si="31"/>
        <v>5000</v>
      </c>
      <c r="CU17" s="33"/>
      <c r="CV17" s="30"/>
      <c r="CW17" s="2">
        <f t="shared" si="32"/>
        <v>0</v>
      </c>
      <c r="CX17" s="33">
        <v>5000</v>
      </c>
      <c r="CY17" s="30"/>
      <c r="CZ17" s="2">
        <f t="shared" si="33"/>
        <v>0</v>
      </c>
      <c r="DA17" s="33"/>
      <c r="DB17" s="30"/>
      <c r="DC17" s="2">
        <f t="shared" si="34"/>
        <v>0</v>
      </c>
      <c r="DD17" s="33"/>
      <c r="DE17" s="30"/>
      <c r="DF17" s="2">
        <f t="shared" si="35"/>
        <v>0</v>
      </c>
      <c r="DG17" s="33"/>
      <c r="DH17" s="30"/>
      <c r="DI17" s="2">
        <f t="shared" si="36"/>
        <v>0</v>
      </c>
      <c r="DJ17" s="33"/>
      <c r="DK17" s="30"/>
      <c r="DL17" s="2">
        <f t="shared" si="37"/>
        <v>0</v>
      </c>
      <c r="DM17" s="33"/>
      <c r="DN17" s="30"/>
      <c r="DO17" s="2">
        <f t="shared" si="38"/>
        <v>0</v>
      </c>
      <c r="DP17" s="70">
        <f t="shared" si="39"/>
        <v>5000</v>
      </c>
      <c r="DQ17" s="67">
        <f t="shared" si="39"/>
        <v>0</v>
      </c>
      <c r="DR17" s="51">
        <f t="shared" si="39"/>
        <v>0</v>
      </c>
      <c r="DS17" s="52">
        <v>105000</v>
      </c>
      <c r="DT17" s="53">
        <f t="shared" si="41"/>
        <v>1</v>
      </c>
      <c r="DU17" s="54">
        <f t="shared" si="41"/>
        <v>5000</v>
      </c>
    </row>
    <row r="18" spans="1:125" s="26" customFormat="1" ht="17.100000000000001" customHeight="1" x14ac:dyDescent="0.2">
      <c r="A18" s="27" t="s">
        <v>38</v>
      </c>
      <c r="B18" s="28">
        <v>5000</v>
      </c>
      <c r="C18" s="29"/>
      <c r="D18" s="30"/>
      <c r="E18" s="2">
        <f t="shared" si="0"/>
        <v>0</v>
      </c>
      <c r="F18" s="29"/>
      <c r="G18" s="30"/>
      <c r="H18" s="2">
        <f t="shared" si="1"/>
        <v>0</v>
      </c>
      <c r="I18" s="29"/>
      <c r="J18" s="30"/>
      <c r="K18" s="2">
        <f t="shared" si="2"/>
        <v>0</v>
      </c>
      <c r="L18" s="31"/>
      <c r="M18" s="30"/>
      <c r="N18" s="2">
        <f t="shared" si="3"/>
        <v>0</v>
      </c>
      <c r="O18" s="31"/>
      <c r="P18" s="30"/>
      <c r="Q18" s="2">
        <f t="shared" si="4"/>
        <v>0</v>
      </c>
      <c r="R18" s="31"/>
      <c r="S18" s="30"/>
      <c r="T18" s="2">
        <f t="shared" si="5"/>
        <v>0</v>
      </c>
      <c r="U18" s="33"/>
      <c r="V18" s="30"/>
      <c r="W18" s="64">
        <f t="shared" si="6"/>
        <v>0</v>
      </c>
      <c r="X18" s="70">
        <f t="shared" si="7"/>
        <v>0</v>
      </c>
      <c r="Y18" s="67">
        <f t="shared" si="7"/>
        <v>0</v>
      </c>
      <c r="Z18" s="73">
        <f t="shared" si="7"/>
        <v>0</v>
      </c>
      <c r="AA18" s="35"/>
      <c r="AB18" s="30"/>
      <c r="AC18" s="2">
        <f t="shared" si="8"/>
        <v>0</v>
      </c>
      <c r="AD18" s="33"/>
      <c r="AE18" s="30"/>
      <c r="AF18" s="2">
        <f t="shared" si="9"/>
        <v>0</v>
      </c>
      <c r="AG18" s="33"/>
      <c r="AH18" s="30"/>
      <c r="AI18" s="2">
        <f t="shared" si="10"/>
        <v>0</v>
      </c>
      <c r="AJ18" s="33"/>
      <c r="AK18" s="30"/>
      <c r="AL18" s="2">
        <f t="shared" si="11"/>
        <v>0</v>
      </c>
      <c r="AM18" s="33"/>
      <c r="AN18" s="30"/>
      <c r="AO18" s="2">
        <f t="shared" si="12"/>
        <v>0</v>
      </c>
      <c r="AP18" s="33"/>
      <c r="AQ18" s="30"/>
      <c r="AR18" s="2">
        <f t="shared" si="13"/>
        <v>0</v>
      </c>
      <c r="AS18" s="33"/>
      <c r="AT18" s="30"/>
      <c r="AU18" s="2">
        <f t="shared" si="14"/>
        <v>0</v>
      </c>
      <c r="AV18" s="70">
        <f t="shared" si="15"/>
        <v>0</v>
      </c>
      <c r="AW18" s="67">
        <f t="shared" si="15"/>
        <v>0</v>
      </c>
      <c r="AX18" s="51">
        <f t="shared" si="15"/>
        <v>0</v>
      </c>
      <c r="AY18" s="33"/>
      <c r="AZ18" s="30"/>
      <c r="BA18" s="2">
        <f t="shared" si="16"/>
        <v>0</v>
      </c>
      <c r="BB18" s="33"/>
      <c r="BC18" s="30"/>
      <c r="BD18" s="2">
        <f t="shared" si="17"/>
        <v>0</v>
      </c>
      <c r="BE18" s="33"/>
      <c r="BF18" s="30"/>
      <c r="BG18" s="2">
        <f t="shared" si="18"/>
        <v>0</v>
      </c>
      <c r="BH18" s="33"/>
      <c r="BI18" s="30"/>
      <c r="BJ18" s="2">
        <f t="shared" si="19"/>
        <v>0</v>
      </c>
      <c r="BK18" s="33"/>
      <c r="BL18" s="30"/>
      <c r="BM18" s="2">
        <f t="shared" si="20"/>
        <v>0</v>
      </c>
      <c r="BN18" s="33"/>
      <c r="BO18" s="30"/>
      <c r="BP18" s="2">
        <f t="shared" si="21"/>
        <v>0</v>
      </c>
      <c r="BQ18" s="33"/>
      <c r="BR18" s="30"/>
      <c r="BS18" s="2">
        <f t="shared" si="22"/>
        <v>0</v>
      </c>
      <c r="BT18" s="70">
        <f t="shared" si="23"/>
        <v>0</v>
      </c>
      <c r="BU18" s="67">
        <f t="shared" si="23"/>
        <v>0</v>
      </c>
      <c r="BV18" s="51">
        <f t="shared" si="23"/>
        <v>0</v>
      </c>
      <c r="BW18" s="33"/>
      <c r="BX18" s="30"/>
      <c r="BY18" s="2">
        <f t="shared" si="24"/>
        <v>0</v>
      </c>
      <c r="BZ18" s="33"/>
      <c r="CA18" s="30"/>
      <c r="CB18" s="2">
        <f t="shared" si="25"/>
        <v>0</v>
      </c>
      <c r="CC18" s="33"/>
      <c r="CD18" s="30"/>
      <c r="CE18" s="2">
        <f t="shared" si="26"/>
        <v>0</v>
      </c>
      <c r="CF18" s="33"/>
      <c r="CG18" s="30"/>
      <c r="CH18" s="2">
        <f t="shared" si="27"/>
        <v>0</v>
      </c>
      <c r="CI18" s="33"/>
      <c r="CJ18" s="30"/>
      <c r="CK18" s="2">
        <f t="shared" si="28"/>
        <v>0</v>
      </c>
      <c r="CL18" s="33"/>
      <c r="CM18" s="30"/>
      <c r="CN18" s="2">
        <f t="shared" si="29"/>
        <v>0</v>
      </c>
      <c r="CO18" s="33"/>
      <c r="CP18" s="30"/>
      <c r="CQ18" s="2">
        <f t="shared" si="30"/>
        <v>0</v>
      </c>
      <c r="CR18" s="70">
        <f t="shared" si="31"/>
        <v>0</v>
      </c>
      <c r="CS18" s="67">
        <f t="shared" si="31"/>
        <v>0</v>
      </c>
      <c r="CT18" s="51">
        <f t="shared" si="31"/>
        <v>0</v>
      </c>
      <c r="CU18" s="33"/>
      <c r="CV18" s="30"/>
      <c r="CW18" s="2">
        <f t="shared" si="32"/>
        <v>0</v>
      </c>
      <c r="CX18" s="33"/>
      <c r="CY18" s="30"/>
      <c r="CZ18" s="2">
        <f t="shared" si="33"/>
        <v>0</v>
      </c>
      <c r="DA18" s="33"/>
      <c r="DB18" s="30"/>
      <c r="DC18" s="2">
        <f t="shared" si="34"/>
        <v>0</v>
      </c>
      <c r="DD18" s="33"/>
      <c r="DE18" s="30"/>
      <c r="DF18" s="2">
        <f t="shared" si="35"/>
        <v>0</v>
      </c>
      <c r="DG18" s="33"/>
      <c r="DH18" s="30"/>
      <c r="DI18" s="2">
        <f t="shared" si="36"/>
        <v>0</v>
      </c>
      <c r="DJ18" s="33"/>
      <c r="DK18" s="30"/>
      <c r="DL18" s="2">
        <f t="shared" si="37"/>
        <v>0</v>
      </c>
      <c r="DM18" s="33"/>
      <c r="DN18" s="30"/>
      <c r="DO18" s="2">
        <f t="shared" si="38"/>
        <v>0</v>
      </c>
      <c r="DP18" s="70">
        <f t="shared" si="39"/>
        <v>0</v>
      </c>
      <c r="DQ18" s="67">
        <f t="shared" si="39"/>
        <v>0</v>
      </c>
      <c r="DR18" s="51">
        <f t="shared" si="39"/>
        <v>0</v>
      </c>
      <c r="DS18" s="52">
        <f t="shared" si="40"/>
        <v>0</v>
      </c>
      <c r="DT18" s="53">
        <f t="shared" si="41"/>
        <v>0</v>
      </c>
      <c r="DU18" s="54">
        <f t="shared" si="41"/>
        <v>0</v>
      </c>
    </row>
    <row r="19" spans="1:125" s="26" customFormat="1" ht="17.100000000000001" customHeight="1" x14ac:dyDescent="0.2">
      <c r="A19" s="27" t="s">
        <v>40</v>
      </c>
      <c r="B19" s="28">
        <v>5000</v>
      </c>
      <c r="C19" s="29"/>
      <c r="D19" s="30"/>
      <c r="E19" s="2">
        <f t="shared" si="0"/>
        <v>0</v>
      </c>
      <c r="F19" s="29"/>
      <c r="G19" s="30"/>
      <c r="H19" s="2">
        <f t="shared" si="1"/>
        <v>0</v>
      </c>
      <c r="I19" s="29"/>
      <c r="J19" s="30"/>
      <c r="K19" s="2">
        <f t="shared" si="2"/>
        <v>0</v>
      </c>
      <c r="L19" s="31"/>
      <c r="M19" s="30"/>
      <c r="N19" s="2">
        <f t="shared" si="3"/>
        <v>0</v>
      </c>
      <c r="O19" s="31"/>
      <c r="P19" s="30"/>
      <c r="Q19" s="2">
        <f t="shared" si="4"/>
        <v>0</v>
      </c>
      <c r="R19" s="31"/>
      <c r="S19" s="30"/>
      <c r="T19" s="2">
        <f t="shared" si="5"/>
        <v>0</v>
      </c>
      <c r="U19" s="33"/>
      <c r="V19" s="30"/>
      <c r="W19" s="64">
        <f t="shared" si="6"/>
        <v>0</v>
      </c>
      <c r="X19" s="70">
        <f t="shared" si="7"/>
        <v>0</v>
      </c>
      <c r="Y19" s="67">
        <f t="shared" si="7"/>
        <v>0</v>
      </c>
      <c r="Z19" s="73">
        <f t="shared" si="7"/>
        <v>0</v>
      </c>
      <c r="AA19" s="35"/>
      <c r="AB19" s="30"/>
      <c r="AC19" s="2">
        <f t="shared" si="8"/>
        <v>0</v>
      </c>
      <c r="AD19" s="33"/>
      <c r="AE19" s="30"/>
      <c r="AF19" s="2">
        <f t="shared" si="9"/>
        <v>0</v>
      </c>
      <c r="AG19" s="33"/>
      <c r="AH19" s="30"/>
      <c r="AI19" s="2">
        <f t="shared" si="10"/>
        <v>0</v>
      </c>
      <c r="AJ19" s="33"/>
      <c r="AK19" s="30"/>
      <c r="AL19" s="2">
        <f t="shared" si="11"/>
        <v>0</v>
      </c>
      <c r="AM19" s="33"/>
      <c r="AN19" s="30"/>
      <c r="AO19" s="2">
        <f t="shared" si="12"/>
        <v>0</v>
      </c>
      <c r="AP19" s="33"/>
      <c r="AQ19" s="30"/>
      <c r="AR19" s="2">
        <f t="shared" si="13"/>
        <v>0</v>
      </c>
      <c r="AS19" s="33">
        <v>10000</v>
      </c>
      <c r="AT19" s="30"/>
      <c r="AU19" s="2">
        <f t="shared" si="14"/>
        <v>0</v>
      </c>
      <c r="AV19" s="70">
        <f t="shared" si="15"/>
        <v>10000</v>
      </c>
      <c r="AW19" s="67">
        <f t="shared" si="15"/>
        <v>0</v>
      </c>
      <c r="AX19" s="51">
        <f>AC19+AF19+AI19+AL19+AO19+AR19+AU19</f>
        <v>0</v>
      </c>
      <c r="AY19" s="33"/>
      <c r="AZ19" s="30"/>
      <c r="BA19" s="2">
        <f t="shared" si="16"/>
        <v>0</v>
      </c>
      <c r="BB19" s="33"/>
      <c r="BC19" s="30"/>
      <c r="BD19" s="2">
        <f t="shared" si="17"/>
        <v>0</v>
      </c>
      <c r="BE19" s="33"/>
      <c r="BF19" s="30"/>
      <c r="BG19" s="2">
        <f t="shared" si="18"/>
        <v>0</v>
      </c>
      <c r="BH19" s="33"/>
      <c r="BI19" s="30"/>
      <c r="BJ19" s="2">
        <f t="shared" si="19"/>
        <v>0</v>
      </c>
      <c r="BK19" s="33"/>
      <c r="BL19" s="30"/>
      <c r="BM19" s="2">
        <f t="shared" si="20"/>
        <v>0</v>
      </c>
      <c r="BN19" s="33"/>
      <c r="BO19" s="30"/>
      <c r="BP19" s="2">
        <f t="shared" si="21"/>
        <v>0</v>
      </c>
      <c r="BQ19" s="33"/>
      <c r="BR19" s="30"/>
      <c r="BS19" s="2">
        <f t="shared" si="22"/>
        <v>0</v>
      </c>
      <c r="BT19" s="70">
        <f t="shared" si="23"/>
        <v>0</v>
      </c>
      <c r="BU19" s="67">
        <f t="shared" si="23"/>
        <v>0</v>
      </c>
      <c r="BV19" s="51">
        <f t="shared" si="23"/>
        <v>0</v>
      </c>
      <c r="BW19" s="33"/>
      <c r="BX19" s="30"/>
      <c r="BY19" s="2">
        <f t="shared" si="24"/>
        <v>0</v>
      </c>
      <c r="BZ19" s="33"/>
      <c r="CA19" s="30"/>
      <c r="CB19" s="2">
        <f t="shared" si="25"/>
        <v>0</v>
      </c>
      <c r="CC19" s="33"/>
      <c r="CD19" s="30">
        <v>1</v>
      </c>
      <c r="CE19" s="2">
        <f t="shared" si="26"/>
        <v>5000</v>
      </c>
      <c r="CF19" s="33"/>
      <c r="CG19" s="30"/>
      <c r="CH19" s="2">
        <f t="shared" si="27"/>
        <v>0</v>
      </c>
      <c r="CI19" s="33"/>
      <c r="CJ19" s="30"/>
      <c r="CK19" s="2">
        <f t="shared" si="28"/>
        <v>0</v>
      </c>
      <c r="CL19" s="33">
        <v>4000</v>
      </c>
      <c r="CM19" s="30"/>
      <c r="CN19" s="2">
        <f t="shared" si="29"/>
        <v>0</v>
      </c>
      <c r="CO19" s="33"/>
      <c r="CP19" s="30"/>
      <c r="CQ19" s="2">
        <f t="shared" si="30"/>
        <v>0</v>
      </c>
      <c r="CR19" s="70">
        <f t="shared" si="31"/>
        <v>4000</v>
      </c>
      <c r="CS19" s="67">
        <f t="shared" si="31"/>
        <v>1</v>
      </c>
      <c r="CT19" s="51">
        <f t="shared" si="31"/>
        <v>5000</v>
      </c>
      <c r="CU19" s="33"/>
      <c r="CV19" s="30"/>
      <c r="CW19" s="2">
        <f t="shared" si="32"/>
        <v>0</v>
      </c>
      <c r="CX19" s="33"/>
      <c r="CY19" s="30"/>
      <c r="CZ19" s="2">
        <f t="shared" si="33"/>
        <v>0</v>
      </c>
      <c r="DA19" s="33"/>
      <c r="DB19" s="30"/>
      <c r="DC19" s="2">
        <f t="shared" si="34"/>
        <v>0</v>
      </c>
      <c r="DD19" s="33"/>
      <c r="DE19" s="30"/>
      <c r="DF19" s="2">
        <f t="shared" si="35"/>
        <v>0</v>
      </c>
      <c r="DG19" s="33"/>
      <c r="DH19" s="30"/>
      <c r="DI19" s="2">
        <f t="shared" si="36"/>
        <v>0</v>
      </c>
      <c r="DJ19" s="33"/>
      <c r="DK19" s="30"/>
      <c r="DL19" s="2">
        <f t="shared" si="37"/>
        <v>0</v>
      </c>
      <c r="DM19" s="33"/>
      <c r="DN19" s="30"/>
      <c r="DO19" s="2">
        <f t="shared" si="38"/>
        <v>0</v>
      </c>
      <c r="DP19" s="70">
        <f t="shared" si="39"/>
        <v>0</v>
      </c>
      <c r="DQ19" s="67">
        <f t="shared" si="39"/>
        <v>0</v>
      </c>
      <c r="DR19" s="51">
        <f t="shared" si="39"/>
        <v>0</v>
      </c>
      <c r="DS19" s="52">
        <f t="shared" si="40"/>
        <v>14000</v>
      </c>
      <c r="DT19" s="53">
        <f t="shared" si="41"/>
        <v>1</v>
      </c>
      <c r="DU19" s="54">
        <f>Z19+AX19+BV19+CT19+DR19</f>
        <v>5000</v>
      </c>
    </row>
    <row r="20" spans="1:125" s="26" customFormat="1" ht="17.100000000000001" customHeight="1" x14ac:dyDescent="0.2">
      <c r="A20" s="79" t="s">
        <v>35</v>
      </c>
      <c r="B20" s="80"/>
      <c r="C20" s="81"/>
      <c r="D20" s="82"/>
      <c r="E20" s="83">
        <f t="shared" si="0"/>
        <v>0</v>
      </c>
      <c r="F20" s="81"/>
      <c r="G20" s="82"/>
      <c r="H20" s="83">
        <f t="shared" si="1"/>
        <v>0</v>
      </c>
      <c r="I20" s="81"/>
      <c r="J20" s="82"/>
      <c r="K20" s="83">
        <f t="shared" si="2"/>
        <v>0</v>
      </c>
      <c r="L20" s="84"/>
      <c r="M20" s="82"/>
      <c r="N20" s="83">
        <f t="shared" si="3"/>
        <v>0</v>
      </c>
      <c r="O20" s="84"/>
      <c r="P20" s="82"/>
      <c r="Q20" s="83">
        <f t="shared" si="4"/>
        <v>0</v>
      </c>
      <c r="R20" s="84"/>
      <c r="S20" s="82"/>
      <c r="T20" s="83">
        <f t="shared" si="5"/>
        <v>0</v>
      </c>
      <c r="U20" s="84"/>
      <c r="V20" s="82"/>
      <c r="W20" s="85">
        <f t="shared" si="6"/>
        <v>0</v>
      </c>
      <c r="X20" s="86">
        <f t="shared" si="7"/>
        <v>0</v>
      </c>
      <c r="Y20" s="87">
        <f t="shared" si="7"/>
        <v>0</v>
      </c>
      <c r="Z20" s="88">
        <f t="shared" si="7"/>
        <v>0</v>
      </c>
      <c r="AA20" s="89"/>
      <c r="AB20" s="82"/>
      <c r="AC20" s="83">
        <f t="shared" si="8"/>
        <v>0</v>
      </c>
      <c r="AD20" s="84"/>
      <c r="AE20" s="82"/>
      <c r="AF20" s="83">
        <f t="shared" si="9"/>
        <v>0</v>
      </c>
      <c r="AG20" s="84"/>
      <c r="AH20" s="82"/>
      <c r="AI20" s="83">
        <f t="shared" si="10"/>
        <v>0</v>
      </c>
      <c r="AJ20" s="84"/>
      <c r="AK20" s="82"/>
      <c r="AL20" s="83">
        <f t="shared" si="11"/>
        <v>0</v>
      </c>
      <c r="AM20" s="84"/>
      <c r="AN20" s="82"/>
      <c r="AO20" s="83">
        <f t="shared" si="12"/>
        <v>0</v>
      </c>
      <c r="AP20" s="84"/>
      <c r="AQ20" s="82"/>
      <c r="AR20" s="83">
        <f t="shared" si="13"/>
        <v>0</v>
      </c>
      <c r="AS20" s="84"/>
      <c r="AT20" s="82"/>
      <c r="AU20" s="83">
        <f t="shared" si="14"/>
        <v>0</v>
      </c>
      <c r="AV20" s="86">
        <f t="shared" si="15"/>
        <v>0</v>
      </c>
      <c r="AW20" s="87">
        <f t="shared" si="15"/>
        <v>0</v>
      </c>
      <c r="AX20" s="90">
        <f t="shared" si="15"/>
        <v>0</v>
      </c>
      <c r="AY20" s="84"/>
      <c r="AZ20" s="82"/>
      <c r="BA20" s="83">
        <f t="shared" si="16"/>
        <v>0</v>
      </c>
      <c r="BB20" s="84"/>
      <c r="BC20" s="82"/>
      <c r="BD20" s="83">
        <f t="shared" si="17"/>
        <v>0</v>
      </c>
      <c r="BE20" s="84"/>
      <c r="BF20" s="82"/>
      <c r="BG20" s="83">
        <f t="shared" si="18"/>
        <v>0</v>
      </c>
      <c r="BH20" s="84"/>
      <c r="BI20" s="82"/>
      <c r="BJ20" s="83">
        <f t="shared" si="19"/>
        <v>0</v>
      </c>
      <c r="BK20" s="84"/>
      <c r="BL20" s="82"/>
      <c r="BM20" s="83">
        <f t="shared" si="20"/>
        <v>0</v>
      </c>
      <c r="BN20" s="84"/>
      <c r="BO20" s="82"/>
      <c r="BP20" s="83">
        <f t="shared" si="21"/>
        <v>0</v>
      </c>
      <c r="BQ20" s="84"/>
      <c r="BR20" s="82"/>
      <c r="BS20" s="83">
        <f t="shared" si="22"/>
        <v>0</v>
      </c>
      <c r="BT20" s="86">
        <f t="shared" si="23"/>
        <v>0</v>
      </c>
      <c r="BU20" s="87">
        <f t="shared" si="23"/>
        <v>0</v>
      </c>
      <c r="BV20" s="90">
        <f t="shared" si="23"/>
        <v>0</v>
      </c>
      <c r="BW20" s="84"/>
      <c r="BX20" s="82"/>
      <c r="BY20" s="83">
        <f t="shared" si="24"/>
        <v>0</v>
      </c>
      <c r="BZ20" s="84"/>
      <c r="CA20" s="82"/>
      <c r="CB20" s="83">
        <f t="shared" si="25"/>
        <v>0</v>
      </c>
      <c r="CC20" s="84"/>
      <c r="CD20" s="82"/>
      <c r="CE20" s="83">
        <f t="shared" si="26"/>
        <v>0</v>
      </c>
      <c r="CF20" s="84"/>
      <c r="CG20" s="82"/>
      <c r="CH20" s="83">
        <f t="shared" si="27"/>
        <v>0</v>
      </c>
      <c r="CI20" s="84"/>
      <c r="CJ20" s="82"/>
      <c r="CK20" s="83">
        <f t="shared" si="28"/>
        <v>0</v>
      </c>
      <c r="CL20" s="84"/>
      <c r="CM20" s="82"/>
      <c r="CN20" s="83">
        <f t="shared" si="29"/>
        <v>0</v>
      </c>
      <c r="CO20" s="84"/>
      <c r="CP20" s="82"/>
      <c r="CQ20" s="83">
        <f t="shared" si="30"/>
        <v>0</v>
      </c>
      <c r="CR20" s="86">
        <f t="shared" si="31"/>
        <v>0</v>
      </c>
      <c r="CS20" s="87">
        <f t="shared" si="31"/>
        <v>0</v>
      </c>
      <c r="CT20" s="51">
        <f t="shared" si="31"/>
        <v>0</v>
      </c>
      <c r="CU20" s="84"/>
      <c r="CV20" s="82"/>
      <c r="CW20" s="83">
        <f t="shared" si="32"/>
        <v>0</v>
      </c>
      <c r="CX20" s="84"/>
      <c r="CY20" s="82"/>
      <c r="CZ20" s="83">
        <f t="shared" si="33"/>
        <v>0</v>
      </c>
      <c r="DA20" s="84"/>
      <c r="DB20" s="82"/>
      <c r="DC20" s="83">
        <f t="shared" si="34"/>
        <v>0</v>
      </c>
      <c r="DD20" s="84"/>
      <c r="DE20" s="82"/>
      <c r="DF20" s="83">
        <f t="shared" si="35"/>
        <v>0</v>
      </c>
      <c r="DG20" s="84"/>
      <c r="DH20" s="82"/>
      <c r="DI20" s="83">
        <f t="shared" si="36"/>
        <v>0</v>
      </c>
      <c r="DJ20" s="84"/>
      <c r="DK20" s="82"/>
      <c r="DL20" s="83">
        <f t="shared" si="37"/>
        <v>0</v>
      </c>
      <c r="DM20" s="84"/>
      <c r="DN20" s="82"/>
      <c r="DO20" s="83">
        <f t="shared" si="38"/>
        <v>0</v>
      </c>
      <c r="DP20" s="86">
        <f t="shared" si="39"/>
        <v>0</v>
      </c>
      <c r="DQ20" s="87">
        <f t="shared" si="39"/>
        <v>0</v>
      </c>
      <c r="DR20" s="90">
        <f t="shared" si="39"/>
        <v>0</v>
      </c>
      <c r="DS20" s="91">
        <f t="shared" si="40"/>
        <v>0</v>
      </c>
      <c r="DT20" s="92">
        <f t="shared" si="41"/>
        <v>0</v>
      </c>
      <c r="DU20" s="88">
        <f t="shared" si="41"/>
        <v>0</v>
      </c>
    </row>
    <row r="21" spans="1:125" s="26" customFormat="1" ht="17.100000000000001" customHeight="1" thickBot="1" x14ac:dyDescent="0.25">
      <c r="A21" s="36" t="s">
        <v>34</v>
      </c>
      <c r="B21" s="37">
        <v>4500</v>
      </c>
      <c r="C21" s="38"/>
      <c r="D21" s="39"/>
      <c r="E21" s="3">
        <f t="shared" si="0"/>
        <v>0</v>
      </c>
      <c r="F21" s="106">
        <v>40000</v>
      </c>
      <c r="G21" s="39"/>
      <c r="H21" s="3">
        <f t="shared" si="1"/>
        <v>0</v>
      </c>
      <c r="I21" s="38"/>
      <c r="J21" s="39"/>
      <c r="K21" s="3">
        <f t="shared" si="2"/>
        <v>0</v>
      </c>
      <c r="L21" s="101">
        <v>10000</v>
      </c>
      <c r="M21" s="39"/>
      <c r="N21" s="3">
        <f t="shared" si="3"/>
        <v>0</v>
      </c>
      <c r="O21" s="40"/>
      <c r="P21" s="39"/>
      <c r="Q21" s="3">
        <f t="shared" si="4"/>
        <v>0</v>
      </c>
      <c r="R21" s="101">
        <v>10000</v>
      </c>
      <c r="S21" s="39"/>
      <c r="T21" s="3">
        <f t="shared" si="5"/>
        <v>0</v>
      </c>
      <c r="U21" s="41"/>
      <c r="V21" s="39"/>
      <c r="W21" s="65">
        <f t="shared" si="6"/>
        <v>0</v>
      </c>
      <c r="X21" s="71">
        <f t="shared" si="7"/>
        <v>60000</v>
      </c>
      <c r="Y21" s="68">
        <f t="shared" si="7"/>
        <v>0</v>
      </c>
      <c r="Z21" s="74">
        <f t="shared" si="7"/>
        <v>0</v>
      </c>
      <c r="AA21" s="42"/>
      <c r="AB21" s="39"/>
      <c r="AC21" s="3">
        <f t="shared" si="8"/>
        <v>0</v>
      </c>
      <c r="AD21" s="101">
        <v>40000</v>
      </c>
      <c r="AE21" s="39"/>
      <c r="AF21" s="3">
        <f t="shared" si="9"/>
        <v>0</v>
      </c>
      <c r="AG21" s="41"/>
      <c r="AH21" s="39"/>
      <c r="AI21" s="3">
        <f t="shared" si="10"/>
        <v>0</v>
      </c>
      <c r="AJ21" s="101">
        <v>10000</v>
      </c>
      <c r="AK21" s="39"/>
      <c r="AL21" s="3">
        <f t="shared" si="11"/>
        <v>0</v>
      </c>
      <c r="AM21" s="41"/>
      <c r="AN21" s="39"/>
      <c r="AO21" s="3">
        <f t="shared" si="12"/>
        <v>0</v>
      </c>
      <c r="AP21" s="101">
        <v>10000</v>
      </c>
      <c r="AQ21" s="39"/>
      <c r="AR21" s="3">
        <f t="shared" si="13"/>
        <v>0</v>
      </c>
      <c r="AS21" s="41"/>
      <c r="AT21" s="39"/>
      <c r="AU21" s="3">
        <f t="shared" si="14"/>
        <v>0</v>
      </c>
      <c r="AV21" s="71">
        <f t="shared" si="15"/>
        <v>60000</v>
      </c>
      <c r="AW21" s="68">
        <f t="shared" si="15"/>
        <v>0</v>
      </c>
      <c r="AX21" s="55">
        <f t="shared" si="15"/>
        <v>0</v>
      </c>
      <c r="AY21" s="41"/>
      <c r="AZ21" s="39"/>
      <c r="BA21" s="3">
        <f t="shared" si="16"/>
        <v>0</v>
      </c>
      <c r="BB21" s="101">
        <v>40000</v>
      </c>
      <c r="BC21" s="39"/>
      <c r="BD21" s="3">
        <f t="shared" si="17"/>
        <v>0</v>
      </c>
      <c r="BE21" s="41"/>
      <c r="BF21" s="39"/>
      <c r="BG21" s="3">
        <f t="shared" si="18"/>
        <v>0</v>
      </c>
      <c r="BH21" s="101">
        <v>10000</v>
      </c>
      <c r="BI21" s="39"/>
      <c r="BJ21" s="3">
        <f t="shared" si="19"/>
        <v>0</v>
      </c>
      <c r="BK21" s="41"/>
      <c r="BL21" s="39"/>
      <c r="BM21" s="3">
        <f t="shared" si="20"/>
        <v>0</v>
      </c>
      <c r="BN21" s="101">
        <v>10000</v>
      </c>
      <c r="BO21" s="39"/>
      <c r="BP21" s="3">
        <f t="shared" si="21"/>
        <v>0</v>
      </c>
      <c r="BQ21" s="41"/>
      <c r="BR21" s="39"/>
      <c r="BS21" s="3">
        <f t="shared" si="22"/>
        <v>0</v>
      </c>
      <c r="BT21" s="71">
        <f t="shared" si="23"/>
        <v>60000</v>
      </c>
      <c r="BU21" s="68">
        <f t="shared" si="23"/>
        <v>0</v>
      </c>
      <c r="BV21" s="55">
        <f t="shared" si="23"/>
        <v>0</v>
      </c>
      <c r="BW21" s="41"/>
      <c r="BX21" s="39"/>
      <c r="BY21" s="3">
        <f t="shared" si="24"/>
        <v>0</v>
      </c>
      <c r="BZ21" s="101">
        <v>30000</v>
      </c>
      <c r="CA21" s="39"/>
      <c r="CB21" s="3">
        <f t="shared" si="25"/>
        <v>0</v>
      </c>
      <c r="CC21" s="41"/>
      <c r="CD21" s="39"/>
      <c r="CE21" s="3">
        <f t="shared" si="26"/>
        <v>0</v>
      </c>
      <c r="CF21" s="101"/>
      <c r="CG21" s="39"/>
      <c r="CH21" s="3">
        <f t="shared" si="27"/>
        <v>0</v>
      </c>
      <c r="CI21" s="41"/>
      <c r="CJ21" s="39"/>
      <c r="CK21" s="3">
        <f t="shared" si="28"/>
        <v>0</v>
      </c>
      <c r="CL21" s="101">
        <v>10000</v>
      </c>
      <c r="CM21" s="39"/>
      <c r="CN21" s="3">
        <f t="shared" si="29"/>
        <v>0</v>
      </c>
      <c r="CO21" s="41"/>
      <c r="CP21" s="39"/>
      <c r="CQ21" s="3">
        <f t="shared" si="30"/>
        <v>0</v>
      </c>
      <c r="CR21" s="71">
        <f t="shared" si="31"/>
        <v>40000</v>
      </c>
      <c r="CS21" s="68">
        <f t="shared" si="31"/>
        <v>0</v>
      </c>
      <c r="CT21" s="51">
        <f t="shared" si="31"/>
        <v>0</v>
      </c>
      <c r="CU21" s="41"/>
      <c r="CV21" s="39"/>
      <c r="CW21" s="3">
        <f t="shared" si="32"/>
        <v>0</v>
      </c>
      <c r="CX21" s="40">
        <v>30000</v>
      </c>
      <c r="CY21" s="39"/>
      <c r="CZ21" s="3">
        <f t="shared" si="33"/>
        <v>0</v>
      </c>
      <c r="DA21" s="41"/>
      <c r="DB21" s="39"/>
      <c r="DC21" s="3">
        <f t="shared" si="34"/>
        <v>0</v>
      </c>
      <c r="DD21" s="40"/>
      <c r="DE21" s="39"/>
      <c r="DF21" s="3">
        <f t="shared" si="35"/>
        <v>0</v>
      </c>
      <c r="DG21" s="41"/>
      <c r="DH21" s="39"/>
      <c r="DI21" s="3">
        <f t="shared" si="36"/>
        <v>0</v>
      </c>
      <c r="DJ21" s="41"/>
      <c r="DK21" s="39"/>
      <c r="DL21" s="3">
        <f t="shared" si="37"/>
        <v>0</v>
      </c>
      <c r="DM21" s="41"/>
      <c r="DN21" s="39"/>
      <c r="DO21" s="3">
        <f t="shared" si="38"/>
        <v>0</v>
      </c>
      <c r="DP21" s="71">
        <f t="shared" si="39"/>
        <v>30000</v>
      </c>
      <c r="DQ21" s="68">
        <f t="shared" si="39"/>
        <v>0</v>
      </c>
      <c r="DR21" s="55">
        <f t="shared" si="39"/>
        <v>0</v>
      </c>
      <c r="DS21" s="56">
        <f t="shared" si="40"/>
        <v>190000</v>
      </c>
      <c r="DT21" s="57">
        <f t="shared" si="41"/>
        <v>0</v>
      </c>
      <c r="DU21" s="58">
        <f t="shared" si="41"/>
        <v>0</v>
      </c>
    </row>
    <row r="22" spans="1:125" ht="17.100000000000001" customHeight="1" thickBot="1" x14ac:dyDescent="0.3">
      <c r="X22" s="59">
        <f>SUM(X4:X21)</f>
        <v>100000</v>
      </c>
      <c r="Z22" s="75">
        <f>SUM(Z4:Z21)</f>
        <v>0</v>
      </c>
      <c r="AV22" s="59">
        <f>SUM(AV4:AV21)</f>
        <v>139000</v>
      </c>
      <c r="AX22" s="59">
        <f>SUM(AX4:AX21)</f>
        <v>0</v>
      </c>
      <c r="BT22" s="59">
        <f>SUM(BT4:BT21)</f>
        <v>161000</v>
      </c>
      <c r="BV22" s="59">
        <f>SUM(BV4:BV21)</f>
        <v>0</v>
      </c>
      <c r="CR22" s="59">
        <f>SUM(CR4:CR21)</f>
        <v>133000</v>
      </c>
      <c r="CT22" s="59">
        <f>SUM(CT4:CT21)</f>
        <v>61500</v>
      </c>
      <c r="DP22" s="59">
        <f>SUM(DP4:DP21)</f>
        <v>35000</v>
      </c>
      <c r="DR22" s="59">
        <f>SUM(DR4:DR21)</f>
        <v>0</v>
      </c>
      <c r="DS22" s="60">
        <f>SUM(DS4:DS21)</f>
        <v>508000</v>
      </c>
      <c r="DT22" s="61">
        <f>SUM(DT4:DT21)</f>
        <v>12</v>
      </c>
      <c r="DU22" s="62">
        <f>SUM(DU4:DU21)</f>
        <v>61500</v>
      </c>
    </row>
    <row r="23" spans="1:125" ht="17.100000000000001" customHeight="1" x14ac:dyDescent="0.25">
      <c r="BB23" s="5" t="s">
        <v>51</v>
      </c>
      <c r="DS23" s="44"/>
      <c r="DT23" s="46"/>
      <c r="DU23" s="44"/>
    </row>
    <row r="24" spans="1:125" ht="17.100000000000001" customHeight="1" x14ac:dyDescent="0.25"/>
    <row r="25" spans="1:125" ht="17.100000000000001" customHeight="1" x14ac:dyDescent="0.25"/>
    <row r="26" spans="1:125" ht="17.100000000000001" customHeight="1" x14ac:dyDescent="0.25"/>
    <row r="27" spans="1:125" ht="17.100000000000001" customHeight="1" x14ac:dyDescent="0.25"/>
    <row r="28" spans="1:125" ht="17.100000000000001" customHeight="1" x14ac:dyDescent="0.25"/>
    <row r="29" spans="1:125" ht="17.100000000000001" customHeight="1" x14ac:dyDescent="0.25"/>
  </sheetData>
  <sheetProtection formatCells="0" formatColumns="0" formatRows="0" insertColumns="0" insertRows="0" insertHyperlinks="0" deleteColumns="0" deleteRows="0" sort="0" autoFilter="0" pivotTables="0"/>
  <mergeCells count="82">
    <mergeCell ref="AJ1:AL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BT1:BV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DD1:DF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C2:E2"/>
    <mergeCell ref="F2:H2"/>
    <mergeCell ref="I2:K2"/>
    <mergeCell ref="L2:N2"/>
    <mergeCell ref="O2:Q2"/>
    <mergeCell ref="DG1:DI1"/>
    <mergeCell ref="DJ1:DL1"/>
    <mergeCell ref="DM1:DO1"/>
    <mergeCell ref="DP1:DR1"/>
    <mergeCell ref="DS1:DU1"/>
    <mergeCell ref="AY2:BA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CI2:CK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DS2:DU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</mergeCells>
  <printOptions horizontalCentered="1"/>
  <pageMargins left="0.19685039370078741" right="0.19685039370078741" top="0.19685039370078741" bottom="0.19685039370078741" header="0" footer="0"/>
  <pageSetup paperSize="9" scale="74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845B-6912-477F-B78E-3F273EA25A5C}">
  <sheetPr>
    <pageSetUpPr fitToPage="1"/>
  </sheetPr>
  <dimension ref="A1:DU29"/>
  <sheetViews>
    <sheetView zoomScaleNormal="100" workbookViewId="0">
      <pane xSplit="1" topLeftCell="B1" activePane="topRight" state="frozen"/>
      <selection pane="topRight" activeCell="Q26" sqref="Q26"/>
    </sheetView>
  </sheetViews>
  <sheetFormatPr baseColWidth="10" defaultRowHeight="15" x14ac:dyDescent="0.25"/>
  <cols>
    <col min="1" max="1" width="30.7109375" style="5" bestFit="1" customWidth="1"/>
    <col min="2" max="2" width="8" style="43" bestFit="1" customWidth="1"/>
    <col min="3" max="3" width="8.7109375" style="5" hidden="1" customWidth="1"/>
    <col min="4" max="4" width="2.7109375" style="5" hidden="1" customWidth="1"/>
    <col min="5" max="6" width="8.7109375" style="5" hidden="1" customWidth="1"/>
    <col min="7" max="7" width="2.7109375" style="5" hidden="1" customWidth="1"/>
    <col min="8" max="8" width="8.7109375" style="5" hidden="1" customWidth="1"/>
    <col min="9" max="9" width="8.7109375" style="5" customWidth="1"/>
    <col min="10" max="10" width="2.7109375" style="5" customWidth="1"/>
    <col min="11" max="12" width="8.7109375" style="5" customWidth="1"/>
    <col min="13" max="13" width="2.7109375" style="5" customWidth="1"/>
    <col min="14" max="15" width="8.7109375" style="5" customWidth="1"/>
    <col min="16" max="16" width="2.7109375" style="5" customWidth="1"/>
    <col min="17" max="18" width="8.7109375" style="5" customWidth="1"/>
    <col min="19" max="19" width="2.7109375" style="5" customWidth="1"/>
    <col min="20" max="21" width="8.7109375" style="5" customWidth="1"/>
    <col min="22" max="22" width="2.7109375" style="5" customWidth="1"/>
    <col min="23" max="23" width="6.42578125" style="5" customWidth="1"/>
    <col min="24" max="24" width="9.42578125" style="5" customWidth="1"/>
    <col min="25" max="25" width="2.7109375" style="5" customWidth="1"/>
    <col min="26" max="26" width="10.42578125" style="45" bestFit="1" customWidth="1"/>
    <col min="27" max="27" width="8.7109375" style="5" customWidth="1"/>
    <col min="28" max="28" width="2.7109375" style="5" customWidth="1"/>
    <col min="29" max="30" width="8.7109375" style="5" customWidth="1"/>
    <col min="31" max="31" width="2.7109375" style="5" customWidth="1"/>
    <col min="32" max="33" width="8.7109375" style="5" customWidth="1"/>
    <col min="34" max="34" width="2.7109375" style="5" customWidth="1"/>
    <col min="35" max="36" width="8.7109375" style="5" customWidth="1"/>
    <col min="37" max="37" width="2.7109375" style="5" customWidth="1"/>
    <col min="38" max="39" width="8.7109375" style="5" customWidth="1"/>
    <col min="40" max="40" width="2.7109375" style="5" customWidth="1"/>
    <col min="41" max="42" width="8.7109375" style="5" customWidth="1"/>
    <col min="43" max="43" width="2.7109375" style="5" customWidth="1"/>
    <col min="44" max="45" width="8.7109375" style="5" customWidth="1"/>
    <col min="46" max="46" width="2.7109375" style="5" customWidth="1"/>
    <col min="47" max="47" width="8.7109375" style="5" customWidth="1"/>
    <col min="48" max="48" width="12.28515625" style="5" customWidth="1"/>
    <col min="49" max="49" width="2.7109375" style="5" customWidth="1"/>
    <col min="50" max="50" width="10.42578125" style="5" bestFit="1" customWidth="1"/>
    <col min="51" max="51" width="8.7109375" style="5" customWidth="1"/>
    <col min="52" max="52" width="2.7109375" style="5" customWidth="1"/>
    <col min="53" max="54" width="8.7109375" style="5" customWidth="1"/>
    <col min="55" max="55" width="2.7109375" style="5" customWidth="1"/>
    <col min="56" max="57" width="8.7109375" style="5" customWidth="1"/>
    <col min="58" max="58" width="2.7109375" style="5" customWidth="1"/>
    <col min="59" max="60" width="8.7109375" style="5" customWidth="1"/>
    <col min="61" max="61" width="2.7109375" style="5" customWidth="1"/>
    <col min="62" max="63" width="8.7109375" style="5" customWidth="1"/>
    <col min="64" max="64" width="3.7109375" style="5" customWidth="1"/>
    <col min="65" max="66" width="8.7109375" style="5" customWidth="1"/>
    <col min="67" max="67" width="2.7109375" style="5" customWidth="1"/>
    <col min="68" max="69" width="8.7109375" style="5" customWidth="1"/>
    <col min="70" max="70" width="2.7109375" style="5" customWidth="1"/>
    <col min="71" max="71" width="8.7109375" style="5" customWidth="1"/>
    <col min="72" max="72" width="10.42578125" style="5" bestFit="1" customWidth="1"/>
    <col min="73" max="73" width="2.7109375" style="5" customWidth="1"/>
    <col min="74" max="74" width="10.42578125" style="5" bestFit="1" customWidth="1"/>
    <col min="75" max="75" width="8.7109375" style="5" customWidth="1"/>
    <col min="76" max="76" width="2.7109375" style="5" customWidth="1"/>
    <col min="77" max="78" width="8.7109375" style="5" customWidth="1"/>
    <col min="79" max="79" width="4.140625" style="5" customWidth="1"/>
    <col min="80" max="81" width="8.7109375" style="5" customWidth="1"/>
    <col min="82" max="82" width="3.5703125" style="5" customWidth="1"/>
    <col min="83" max="84" width="8.7109375" style="5" customWidth="1"/>
    <col min="85" max="85" width="2.7109375" style="5" customWidth="1"/>
    <col min="86" max="87" width="8.7109375" style="5" customWidth="1"/>
    <col min="88" max="88" width="2.7109375" style="5" customWidth="1"/>
    <col min="89" max="90" width="8.7109375" style="5" customWidth="1"/>
    <col min="91" max="91" width="2.7109375" style="5" customWidth="1"/>
    <col min="92" max="93" width="8.7109375" style="5" customWidth="1"/>
    <col min="94" max="94" width="2.7109375" style="5" customWidth="1"/>
    <col min="95" max="95" width="8.7109375" style="5" customWidth="1"/>
    <col min="96" max="96" width="10.42578125" style="5" bestFit="1" customWidth="1"/>
    <col min="97" max="97" width="4.5703125" style="5" customWidth="1"/>
    <col min="98" max="98" width="10.42578125" style="5" bestFit="1" customWidth="1"/>
    <col min="99" max="99" width="8.7109375" style="5" customWidth="1"/>
    <col min="100" max="100" width="2.7109375" style="5" customWidth="1"/>
    <col min="101" max="102" width="8.7109375" style="5" customWidth="1"/>
    <col min="103" max="103" width="2.7109375" style="5" customWidth="1"/>
    <col min="104" max="105" width="8.7109375" style="5" customWidth="1"/>
    <col min="106" max="106" width="4.140625" style="5" customWidth="1"/>
    <col min="107" max="108" width="8.7109375" style="5" customWidth="1"/>
    <col min="109" max="109" width="2.7109375" style="5" customWidth="1"/>
    <col min="110" max="111" width="8.7109375" style="5" customWidth="1"/>
    <col min="112" max="112" width="2.7109375" style="5" customWidth="1"/>
    <col min="113" max="113" width="8.7109375" style="5" customWidth="1"/>
    <col min="114" max="114" width="8.7109375" style="5" hidden="1" customWidth="1"/>
    <col min="115" max="115" width="2.7109375" style="5" hidden="1" customWidth="1"/>
    <col min="116" max="117" width="8.7109375" style="5" hidden="1" customWidth="1"/>
    <col min="118" max="118" width="2.7109375" style="5" hidden="1" customWidth="1"/>
    <col min="119" max="119" width="8.7109375" style="5" hidden="1" customWidth="1"/>
    <col min="120" max="120" width="10.42578125" style="5" bestFit="1" customWidth="1"/>
    <col min="121" max="121" width="4.140625" style="5" customWidth="1"/>
    <col min="122" max="122" width="10.42578125" style="5" bestFit="1" customWidth="1"/>
    <col min="123" max="123" width="11.5703125" style="5" bestFit="1" customWidth="1"/>
    <col min="124" max="124" width="4.42578125" style="5" bestFit="1" customWidth="1"/>
    <col min="125" max="125" width="13.28515625" style="5" bestFit="1" customWidth="1"/>
    <col min="126" max="16384" width="11.42578125" style="5"/>
  </cols>
  <sheetData>
    <row r="1" spans="1:125" ht="26.25" x14ac:dyDescent="0.4">
      <c r="A1" s="4" t="s">
        <v>43</v>
      </c>
      <c r="B1" s="76" t="s">
        <v>0</v>
      </c>
      <c r="C1" s="232">
        <v>1</v>
      </c>
      <c r="D1" s="233"/>
      <c r="E1" s="233"/>
      <c r="F1" s="232">
        <v>2</v>
      </c>
      <c r="G1" s="233"/>
      <c r="H1" s="233"/>
      <c r="I1" s="232">
        <v>1</v>
      </c>
      <c r="J1" s="233"/>
      <c r="K1" s="233"/>
      <c r="L1" s="233">
        <v>2</v>
      </c>
      <c r="M1" s="233"/>
      <c r="N1" s="233"/>
      <c r="O1" s="233">
        <v>3</v>
      </c>
      <c r="P1" s="233"/>
      <c r="Q1" s="233"/>
      <c r="R1" s="233">
        <v>4</v>
      </c>
      <c r="S1" s="233"/>
      <c r="T1" s="233"/>
      <c r="U1" s="233">
        <v>5</v>
      </c>
      <c r="V1" s="233"/>
      <c r="W1" s="300"/>
      <c r="X1" s="216" t="s">
        <v>1</v>
      </c>
      <c r="Y1" s="217"/>
      <c r="Z1" s="218"/>
      <c r="AA1" s="234">
        <v>6</v>
      </c>
      <c r="AB1" s="227"/>
      <c r="AC1" s="227"/>
      <c r="AD1" s="227">
        <v>7</v>
      </c>
      <c r="AE1" s="227"/>
      <c r="AF1" s="227"/>
      <c r="AG1" s="227">
        <v>8</v>
      </c>
      <c r="AH1" s="227"/>
      <c r="AI1" s="227"/>
      <c r="AJ1" s="227">
        <v>9</v>
      </c>
      <c r="AK1" s="227"/>
      <c r="AL1" s="227"/>
      <c r="AM1" s="227">
        <v>10</v>
      </c>
      <c r="AN1" s="227"/>
      <c r="AO1" s="227"/>
      <c r="AP1" s="227">
        <v>11</v>
      </c>
      <c r="AQ1" s="227"/>
      <c r="AR1" s="227"/>
      <c r="AS1" s="227">
        <v>12</v>
      </c>
      <c r="AT1" s="227"/>
      <c r="AU1" s="228"/>
      <c r="AV1" s="216" t="s">
        <v>1</v>
      </c>
      <c r="AW1" s="217"/>
      <c r="AX1" s="218"/>
      <c r="AY1" s="229">
        <v>13</v>
      </c>
      <c r="AZ1" s="230"/>
      <c r="BA1" s="230"/>
      <c r="BB1" s="230">
        <v>14</v>
      </c>
      <c r="BC1" s="230"/>
      <c r="BD1" s="230"/>
      <c r="BE1" s="230">
        <v>15</v>
      </c>
      <c r="BF1" s="230"/>
      <c r="BG1" s="230"/>
      <c r="BH1" s="230">
        <v>16</v>
      </c>
      <c r="BI1" s="230"/>
      <c r="BJ1" s="230"/>
      <c r="BK1" s="230">
        <v>17</v>
      </c>
      <c r="BL1" s="230"/>
      <c r="BM1" s="230"/>
      <c r="BN1" s="230">
        <v>18</v>
      </c>
      <c r="BO1" s="230"/>
      <c r="BP1" s="230"/>
      <c r="BQ1" s="230">
        <v>19</v>
      </c>
      <c r="BR1" s="230"/>
      <c r="BS1" s="231"/>
      <c r="BT1" s="216" t="s">
        <v>1</v>
      </c>
      <c r="BU1" s="217"/>
      <c r="BV1" s="218"/>
      <c r="BW1" s="223">
        <v>20</v>
      </c>
      <c r="BX1" s="224"/>
      <c r="BY1" s="224"/>
      <c r="BZ1" s="224">
        <v>21</v>
      </c>
      <c r="CA1" s="224"/>
      <c r="CB1" s="224"/>
      <c r="CC1" s="224">
        <v>22</v>
      </c>
      <c r="CD1" s="224"/>
      <c r="CE1" s="224"/>
      <c r="CF1" s="224">
        <v>23</v>
      </c>
      <c r="CG1" s="224"/>
      <c r="CH1" s="224"/>
      <c r="CI1" s="224">
        <v>24</v>
      </c>
      <c r="CJ1" s="224"/>
      <c r="CK1" s="224"/>
      <c r="CL1" s="224">
        <v>25</v>
      </c>
      <c r="CM1" s="224"/>
      <c r="CN1" s="224"/>
      <c r="CO1" s="224">
        <v>26</v>
      </c>
      <c r="CP1" s="224"/>
      <c r="CQ1" s="225"/>
      <c r="CR1" s="216" t="s">
        <v>1</v>
      </c>
      <c r="CS1" s="217"/>
      <c r="CT1" s="218"/>
      <c r="CU1" s="234">
        <v>27</v>
      </c>
      <c r="CV1" s="227"/>
      <c r="CW1" s="227"/>
      <c r="CX1" s="227">
        <v>28</v>
      </c>
      <c r="CY1" s="227"/>
      <c r="CZ1" s="227"/>
      <c r="DA1" s="227">
        <v>29</v>
      </c>
      <c r="DB1" s="227"/>
      <c r="DC1" s="227"/>
      <c r="DD1" s="227">
        <v>30</v>
      </c>
      <c r="DE1" s="227"/>
      <c r="DF1" s="227"/>
      <c r="DG1" s="227">
        <v>31</v>
      </c>
      <c r="DH1" s="227"/>
      <c r="DI1" s="227"/>
      <c r="DJ1" s="303">
        <v>3</v>
      </c>
      <c r="DK1" s="303"/>
      <c r="DL1" s="303"/>
      <c r="DM1" s="303">
        <v>4</v>
      </c>
      <c r="DN1" s="303"/>
      <c r="DO1" s="304"/>
      <c r="DP1" s="216" t="s">
        <v>1</v>
      </c>
      <c r="DQ1" s="217"/>
      <c r="DR1" s="218"/>
      <c r="DS1" s="219" t="s">
        <v>1</v>
      </c>
      <c r="DT1" s="220"/>
      <c r="DU1" s="221"/>
    </row>
    <row r="2" spans="1:125" ht="19.5" thickBot="1" x14ac:dyDescent="0.3">
      <c r="A2" s="6" t="s">
        <v>2</v>
      </c>
      <c r="B2" s="77" t="s">
        <v>3</v>
      </c>
      <c r="C2" s="222" t="s">
        <v>10</v>
      </c>
      <c r="D2" s="207"/>
      <c r="E2" s="207"/>
      <c r="F2" s="222" t="s">
        <v>11</v>
      </c>
      <c r="G2" s="207"/>
      <c r="H2" s="207"/>
      <c r="I2" s="222" t="s">
        <v>4</v>
      </c>
      <c r="J2" s="207"/>
      <c r="K2" s="207"/>
      <c r="L2" s="207" t="s">
        <v>5</v>
      </c>
      <c r="M2" s="207"/>
      <c r="N2" s="207"/>
      <c r="O2" s="207" t="s">
        <v>6</v>
      </c>
      <c r="P2" s="207"/>
      <c r="Q2" s="207"/>
      <c r="R2" s="207" t="s">
        <v>7</v>
      </c>
      <c r="S2" s="207"/>
      <c r="T2" s="207"/>
      <c r="U2" s="207" t="s">
        <v>8</v>
      </c>
      <c r="V2" s="207"/>
      <c r="W2" s="299"/>
      <c r="X2" s="197" t="s">
        <v>9</v>
      </c>
      <c r="Y2" s="198"/>
      <c r="Z2" s="199"/>
      <c r="AA2" s="211" t="s">
        <v>10</v>
      </c>
      <c r="AB2" s="212"/>
      <c r="AC2" s="212"/>
      <c r="AD2" s="212" t="s">
        <v>11</v>
      </c>
      <c r="AE2" s="212"/>
      <c r="AF2" s="212"/>
      <c r="AG2" s="212" t="s">
        <v>4</v>
      </c>
      <c r="AH2" s="212"/>
      <c r="AI2" s="212"/>
      <c r="AJ2" s="212" t="s">
        <v>5</v>
      </c>
      <c r="AK2" s="212"/>
      <c r="AL2" s="212"/>
      <c r="AM2" s="212" t="s">
        <v>6</v>
      </c>
      <c r="AN2" s="212"/>
      <c r="AO2" s="212"/>
      <c r="AP2" s="212" t="s">
        <v>7</v>
      </c>
      <c r="AQ2" s="212"/>
      <c r="AR2" s="212"/>
      <c r="AS2" s="212" t="s">
        <v>8</v>
      </c>
      <c r="AT2" s="212"/>
      <c r="AU2" s="213"/>
      <c r="AV2" s="197" t="s">
        <v>12</v>
      </c>
      <c r="AW2" s="198"/>
      <c r="AX2" s="199"/>
      <c r="AY2" s="206" t="s">
        <v>10</v>
      </c>
      <c r="AZ2" s="203"/>
      <c r="BA2" s="203"/>
      <c r="BB2" s="203" t="s">
        <v>11</v>
      </c>
      <c r="BC2" s="203"/>
      <c r="BD2" s="203"/>
      <c r="BE2" s="203" t="s">
        <v>4</v>
      </c>
      <c r="BF2" s="203"/>
      <c r="BG2" s="203"/>
      <c r="BH2" s="203" t="s">
        <v>5</v>
      </c>
      <c r="BI2" s="203"/>
      <c r="BJ2" s="203"/>
      <c r="BK2" s="203" t="s">
        <v>6</v>
      </c>
      <c r="BL2" s="203"/>
      <c r="BM2" s="203"/>
      <c r="BN2" s="203" t="s">
        <v>7</v>
      </c>
      <c r="BO2" s="203"/>
      <c r="BP2" s="203"/>
      <c r="BQ2" s="203" t="s">
        <v>8</v>
      </c>
      <c r="BR2" s="203"/>
      <c r="BS2" s="204"/>
      <c r="BT2" s="197" t="s">
        <v>13</v>
      </c>
      <c r="BU2" s="198"/>
      <c r="BV2" s="199"/>
      <c r="BW2" s="205" t="s">
        <v>10</v>
      </c>
      <c r="BX2" s="195"/>
      <c r="BY2" s="195"/>
      <c r="BZ2" s="195" t="s">
        <v>11</v>
      </c>
      <c r="CA2" s="195"/>
      <c r="CB2" s="195"/>
      <c r="CC2" s="195" t="s">
        <v>4</v>
      </c>
      <c r="CD2" s="195"/>
      <c r="CE2" s="195"/>
      <c r="CF2" s="195" t="s">
        <v>5</v>
      </c>
      <c r="CG2" s="195"/>
      <c r="CH2" s="195"/>
      <c r="CI2" s="195" t="s">
        <v>6</v>
      </c>
      <c r="CJ2" s="195"/>
      <c r="CK2" s="195"/>
      <c r="CL2" s="195" t="s">
        <v>7</v>
      </c>
      <c r="CM2" s="195"/>
      <c r="CN2" s="195"/>
      <c r="CO2" s="195" t="s">
        <v>8</v>
      </c>
      <c r="CP2" s="195"/>
      <c r="CQ2" s="196"/>
      <c r="CR2" s="197" t="s">
        <v>14</v>
      </c>
      <c r="CS2" s="198"/>
      <c r="CT2" s="199"/>
      <c r="CU2" s="211" t="s">
        <v>10</v>
      </c>
      <c r="CV2" s="212"/>
      <c r="CW2" s="212"/>
      <c r="CX2" s="212" t="s">
        <v>11</v>
      </c>
      <c r="CY2" s="212"/>
      <c r="CZ2" s="212"/>
      <c r="DA2" s="212" t="s">
        <v>4</v>
      </c>
      <c r="DB2" s="212"/>
      <c r="DC2" s="212"/>
      <c r="DD2" s="212" t="s">
        <v>5</v>
      </c>
      <c r="DE2" s="212"/>
      <c r="DF2" s="212"/>
      <c r="DG2" s="297" t="s">
        <v>6</v>
      </c>
      <c r="DH2" s="297"/>
      <c r="DI2" s="297"/>
      <c r="DJ2" s="301" t="s">
        <v>7</v>
      </c>
      <c r="DK2" s="301"/>
      <c r="DL2" s="301"/>
      <c r="DM2" s="301" t="s">
        <v>37</v>
      </c>
      <c r="DN2" s="301"/>
      <c r="DO2" s="302"/>
      <c r="DP2" s="197" t="s">
        <v>15</v>
      </c>
      <c r="DQ2" s="198"/>
      <c r="DR2" s="199"/>
      <c r="DS2" s="192" t="s">
        <v>16</v>
      </c>
      <c r="DT2" s="193"/>
      <c r="DU2" s="194"/>
    </row>
    <row r="3" spans="1:125" s="17" customFormat="1" ht="17.100000000000001" customHeight="1" thickBot="1" x14ac:dyDescent="0.2">
      <c r="A3" s="7" t="s">
        <v>17</v>
      </c>
      <c r="B3" s="78" t="s">
        <v>18</v>
      </c>
      <c r="C3" s="8" t="s">
        <v>19</v>
      </c>
      <c r="D3" s="9" t="s">
        <v>20</v>
      </c>
      <c r="E3" s="10" t="s">
        <v>21</v>
      </c>
      <c r="F3" s="8" t="s">
        <v>19</v>
      </c>
      <c r="G3" s="9" t="s">
        <v>20</v>
      </c>
      <c r="H3" s="10" t="s">
        <v>21</v>
      </c>
      <c r="I3" s="8" t="s">
        <v>19</v>
      </c>
      <c r="J3" s="9" t="s">
        <v>20</v>
      </c>
      <c r="K3" s="10" t="s">
        <v>21</v>
      </c>
      <c r="L3" s="11" t="s">
        <v>19</v>
      </c>
      <c r="M3" s="9" t="s">
        <v>20</v>
      </c>
      <c r="N3" s="10" t="s">
        <v>21</v>
      </c>
      <c r="O3" s="11" t="s">
        <v>19</v>
      </c>
      <c r="P3" s="9" t="s">
        <v>20</v>
      </c>
      <c r="Q3" s="10" t="s">
        <v>21</v>
      </c>
      <c r="R3" s="11" t="s">
        <v>19</v>
      </c>
      <c r="S3" s="9" t="s">
        <v>20</v>
      </c>
      <c r="T3" s="10" t="s">
        <v>21</v>
      </c>
      <c r="U3" s="11" t="s">
        <v>19</v>
      </c>
      <c r="V3" s="9" t="s">
        <v>20</v>
      </c>
      <c r="W3" s="12" t="s">
        <v>21</v>
      </c>
      <c r="X3" s="8" t="s">
        <v>19</v>
      </c>
      <c r="Y3" s="13" t="s">
        <v>20</v>
      </c>
      <c r="Z3" s="12" t="s">
        <v>21</v>
      </c>
      <c r="AA3" s="8" t="s">
        <v>19</v>
      </c>
      <c r="AB3" s="9" t="s">
        <v>20</v>
      </c>
      <c r="AC3" s="10" t="s">
        <v>21</v>
      </c>
      <c r="AD3" s="8" t="s">
        <v>19</v>
      </c>
      <c r="AE3" s="9" t="s">
        <v>20</v>
      </c>
      <c r="AF3" s="10" t="s">
        <v>21</v>
      </c>
      <c r="AG3" s="8" t="s">
        <v>19</v>
      </c>
      <c r="AH3" s="9" t="s">
        <v>20</v>
      </c>
      <c r="AI3" s="10" t="s">
        <v>21</v>
      </c>
      <c r="AJ3" s="11" t="s">
        <v>19</v>
      </c>
      <c r="AK3" s="9" t="s">
        <v>20</v>
      </c>
      <c r="AL3" s="10" t="s">
        <v>21</v>
      </c>
      <c r="AM3" s="11" t="s">
        <v>19</v>
      </c>
      <c r="AN3" s="9" t="s">
        <v>20</v>
      </c>
      <c r="AO3" s="10" t="s">
        <v>21</v>
      </c>
      <c r="AP3" s="11" t="s">
        <v>19</v>
      </c>
      <c r="AQ3" s="9" t="s">
        <v>20</v>
      </c>
      <c r="AR3" s="10" t="s">
        <v>21</v>
      </c>
      <c r="AS3" s="11" t="s">
        <v>19</v>
      </c>
      <c r="AT3" s="9" t="s">
        <v>20</v>
      </c>
      <c r="AU3" s="12" t="s">
        <v>21</v>
      </c>
      <c r="AV3" s="8" t="s">
        <v>19</v>
      </c>
      <c r="AW3" s="13" t="s">
        <v>20</v>
      </c>
      <c r="AX3" s="12" t="s">
        <v>21</v>
      </c>
      <c r="AY3" s="8" t="s">
        <v>19</v>
      </c>
      <c r="AZ3" s="9" t="s">
        <v>20</v>
      </c>
      <c r="BA3" s="10" t="s">
        <v>21</v>
      </c>
      <c r="BB3" s="11" t="s">
        <v>19</v>
      </c>
      <c r="BC3" s="9" t="s">
        <v>20</v>
      </c>
      <c r="BD3" s="10" t="s">
        <v>21</v>
      </c>
      <c r="BE3" s="11" t="s">
        <v>19</v>
      </c>
      <c r="BF3" s="9" t="s">
        <v>20</v>
      </c>
      <c r="BG3" s="10" t="s">
        <v>21</v>
      </c>
      <c r="BH3" s="11" t="s">
        <v>19</v>
      </c>
      <c r="BI3" s="9" t="s">
        <v>20</v>
      </c>
      <c r="BJ3" s="10" t="s">
        <v>21</v>
      </c>
      <c r="BK3" s="11" t="s">
        <v>19</v>
      </c>
      <c r="BL3" s="9" t="s">
        <v>20</v>
      </c>
      <c r="BM3" s="10" t="s">
        <v>21</v>
      </c>
      <c r="BN3" s="11" t="s">
        <v>19</v>
      </c>
      <c r="BO3" s="9" t="s">
        <v>20</v>
      </c>
      <c r="BP3" s="10" t="s">
        <v>21</v>
      </c>
      <c r="BQ3" s="11" t="s">
        <v>19</v>
      </c>
      <c r="BR3" s="9" t="s">
        <v>20</v>
      </c>
      <c r="BS3" s="12" t="s">
        <v>21</v>
      </c>
      <c r="BT3" s="8" t="s">
        <v>19</v>
      </c>
      <c r="BU3" s="13" t="s">
        <v>20</v>
      </c>
      <c r="BV3" s="12" t="s">
        <v>21</v>
      </c>
      <c r="BW3" s="8" t="s">
        <v>19</v>
      </c>
      <c r="BX3" s="9" t="s">
        <v>20</v>
      </c>
      <c r="BY3" s="10" t="s">
        <v>21</v>
      </c>
      <c r="BZ3" s="11" t="s">
        <v>19</v>
      </c>
      <c r="CA3" s="9" t="s">
        <v>20</v>
      </c>
      <c r="CB3" s="10" t="s">
        <v>21</v>
      </c>
      <c r="CC3" s="11" t="s">
        <v>19</v>
      </c>
      <c r="CD3" s="9" t="s">
        <v>20</v>
      </c>
      <c r="CE3" s="10" t="s">
        <v>21</v>
      </c>
      <c r="CF3" s="11" t="s">
        <v>19</v>
      </c>
      <c r="CG3" s="9" t="s">
        <v>20</v>
      </c>
      <c r="CH3" s="10" t="s">
        <v>21</v>
      </c>
      <c r="CI3" s="11" t="s">
        <v>19</v>
      </c>
      <c r="CJ3" s="9" t="s">
        <v>20</v>
      </c>
      <c r="CK3" s="10" t="s">
        <v>21</v>
      </c>
      <c r="CL3" s="11" t="s">
        <v>19</v>
      </c>
      <c r="CM3" s="9" t="s">
        <v>20</v>
      </c>
      <c r="CN3" s="10" t="s">
        <v>21</v>
      </c>
      <c r="CO3" s="11" t="s">
        <v>19</v>
      </c>
      <c r="CP3" s="9" t="s">
        <v>20</v>
      </c>
      <c r="CQ3" s="12" t="s">
        <v>21</v>
      </c>
      <c r="CR3" s="8" t="s">
        <v>19</v>
      </c>
      <c r="CS3" s="13" t="s">
        <v>20</v>
      </c>
      <c r="CT3" s="12" t="s">
        <v>21</v>
      </c>
      <c r="CU3" s="8" t="s">
        <v>19</v>
      </c>
      <c r="CV3" s="9" t="s">
        <v>20</v>
      </c>
      <c r="CW3" s="10" t="s">
        <v>21</v>
      </c>
      <c r="CX3" s="11" t="s">
        <v>19</v>
      </c>
      <c r="CY3" s="9" t="s">
        <v>20</v>
      </c>
      <c r="CZ3" s="10" t="s">
        <v>21</v>
      </c>
      <c r="DA3" s="11" t="s">
        <v>19</v>
      </c>
      <c r="DB3" s="9" t="s">
        <v>20</v>
      </c>
      <c r="DC3" s="10" t="s">
        <v>21</v>
      </c>
      <c r="DD3" s="11" t="s">
        <v>19</v>
      </c>
      <c r="DE3" s="9" t="s">
        <v>20</v>
      </c>
      <c r="DF3" s="10" t="s">
        <v>21</v>
      </c>
      <c r="DG3" s="11" t="s">
        <v>19</v>
      </c>
      <c r="DH3" s="9" t="s">
        <v>20</v>
      </c>
      <c r="DI3" s="12" t="s">
        <v>21</v>
      </c>
      <c r="DJ3" s="11" t="s">
        <v>19</v>
      </c>
      <c r="DK3" s="9" t="s">
        <v>20</v>
      </c>
      <c r="DL3" s="12" t="s">
        <v>21</v>
      </c>
      <c r="DM3" s="11" t="s">
        <v>19</v>
      </c>
      <c r="DN3" s="9" t="s">
        <v>20</v>
      </c>
      <c r="DO3" s="12" t="s">
        <v>21</v>
      </c>
      <c r="DP3" s="8" t="s">
        <v>19</v>
      </c>
      <c r="DQ3" s="13" t="s">
        <v>20</v>
      </c>
      <c r="DR3" s="12" t="s">
        <v>21</v>
      </c>
      <c r="DS3" s="14" t="s">
        <v>19</v>
      </c>
      <c r="DT3" s="15" t="s">
        <v>20</v>
      </c>
      <c r="DU3" s="16" t="s">
        <v>21</v>
      </c>
    </row>
    <row r="4" spans="1:125" s="26" customFormat="1" ht="17.100000000000001" customHeight="1" x14ac:dyDescent="0.2">
      <c r="A4" s="18" t="s">
        <v>22</v>
      </c>
      <c r="B4" s="19">
        <v>6000</v>
      </c>
      <c r="C4" s="20"/>
      <c r="D4" s="21"/>
      <c r="E4" s="1">
        <f>$B4*D4</f>
        <v>0</v>
      </c>
      <c r="F4" s="20"/>
      <c r="G4" s="21"/>
      <c r="H4" s="1">
        <f>$B4*G4</f>
        <v>0</v>
      </c>
      <c r="I4" s="20"/>
      <c r="J4" s="21"/>
      <c r="K4" s="1">
        <f>$B4*J4</f>
        <v>0</v>
      </c>
      <c r="L4" s="22"/>
      <c r="M4" s="21"/>
      <c r="N4" s="1">
        <f>$B4*M4</f>
        <v>0</v>
      </c>
      <c r="O4" s="22"/>
      <c r="P4" s="21"/>
      <c r="Q4" s="1">
        <f>$B4*P4</f>
        <v>0</v>
      </c>
      <c r="R4" s="23"/>
      <c r="S4" s="21"/>
      <c r="T4" s="1">
        <f>$B4*S4</f>
        <v>0</v>
      </c>
      <c r="U4" s="24"/>
      <c r="V4" s="21"/>
      <c r="W4" s="63">
        <f>$B4*V4</f>
        <v>0</v>
      </c>
      <c r="X4" s="69">
        <f>C4+F4+I4+L4+O4+R4+U4</f>
        <v>0</v>
      </c>
      <c r="Y4" s="66">
        <f>D4+G4+J4+M4+P4+S4+V4</f>
        <v>0</v>
      </c>
      <c r="Z4" s="72">
        <f>E4+H4+K4+N4+Q4+T4+W4</f>
        <v>0</v>
      </c>
      <c r="AA4" s="25"/>
      <c r="AB4" s="21"/>
      <c r="AC4" s="1">
        <f>$B4*AB4</f>
        <v>0</v>
      </c>
      <c r="AD4" s="24"/>
      <c r="AE4" s="21"/>
      <c r="AF4" s="1">
        <f>$B4*AE4</f>
        <v>0</v>
      </c>
      <c r="AG4" s="24"/>
      <c r="AH4" s="21"/>
      <c r="AI4" s="1">
        <f>$B4*AH4</f>
        <v>0</v>
      </c>
      <c r="AJ4" s="24"/>
      <c r="AK4" s="21"/>
      <c r="AL4" s="1">
        <f>$B4*AK4</f>
        <v>0</v>
      </c>
      <c r="AM4" s="24"/>
      <c r="AN4" s="21"/>
      <c r="AO4" s="1">
        <f>$B4*AN4</f>
        <v>0</v>
      </c>
      <c r="AP4" s="24"/>
      <c r="AQ4" s="21"/>
      <c r="AR4" s="1">
        <f>$B4*AQ4</f>
        <v>0</v>
      </c>
      <c r="AS4" s="24"/>
      <c r="AT4" s="21">
        <v>1</v>
      </c>
      <c r="AU4" s="1">
        <f>$B4*AT4</f>
        <v>6000</v>
      </c>
      <c r="AV4" s="69">
        <f>AA4+AD4+AG4+AJ4+AM4+AP4+AS4</f>
        <v>0</v>
      </c>
      <c r="AW4" s="66">
        <f>AB4+AE4+AH4+AK4+AN4+AQ4+AT4</f>
        <v>1</v>
      </c>
      <c r="AX4" s="47">
        <f>AC4+AF4+AI4+AL4+AO4+AR4+AU4</f>
        <v>6000</v>
      </c>
      <c r="AY4" s="24"/>
      <c r="AZ4" s="21">
        <v>1</v>
      </c>
      <c r="BA4" s="1">
        <f>$B4*AZ4</f>
        <v>6000</v>
      </c>
      <c r="BB4" s="24"/>
      <c r="BC4" s="21">
        <v>2</v>
      </c>
      <c r="BD4" s="1">
        <f>$B4*BC4</f>
        <v>12000</v>
      </c>
      <c r="BE4" s="24"/>
      <c r="BF4" s="21">
        <v>3</v>
      </c>
      <c r="BG4" s="1">
        <f>$B4*BF4</f>
        <v>18000</v>
      </c>
      <c r="BH4" s="24"/>
      <c r="BI4" s="21">
        <v>2</v>
      </c>
      <c r="BJ4" s="1">
        <f>$B4*BI4</f>
        <v>12000</v>
      </c>
      <c r="BK4" s="24"/>
      <c r="BL4" s="21">
        <v>2</v>
      </c>
      <c r="BM4" s="1">
        <f>$B4*BL4</f>
        <v>12000</v>
      </c>
      <c r="BN4" s="24"/>
      <c r="BO4" s="21">
        <v>2</v>
      </c>
      <c r="BP4" s="1">
        <f>$B4*BO4</f>
        <v>12000</v>
      </c>
      <c r="BQ4" s="24"/>
      <c r="BR4" s="21">
        <v>2</v>
      </c>
      <c r="BS4" s="1">
        <f>$B4*BR4</f>
        <v>12000</v>
      </c>
      <c r="BT4" s="69">
        <f>AY4+BB4+BE4+BH4+BK4+BN4+BQ4</f>
        <v>0</v>
      </c>
      <c r="BU4" s="66">
        <f>AZ4+BC4+BF4+BI4+BL4+BO4+BR4</f>
        <v>14</v>
      </c>
      <c r="BV4" s="47">
        <f>BA4+BD4+BG4+BJ4+BM4+BP4+BS4</f>
        <v>84000</v>
      </c>
      <c r="BW4" s="24"/>
      <c r="BX4" s="21">
        <v>2</v>
      </c>
      <c r="BY4" s="1">
        <f>$B4*BX4</f>
        <v>12000</v>
      </c>
      <c r="BZ4" s="24"/>
      <c r="CA4" s="21">
        <v>3</v>
      </c>
      <c r="CB4" s="1">
        <f>$B4*CA4</f>
        <v>18000</v>
      </c>
      <c r="CC4" s="24"/>
      <c r="CD4" s="21">
        <v>2</v>
      </c>
      <c r="CE4" s="1">
        <f>$B4*CD4</f>
        <v>12000</v>
      </c>
      <c r="CF4" s="24"/>
      <c r="CG4" s="21">
        <v>2</v>
      </c>
      <c r="CH4" s="1">
        <f>$B4*CG4</f>
        <v>12000</v>
      </c>
      <c r="CI4" s="24"/>
      <c r="CJ4" s="21">
        <v>1</v>
      </c>
      <c r="CK4" s="1">
        <f>$B4*CJ4</f>
        <v>6000</v>
      </c>
      <c r="CL4" s="24"/>
      <c r="CM4" s="21"/>
      <c r="CN4" s="1">
        <f>$B4*CM4</f>
        <v>0</v>
      </c>
      <c r="CO4" s="24"/>
      <c r="CP4" s="21"/>
      <c r="CQ4" s="1">
        <f>$B4*CP4</f>
        <v>0</v>
      </c>
      <c r="CR4" s="69">
        <f>BW4+BZ4+CC4+CF4+CI4+CL4+CO4</f>
        <v>0</v>
      </c>
      <c r="CS4" s="66">
        <f>BX4+CA4+CD4+CG4+CJ4+CM4+CP4</f>
        <v>10</v>
      </c>
      <c r="CT4" s="47">
        <f>BY4+CB4+CE4+CH4+CK4+CN4+CQ4</f>
        <v>60000</v>
      </c>
      <c r="CU4" s="24"/>
      <c r="CV4" s="21">
        <v>1</v>
      </c>
      <c r="CW4" s="1">
        <f>$B4*CV4</f>
        <v>6000</v>
      </c>
      <c r="CX4" s="24"/>
      <c r="CY4" s="21">
        <v>1</v>
      </c>
      <c r="CZ4" s="1">
        <f>$B4*CY4</f>
        <v>6000</v>
      </c>
      <c r="DA4" s="24"/>
      <c r="DB4" s="21">
        <v>1</v>
      </c>
      <c r="DC4" s="1">
        <f>$B4*DB4</f>
        <v>6000</v>
      </c>
      <c r="DD4" s="24"/>
      <c r="DE4" s="21">
        <v>1</v>
      </c>
      <c r="DF4" s="1">
        <f>$B4*DE4</f>
        <v>6000</v>
      </c>
      <c r="DG4" s="24"/>
      <c r="DH4" s="21"/>
      <c r="DI4" s="1">
        <f>$B4*DH4</f>
        <v>0</v>
      </c>
      <c r="DJ4" s="24"/>
      <c r="DK4" s="21"/>
      <c r="DL4" s="1">
        <f>$B4*DK4</f>
        <v>0</v>
      </c>
      <c r="DM4" s="24"/>
      <c r="DN4" s="21"/>
      <c r="DO4" s="1">
        <f>$B4*DN4</f>
        <v>0</v>
      </c>
      <c r="DP4" s="69">
        <f>CU4+CX4+DA4+DD4+DG4+DJ4+DM4</f>
        <v>0</v>
      </c>
      <c r="DQ4" s="66">
        <f>CV4+CY4+DB4+DE4+DH4+DK4+DN4</f>
        <v>4</v>
      </c>
      <c r="DR4" s="47">
        <f>CW4+CZ4+DC4+DF4+DI4+DL4+DO4</f>
        <v>24000</v>
      </c>
      <c r="DS4" s="48">
        <f>X4+AV4+CR4+DP4</f>
        <v>0</v>
      </c>
      <c r="DT4" s="49">
        <f>Y4+AW4+BU4+CS4+DQ4</f>
        <v>29</v>
      </c>
      <c r="DU4" s="50">
        <f>Z4+AX4+BV4+CT4+DR4</f>
        <v>174000</v>
      </c>
    </row>
    <row r="5" spans="1:125" s="26" customFormat="1" ht="17.100000000000001" customHeight="1" x14ac:dyDescent="0.2">
      <c r="A5" s="27" t="s">
        <v>23</v>
      </c>
      <c r="B5" s="28">
        <v>6000</v>
      </c>
      <c r="C5" s="29"/>
      <c r="D5" s="30"/>
      <c r="E5" s="2">
        <f t="shared" ref="E5:E21" si="0">$B5*D5</f>
        <v>0</v>
      </c>
      <c r="F5" s="29"/>
      <c r="G5" s="30"/>
      <c r="H5" s="2">
        <f t="shared" ref="H5:H21" si="1">$B5*G5</f>
        <v>0</v>
      </c>
      <c r="I5" s="29"/>
      <c r="J5" s="30"/>
      <c r="K5" s="2">
        <f t="shared" ref="K5:K21" si="2">$B5*J5</f>
        <v>0</v>
      </c>
      <c r="L5" s="31"/>
      <c r="M5" s="30"/>
      <c r="N5" s="2">
        <f t="shared" ref="N5:N21" si="3">$B5*M5</f>
        <v>0</v>
      </c>
      <c r="O5" s="31"/>
      <c r="P5" s="30"/>
      <c r="Q5" s="2">
        <f t="shared" ref="Q5:Q21" si="4">$B5*P5</f>
        <v>0</v>
      </c>
      <c r="R5" s="32"/>
      <c r="S5" s="30"/>
      <c r="T5" s="2">
        <f t="shared" ref="T5:T21" si="5">$B5*S5</f>
        <v>0</v>
      </c>
      <c r="U5" s="33"/>
      <c r="V5" s="30"/>
      <c r="W5" s="64">
        <f t="shared" ref="W5:W21" si="6">$B5*V5</f>
        <v>0</v>
      </c>
      <c r="X5" s="70">
        <f t="shared" ref="X5:Z21" si="7">C5+F5+I5+L5+O5+R5+U5</f>
        <v>0</v>
      </c>
      <c r="Y5" s="67">
        <f t="shared" si="7"/>
        <v>0</v>
      </c>
      <c r="Z5" s="73">
        <f t="shared" si="7"/>
        <v>0</v>
      </c>
      <c r="AA5" s="35"/>
      <c r="AB5" s="30"/>
      <c r="AC5" s="2">
        <f t="shared" ref="AC5:AC21" si="8">$B5*AB5</f>
        <v>0</v>
      </c>
      <c r="AD5" s="33"/>
      <c r="AE5" s="30"/>
      <c r="AF5" s="2">
        <f t="shared" ref="AF5:AF21" si="9">$B5*AE5</f>
        <v>0</v>
      </c>
      <c r="AG5" s="33"/>
      <c r="AH5" s="30"/>
      <c r="AI5" s="2">
        <f t="shared" ref="AI5:AI21" si="10">$B5*AH5</f>
        <v>0</v>
      </c>
      <c r="AJ5" s="33"/>
      <c r="AK5" s="30"/>
      <c r="AL5" s="2">
        <f t="shared" ref="AL5:AL21" si="11">$B5*AK5</f>
        <v>0</v>
      </c>
      <c r="AM5" s="33"/>
      <c r="AN5" s="30"/>
      <c r="AO5" s="2">
        <f t="shared" ref="AO5:AO21" si="12">$B5*AN5</f>
        <v>0</v>
      </c>
      <c r="AP5" s="33">
        <v>30000</v>
      </c>
      <c r="AQ5" s="30"/>
      <c r="AR5" s="2">
        <f t="shared" ref="AR5:AR21" si="13">$B5*AQ5</f>
        <v>0</v>
      </c>
      <c r="AS5" s="33"/>
      <c r="AT5" s="30"/>
      <c r="AU5" s="2">
        <f t="shared" ref="AU5:AU21" si="14">$B5*AT5</f>
        <v>0</v>
      </c>
      <c r="AV5" s="70">
        <f t="shared" ref="AV5:AX21" si="15">AA5+AD5+AG5+AJ5+AM5+AP5+AS5</f>
        <v>30000</v>
      </c>
      <c r="AW5" s="67">
        <f t="shared" si="15"/>
        <v>0</v>
      </c>
      <c r="AX5" s="51">
        <f t="shared" si="15"/>
        <v>0</v>
      </c>
      <c r="AY5" s="33"/>
      <c r="AZ5" s="30">
        <v>1</v>
      </c>
      <c r="BA5" s="2">
        <f t="shared" ref="BA5:BA21" si="16">$B5*AZ5</f>
        <v>6000</v>
      </c>
      <c r="BB5" s="33"/>
      <c r="BC5" s="30">
        <v>3</v>
      </c>
      <c r="BD5" s="2">
        <f t="shared" ref="BD5:BD21" si="17">$B5*BC5</f>
        <v>18000</v>
      </c>
      <c r="BE5" s="33"/>
      <c r="BF5" s="30">
        <v>3</v>
      </c>
      <c r="BG5" s="2">
        <f t="shared" ref="BG5:BG21" si="18">$B5*BF5</f>
        <v>18000</v>
      </c>
      <c r="BH5" s="33"/>
      <c r="BI5" s="30">
        <v>2</v>
      </c>
      <c r="BJ5" s="2">
        <f t="shared" ref="BJ5:BJ21" si="19">$B5*BI5</f>
        <v>12000</v>
      </c>
      <c r="BK5" s="33"/>
      <c r="BL5" s="30">
        <v>2</v>
      </c>
      <c r="BM5" s="2">
        <f t="shared" ref="BM5:BM21" si="20">$B5*BL5</f>
        <v>12000</v>
      </c>
      <c r="BN5" s="33"/>
      <c r="BO5" s="30">
        <v>1</v>
      </c>
      <c r="BP5" s="2">
        <f t="shared" ref="BP5:BP21" si="21">$B5*BO5</f>
        <v>6000</v>
      </c>
      <c r="BQ5" s="33"/>
      <c r="BR5" s="30">
        <v>2</v>
      </c>
      <c r="BS5" s="2">
        <f t="shared" ref="BS5:BS21" si="22">$B5*BR5</f>
        <v>12000</v>
      </c>
      <c r="BT5" s="70">
        <f t="shared" ref="BT5:BV21" si="23">AY5+BB5+BE5+BH5+BK5+BN5+BQ5</f>
        <v>0</v>
      </c>
      <c r="BU5" s="67">
        <f t="shared" si="23"/>
        <v>14</v>
      </c>
      <c r="BV5" s="51">
        <f t="shared" si="23"/>
        <v>84000</v>
      </c>
      <c r="BW5" s="33"/>
      <c r="BX5" s="30">
        <v>2</v>
      </c>
      <c r="BY5" s="2">
        <f t="shared" ref="BY5:BY21" si="24">$B5*BX5</f>
        <v>12000</v>
      </c>
      <c r="BZ5" s="33"/>
      <c r="CA5" s="30">
        <v>3</v>
      </c>
      <c r="CB5" s="2">
        <f t="shared" ref="CB5:CB21" si="25">$B5*CA5</f>
        <v>18000</v>
      </c>
      <c r="CC5" s="33"/>
      <c r="CD5" s="30">
        <v>2</v>
      </c>
      <c r="CE5" s="2">
        <f t="shared" ref="CE5:CE21" si="26">$B5*CD5</f>
        <v>12000</v>
      </c>
      <c r="CF5" s="33"/>
      <c r="CG5" s="30">
        <v>2</v>
      </c>
      <c r="CH5" s="2">
        <f t="shared" ref="CH5:CH21" si="27">$B5*CG5</f>
        <v>12000</v>
      </c>
      <c r="CI5" s="33"/>
      <c r="CJ5" s="30">
        <v>2</v>
      </c>
      <c r="CK5" s="2">
        <f t="shared" ref="CK5:CK21" si="28">$B5*CJ5</f>
        <v>12000</v>
      </c>
      <c r="CL5" s="33"/>
      <c r="CM5" s="30"/>
      <c r="CN5" s="2">
        <f t="shared" ref="CN5:CN21" si="29">$B5*CM5</f>
        <v>0</v>
      </c>
      <c r="CO5" s="33"/>
      <c r="CP5" s="30"/>
      <c r="CQ5" s="2">
        <f t="shared" ref="CQ5:CQ21" si="30">$B5*CP5</f>
        <v>0</v>
      </c>
      <c r="CR5" s="70">
        <f t="shared" ref="CR5:CT21" si="31">BW5+BZ5+CC5+CF5+CI5+CL5+CO5</f>
        <v>0</v>
      </c>
      <c r="CS5" s="67">
        <f t="shared" si="31"/>
        <v>11</v>
      </c>
      <c r="CT5" s="51">
        <f t="shared" si="31"/>
        <v>66000</v>
      </c>
      <c r="CU5" s="33"/>
      <c r="CV5" s="30">
        <v>1</v>
      </c>
      <c r="CW5" s="2">
        <f t="shared" ref="CW5:CW21" si="32">$B5*CV5</f>
        <v>6000</v>
      </c>
      <c r="CX5" s="33"/>
      <c r="CY5" s="30"/>
      <c r="CZ5" s="2">
        <f t="shared" ref="CZ5:CZ21" si="33">$B5*CY5</f>
        <v>0</v>
      </c>
      <c r="DA5" s="33"/>
      <c r="DB5" s="30">
        <v>1</v>
      </c>
      <c r="DC5" s="2">
        <f t="shared" ref="DC5:DC21" si="34">$B5*DB5</f>
        <v>6000</v>
      </c>
      <c r="DD5" s="33"/>
      <c r="DE5" s="30"/>
      <c r="DF5" s="2">
        <f t="shared" ref="DF5:DF21" si="35">$B5*DE5</f>
        <v>0</v>
      </c>
      <c r="DG5" s="33"/>
      <c r="DH5" s="30"/>
      <c r="DI5" s="2">
        <f t="shared" ref="DI5:DI21" si="36">$B5*DH5</f>
        <v>0</v>
      </c>
      <c r="DJ5" s="33"/>
      <c r="DK5" s="30"/>
      <c r="DL5" s="2">
        <f t="shared" ref="DL5:DL21" si="37">$B5*DK5</f>
        <v>0</v>
      </c>
      <c r="DM5" s="33"/>
      <c r="DN5" s="30"/>
      <c r="DO5" s="2">
        <f t="shared" ref="DO5:DO21" si="38">$B5*DN5</f>
        <v>0</v>
      </c>
      <c r="DP5" s="70">
        <f t="shared" ref="DP5:DR21" si="39">CU5+CX5+DA5+DD5+DG5+DJ5+DM5</f>
        <v>0</v>
      </c>
      <c r="DQ5" s="67">
        <f t="shared" si="39"/>
        <v>2</v>
      </c>
      <c r="DR5" s="51">
        <f t="shared" si="39"/>
        <v>12000</v>
      </c>
      <c r="DS5" s="52">
        <f t="shared" ref="DS5:DS21" si="40">X5+AV5+CR5+DP5</f>
        <v>30000</v>
      </c>
      <c r="DT5" s="53">
        <f t="shared" ref="DT5:DU21" si="41">Y5+AW5+BU5+CS5+DQ5</f>
        <v>27</v>
      </c>
      <c r="DU5" s="54">
        <f t="shared" si="41"/>
        <v>162000</v>
      </c>
    </row>
    <row r="6" spans="1:125" s="26" customFormat="1" ht="17.100000000000001" customHeight="1" x14ac:dyDescent="0.2">
      <c r="A6" s="27" t="s">
        <v>24</v>
      </c>
      <c r="B6" s="28">
        <v>6000</v>
      </c>
      <c r="C6" s="29"/>
      <c r="D6" s="30"/>
      <c r="E6" s="2">
        <f t="shared" si="0"/>
        <v>0</v>
      </c>
      <c r="F6" s="29"/>
      <c r="G6" s="30"/>
      <c r="H6" s="2">
        <f t="shared" si="1"/>
        <v>0</v>
      </c>
      <c r="I6" s="29"/>
      <c r="J6" s="30"/>
      <c r="K6" s="2">
        <f t="shared" si="2"/>
        <v>0</v>
      </c>
      <c r="L6" s="31"/>
      <c r="M6" s="30"/>
      <c r="N6" s="2">
        <f t="shared" si="3"/>
        <v>0</v>
      </c>
      <c r="O6" s="31"/>
      <c r="P6" s="30"/>
      <c r="Q6" s="2">
        <f t="shared" si="4"/>
        <v>0</v>
      </c>
      <c r="R6" s="32"/>
      <c r="S6" s="30"/>
      <c r="T6" s="2">
        <f t="shared" si="5"/>
        <v>0</v>
      </c>
      <c r="U6" s="33"/>
      <c r="V6" s="30"/>
      <c r="W6" s="64">
        <f t="shared" si="6"/>
        <v>0</v>
      </c>
      <c r="X6" s="70">
        <f t="shared" si="7"/>
        <v>0</v>
      </c>
      <c r="Y6" s="67">
        <f t="shared" si="7"/>
        <v>0</v>
      </c>
      <c r="Z6" s="73">
        <f t="shared" si="7"/>
        <v>0</v>
      </c>
      <c r="AA6" s="35"/>
      <c r="AB6" s="30"/>
      <c r="AC6" s="2">
        <f t="shared" si="8"/>
        <v>0</v>
      </c>
      <c r="AD6" s="33"/>
      <c r="AE6" s="30"/>
      <c r="AF6" s="2">
        <f t="shared" si="9"/>
        <v>0</v>
      </c>
      <c r="AG6" s="33"/>
      <c r="AH6" s="30"/>
      <c r="AI6" s="2">
        <f t="shared" si="10"/>
        <v>0</v>
      </c>
      <c r="AJ6" s="33"/>
      <c r="AK6" s="30"/>
      <c r="AL6" s="2">
        <f t="shared" si="11"/>
        <v>0</v>
      </c>
      <c r="AM6" s="33"/>
      <c r="AN6" s="30"/>
      <c r="AO6" s="2">
        <f t="shared" si="12"/>
        <v>0</v>
      </c>
      <c r="AP6" s="33"/>
      <c r="AQ6" s="30"/>
      <c r="AR6" s="2">
        <f t="shared" si="13"/>
        <v>0</v>
      </c>
      <c r="AS6" s="33"/>
      <c r="AT6" s="30">
        <v>1</v>
      </c>
      <c r="AU6" s="2">
        <f t="shared" si="14"/>
        <v>6000</v>
      </c>
      <c r="AV6" s="70">
        <f t="shared" si="15"/>
        <v>0</v>
      </c>
      <c r="AW6" s="67">
        <f t="shared" si="15"/>
        <v>1</v>
      </c>
      <c r="AX6" s="51">
        <f t="shared" si="15"/>
        <v>6000</v>
      </c>
      <c r="AY6" s="33"/>
      <c r="AZ6" s="30"/>
      <c r="BA6" s="2">
        <f t="shared" si="16"/>
        <v>0</v>
      </c>
      <c r="BB6" s="33"/>
      <c r="BC6" s="30">
        <v>3</v>
      </c>
      <c r="BD6" s="2">
        <f t="shared" si="17"/>
        <v>18000</v>
      </c>
      <c r="BE6" s="33"/>
      <c r="BF6" s="30">
        <v>3</v>
      </c>
      <c r="BG6" s="2">
        <f t="shared" si="18"/>
        <v>18000</v>
      </c>
      <c r="BH6" s="33"/>
      <c r="BI6" s="30">
        <v>2</v>
      </c>
      <c r="BJ6" s="2">
        <f t="shared" si="19"/>
        <v>12000</v>
      </c>
      <c r="BK6" s="33"/>
      <c r="BL6" s="30">
        <v>2</v>
      </c>
      <c r="BM6" s="2">
        <f t="shared" si="20"/>
        <v>12000</v>
      </c>
      <c r="BN6" s="33"/>
      <c r="BO6" s="30">
        <v>1</v>
      </c>
      <c r="BP6" s="2">
        <f t="shared" si="21"/>
        <v>6000</v>
      </c>
      <c r="BQ6" s="33"/>
      <c r="BR6" s="30">
        <v>2</v>
      </c>
      <c r="BS6" s="2">
        <f t="shared" si="22"/>
        <v>12000</v>
      </c>
      <c r="BT6" s="70">
        <f t="shared" si="23"/>
        <v>0</v>
      </c>
      <c r="BU6" s="67">
        <f t="shared" si="23"/>
        <v>13</v>
      </c>
      <c r="BV6" s="51">
        <f t="shared" si="23"/>
        <v>78000</v>
      </c>
      <c r="BW6" s="33"/>
      <c r="BX6" s="30">
        <v>2</v>
      </c>
      <c r="BY6" s="2">
        <f t="shared" si="24"/>
        <v>12000</v>
      </c>
      <c r="BZ6" s="33"/>
      <c r="CA6" s="99">
        <v>2.5</v>
      </c>
      <c r="CB6" s="2">
        <f t="shared" si="25"/>
        <v>15000</v>
      </c>
      <c r="CC6" s="33"/>
      <c r="CD6" s="30">
        <v>2</v>
      </c>
      <c r="CE6" s="2">
        <f t="shared" si="26"/>
        <v>12000</v>
      </c>
      <c r="CF6" s="33"/>
      <c r="CG6" s="30">
        <v>2</v>
      </c>
      <c r="CH6" s="2">
        <f t="shared" si="27"/>
        <v>12000</v>
      </c>
      <c r="CI6" s="33"/>
      <c r="CJ6" s="30">
        <v>2</v>
      </c>
      <c r="CK6" s="2">
        <f t="shared" si="28"/>
        <v>12000</v>
      </c>
      <c r="CL6" s="33"/>
      <c r="CM6" s="30"/>
      <c r="CN6" s="2">
        <f t="shared" si="29"/>
        <v>0</v>
      </c>
      <c r="CO6" s="33"/>
      <c r="CP6" s="30"/>
      <c r="CQ6" s="2">
        <f t="shared" si="30"/>
        <v>0</v>
      </c>
      <c r="CR6" s="70">
        <f t="shared" si="31"/>
        <v>0</v>
      </c>
      <c r="CS6" s="100">
        <f t="shared" si="31"/>
        <v>10.5</v>
      </c>
      <c r="CT6" s="51">
        <f t="shared" si="31"/>
        <v>63000</v>
      </c>
      <c r="CU6" s="33"/>
      <c r="CV6" s="30"/>
      <c r="CW6" s="2">
        <f t="shared" si="32"/>
        <v>0</v>
      </c>
      <c r="CX6" s="33"/>
      <c r="CY6" s="30"/>
      <c r="CZ6" s="2">
        <f t="shared" si="33"/>
        <v>0</v>
      </c>
      <c r="DA6" s="33"/>
      <c r="DB6" s="30"/>
      <c r="DC6" s="2">
        <f t="shared" si="34"/>
        <v>0</v>
      </c>
      <c r="DD6" s="33"/>
      <c r="DE6" s="30"/>
      <c r="DF6" s="2">
        <f t="shared" si="35"/>
        <v>0</v>
      </c>
      <c r="DG6" s="33"/>
      <c r="DH6" s="30"/>
      <c r="DI6" s="2">
        <f t="shared" si="36"/>
        <v>0</v>
      </c>
      <c r="DJ6" s="33"/>
      <c r="DK6" s="30"/>
      <c r="DL6" s="2">
        <f t="shared" si="37"/>
        <v>0</v>
      </c>
      <c r="DM6" s="33"/>
      <c r="DN6" s="30"/>
      <c r="DO6" s="2">
        <f t="shared" si="38"/>
        <v>0</v>
      </c>
      <c r="DP6" s="70">
        <f t="shared" si="39"/>
        <v>0</v>
      </c>
      <c r="DQ6" s="67">
        <f t="shared" si="39"/>
        <v>0</v>
      </c>
      <c r="DR6" s="51">
        <f t="shared" si="39"/>
        <v>0</v>
      </c>
      <c r="DS6" s="52">
        <f t="shared" si="40"/>
        <v>0</v>
      </c>
      <c r="DT6" s="107">
        <f t="shared" si="41"/>
        <v>24.5</v>
      </c>
      <c r="DU6" s="54">
        <f t="shared" si="41"/>
        <v>147000</v>
      </c>
    </row>
    <row r="7" spans="1:125" s="26" customFormat="1" ht="17.100000000000001" customHeight="1" x14ac:dyDescent="0.2">
      <c r="A7" s="27" t="s">
        <v>25</v>
      </c>
      <c r="B7" s="28">
        <v>6000</v>
      </c>
      <c r="C7" s="29"/>
      <c r="D7" s="30"/>
      <c r="E7" s="2">
        <f t="shared" si="0"/>
        <v>0</v>
      </c>
      <c r="F7" s="29"/>
      <c r="G7" s="30"/>
      <c r="H7" s="2">
        <f t="shared" si="1"/>
        <v>0</v>
      </c>
      <c r="I7" s="29"/>
      <c r="J7" s="30"/>
      <c r="K7" s="2">
        <f t="shared" si="2"/>
        <v>0</v>
      </c>
      <c r="L7" s="31"/>
      <c r="M7" s="30"/>
      <c r="N7" s="2">
        <f t="shared" si="3"/>
        <v>0</v>
      </c>
      <c r="O7" s="31"/>
      <c r="P7" s="30"/>
      <c r="Q7" s="2">
        <f t="shared" si="4"/>
        <v>0</v>
      </c>
      <c r="R7" s="32"/>
      <c r="S7" s="30"/>
      <c r="T7" s="2">
        <f t="shared" si="5"/>
        <v>0</v>
      </c>
      <c r="U7" s="33"/>
      <c r="V7" s="30"/>
      <c r="W7" s="64">
        <f t="shared" si="6"/>
        <v>0</v>
      </c>
      <c r="X7" s="70">
        <f t="shared" si="7"/>
        <v>0</v>
      </c>
      <c r="Y7" s="67">
        <f t="shared" si="7"/>
        <v>0</v>
      </c>
      <c r="Z7" s="73">
        <f t="shared" si="7"/>
        <v>0</v>
      </c>
      <c r="AA7" s="35"/>
      <c r="AB7" s="30"/>
      <c r="AC7" s="2">
        <f t="shared" si="8"/>
        <v>0</v>
      </c>
      <c r="AD7" s="33"/>
      <c r="AE7" s="30"/>
      <c r="AF7" s="2">
        <f t="shared" si="9"/>
        <v>0</v>
      </c>
      <c r="AG7" s="33"/>
      <c r="AH7" s="30"/>
      <c r="AI7" s="2">
        <f t="shared" si="10"/>
        <v>0</v>
      </c>
      <c r="AJ7" s="33"/>
      <c r="AK7" s="30"/>
      <c r="AL7" s="2">
        <f t="shared" si="11"/>
        <v>0</v>
      </c>
      <c r="AM7" s="33"/>
      <c r="AN7" s="30"/>
      <c r="AO7" s="2">
        <f t="shared" si="12"/>
        <v>0</v>
      </c>
      <c r="AP7" s="33"/>
      <c r="AQ7" s="30"/>
      <c r="AR7" s="2">
        <f t="shared" si="13"/>
        <v>0</v>
      </c>
      <c r="AS7" s="33"/>
      <c r="AT7" s="30"/>
      <c r="AU7" s="2">
        <f t="shared" si="14"/>
        <v>0</v>
      </c>
      <c r="AV7" s="70">
        <f t="shared" si="15"/>
        <v>0</v>
      </c>
      <c r="AW7" s="67">
        <f t="shared" si="15"/>
        <v>0</v>
      </c>
      <c r="AX7" s="51">
        <f t="shared" si="15"/>
        <v>0</v>
      </c>
      <c r="AY7" s="33"/>
      <c r="AZ7" s="30">
        <v>1</v>
      </c>
      <c r="BA7" s="2">
        <f t="shared" si="16"/>
        <v>6000</v>
      </c>
      <c r="BB7" s="33"/>
      <c r="BC7" s="30">
        <v>3</v>
      </c>
      <c r="BD7" s="2">
        <f t="shared" si="17"/>
        <v>18000</v>
      </c>
      <c r="BE7" s="33"/>
      <c r="BF7" s="30">
        <v>3</v>
      </c>
      <c r="BG7" s="2">
        <f t="shared" si="18"/>
        <v>18000</v>
      </c>
      <c r="BH7" s="33"/>
      <c r="BI7" s="30">
        <v>2</v>
      </c>
      <c r="BJ7" s="2">
        <f t="shared" si="19"/>
        <v>12000</v>
      </c>
      <c r="BK7" s="33"/>
      <c r="BL7" s="30"/>
      <c r="BM7" s="2">
        <f t="shared" si="20"/>
        <v>0</v>
      </c>
      <c r="BN7" s="33"/>
      <c r="BO7" s="30">
        <v>1</v>
      </c>
      <c r="BP7" s="2">
        <f t="shared" si="21"/>
        <v>6000</v>
      </c>
      <c r="BQ7" s="33"/>
      <c r="BR7" s="30">
        <v>2</v>
      </c>
      <c r="BS7" s="2">
        <f t="shared" si="22"/>
        <v>12000</v>
      </c>
      <c r="BT7" s="70">
        <f t="shared" si="23"/>
        <v>0</v>
      </c>
      <c r="BU7" s="67">
        <f t="shared" si="23"/>
        <v>12</v>
      </c>
      <c r="BV7" s="51">
        <f t="shared" si="23"/>
        <v>72000</v>
      </c>
      <c r="BW7" s="33"/>
      <c r="BX7" s="30">
        <v>2</v>
      </c>
      <c r="BY7" s="2">
        <f t="shared" si="24"/>
        <v>12000</v>
      </c>
      <c r="BZ7" s="33"/>
      <c r="CA7" s="30">
        <v>2</v>
      </c>
      <c r="CB7" s="2">
        <f t="shared" si="25"/>
        <v>12000</v>
      </c>
      <c r="CC7" s="33"/>
      <c r="CD7" s="30">
        <v>2</v>
      </c>
      <c r="CE7" s="2">
        <f t="shared" si="26"/>
        <v>12000</v>
      </c>
      <c r="CF7" s="33"/>
      <c r="CG7" s="30">
        <v>2</v>
      </c>
      <c r="CH7" s="2">
        <f t="shared" si="27"/>
        <v>12000</v>
      </c>
      <c r="CI7" s="33"/>
      <c r="CJ7" s="30">
        <v>1</v>
      </c>
      <c r="CK7" s="2">
        <f t="shared" si="28"/>
        <v>6000</v>
      </c>
      <c r="CL7" s="33"/>
      <c r="CM7" s="30"/>
      <c r="CN7" s="2">
        <f t="shared" si="29"/>
        <v>0</v>
      </c>
      <c r="CO7" s="33"/>
      <c r="CP7" s="30"/>
      <c r="CQ7" s="2">
        <f t="shared" si="30"/>
        <v>0</v>
      </c>
      <c r="CR7" s="70">
        <f t="shared" si="31"/>
        <v>0</v>
      </c>
      <c r="CS7" s="67">
        <f t="shared" si="31"/>
        <v>9</v>
      </c>
      <c r="CT7" s="51">
        <f t="shared" si="31"/>
        <v>54000</v>
      </c>
      <c r="CU7" s="33"/>
      <c r="CV7" s="30">
        <v>1</v>
      </c>
      <c r="CW7" s="2">
        <f t="shared" si="32"/>
        <v>6000</v>
      </c>
      <c r="CX7" s="33"/>
      <c r="CY7" s="30"/>
      <c r="CZ7" s="2">
        <f t="shared" si="33"/>
        <v>0</v>
      </c>
      <c r="DA7" s="33"/>
      <c r="DB7" s="30"/>
      <c r="DC7" s="2">
        <f t="shared" si="34"/>
        <v>0</v>
      </c>
      <c r="DD7" s="33"/>
      <c r="DE7" s="30">
        <v>1</v>
      </c>
      <c r="DF7" s="2">
        <f t="shared" si="35"/>
        <v>6000</v>
      </c>
      <c r="DG7" s="33"/>
      <c r="DH7" s="30"/>
      <c r="DI7" s="2">
        <f t="shared" si="36"/>
        <v>0</v>
      </c>
      <c r="DJ7" s="33"/>
      <c r="DK7" s="30"/>
      <c r="DL7" s="2">
        <f t="shared" si="37"/>
        <v>0</v>
      </c>
      <c r="DM7" s="33"/>
      <c r="DN7" s="30"/>
      <c r="DO7" s="2">
        <f t="shared" si="38"/>
        <v>0</v>
      </c>
      <c r="DP7" s="70">
        <f t="shared" si="39"/>
        <v>0</v>
      </c>
      <c r="DQ7" s="67">
        <f t="shared" si="39"/>
        <v>2</v>
      </c>
      <c r="DR7" s="51">
        <f t="shared" si="39"/>
        <v>12000</v>
      </c>
      <c r="DS7" s="52">
        <f t="shared" si="40"/>
        <v>0</v>
      </c>
      <c r="DT7" s="53">
        <f t="shared" si="41"/>
        <v>23</v>
      </c>
      <c r="DU7" s="54">
        <f t="shared" si="41"/>
        <v>138000</v>
      </c>
    </row>
    <row r="8" spans="1:125" s="26" customFormat="1" ht="17.100000000000001" customHeight="1" x14ac:dyDescent="0.2">
      <c r="A8" s="27" t="s">
        <v>26</v>
      </c>
      <c r="B8" s="28">
        <v>6000</v>
      </c>
      <c r="C8" s="29"/>
      <c r="D8" s="30"/>
      <c r="E8" s="2">
        <f t="shared" si="0"/>
        <v>0</v>
      </c>
      <c r="F8" s="29"/>
      <c r="G8" s="30"/>
      <c r="H8" s="2">
        <f t="shared" si="1"/>
        <v>0</v>
      </c>
      <c r="I8" s="29"/>
      <c r="J8" s="30"/>
      <c r="K8" s="2">
        <f t="shared" si="2"/>
        <v>0</v>
      </c>
      <c r="L8" s="31"/>
      <c r="M8" s="30"/>
      <c r="N8" s="2">
        <f t="shared" si="3"/>
        <v>0</v>
      </c>
      <c r="O8" s="33"/>
      <c r="P8" s="30"/>
      <c r="Q8" s="2">
        <f t="shared" si="4"/>
        <v>0</v>
      </c>
      <c r="R8" s="32"/>
      <c r="S8" s="30"/>
      <c r="T8" s="2">
        <f t="shared" si="5"/>
        <v>0</v>
      </c>
      <c r="U8" s="33"/>
      <c r="V8" s="30"/>
      <c r="W8" s="64">
        <f t="shared" si="6"/>
        <v>0</v>
      </c>
      <c r="X8" s="70">
        <f t="shared" si="7"/>
        <v>0</v>
      </c>
      <c r="Y8" s="67">
        <f t="shared" si="7"/>
        <v>0</v>
      </c>
      <c r="Z8" s="73">
        <f t="shared" si="7"/>
        <v>0</v>
      </c>
      <c r="AA8" s="35"/>
      <c r="AB8" s="30"/>
      <c r="AC8" s="2">
        <f t="shared" si="8"/>
        <v>0</v>
      </c>
      <c r="AD8" s="33"/>
      <c r="AE8" s="30"/>
      <c r="AF8" s="2">
        <f t="shared" si="9"/>
        <v>0</v>
      </c>
      <c r="AG8" s="33"/>
      <c r="AH8" s="30"/>
      <c r="AI8" s="2">
        <f t="shared" si="10"/>
        <v>0</v>
      </c>
      <c r="AJ8" s="33"/>
      <c r="AK8" s="30"/>
      <c r="AL8" s="2">
        <f t="shared" si="11"/>
        <v>0</v>
      </c>
      <c r="AM8" s="33"/>
      <c r="AN8" s="30">
        <v>1</v>
      </c>
      <c r="AO8" s="2">
        <f t="shared" si="12"/>
        <v>6000</v>
      </c>
      <c r="AP8" s="33"/>
      <c r="AQ8" s="30"/>
      <c r="AR8" s="2">
        <f t="shared" si="13"/>
        <v>0</v>
      </c>
      <c r="AS8" s="33"/>
      <c r="AT8" s="30"/>
      <c r="AU8" s="2">
        <f t="shared" si="14"/>
        <v>0</v>
      </c>
      <c r="AV8" s="70">
        <f t="shared" si="15"/>
        <v>0</v>
      </c>
      <c r="AW8" s="67">
        <f t="shared" si="15"/>
        <v>1</v>
      </c>
      <c r="AX8" s="51">
        <f t="shared" si="15"/>
        <v>6000</v>
      </c>
      <c r="AY8" s="33"/>
      <c r="AZ8" s="30">
        <v>1</v>
      </c>
      <c r="BA8" s="2">
        <f t="shared" si="16"/>
        <v>6000</v>
      </c>
      <c r="BB8" s="33">
        <v>5000</v>
      </c>
      <c r="BC8" s="30">
        <v>2</v>
      </c>
      <c r="BD8" s="2">
        <f t="shared" si="17"/>
        <v>12000</v>
      </c>
      <c r="BE8" s="33"/>
      <c r="BF8" s="30">
        <v>3</v>
      </c>
      <c r="BG8" s="2">
        <f t="shared" si="18"/>
        <v>18000</v>
      </c>
      <c r="BH8" s="33"/>
      <c r="BI8" s="30">
        <v>2</v>
      </c>
      <c r="BJ8" s="2">
        <f t="shared" si="19"/>
        <v>12000</v>
      </c>
      <c r="BK8" s="33"/>
      <c r="BL8" s="30">
        <v>2</v>
      </c>
      <c r="BM8" s="2">
        <f t="shared" si="20"/>
        <v>12000</v>
      </c>
      <c r="BN8" s="33"/>
      <c r="BO8" s="30">
        <v>1</v>
      </c>
      <c r="BP8" s="2">
        <f t="shared" si="21"/>
        <v>6000</v>
      </c>
      <c r="BQ8" s="33"/>
      <c r="BR8" s="30"/>
      <c r="BS8" s="2">
        <f t="shared" si="22"/>
        <v>0</v>
      </c>
      <c r="BT8" s="70">
        <f t="shared" si="23"/>
        <v>5000</v>
      </c>
      <c r="BU8" s="67">
        <f t="shared" si="23"/>
        <v>11</v>
      </c>
      <c r="BV8" s="51">
        <f t="shared" si="23"/>
        <v>66000</v>
      </c>
      <c r="BW8" s="33"/>
      <c r="BX8" s="30">
        <v>2</v>
      </c>
      <c r="BY8" s="2">
        <f t="shared" si="24"/>
        <v>12000</v>
      </c>
      <c r="BZ8" s="33"/>
      <c r="CA8" s="30">
        <v>3</v>
      </c>
      <c r="CB8" s="2">
        <f t="shared" si="25"/>
        <v>18000</v>
      </c>
      <c r="CC8" s="33"/>
      <c r="CD8" s="30">
        <v>2</v>
      </c>
      <c r="CE8" s="2">
        <f t="shared" si="26"/>
        <v>12000</v>
      </c>
      <c r="CF8" s="33"/>
      <c r="CG8" s="30"/>
      <c r="CH8" s="2">
        <f t="shared" si="27"/>
        <v>0</v>
      </c>
      <c r="CI8" s="33"/>
      <c r="CJ8" s="30">
        <v>1</v>
      </c>
      <c r="CK8" s="2">
        <f t="shared" si="28"/>
        <v>6000</v>
      </c>
      <c r="CL8" s="33"/>
      <c r="CM8" s="30"/>
      <c r="CN8" s="2">
        <f t="shared" si="29"/>
        <v>0</v>
      </c>
      <c r="CO8" s="33"/>
      <c r="CP8" s="30"/>
      <c r="CQ8" s="2">
        <f t="shared" si="30"/>
        <v>0</v>
      </c>
      <c r="CR8" s="70">
        <f t="shared" si="31"/>
        <v>0</v>
      </c>
      <c r="CS8" s="67">
        <f t="shared" si="31"/>
        <v>8</v>
      </c>
      <c r="CT8" s="51">
        <f t="shared" si="31"/>
        <v>48000</v>
      </c>
      <c r="CU8" s="33"/>
      <c r="CV8" s="30">
        <v>1</v>
      </c>
      <c r="CW8" s="2">
        <f t="shared" si="32"/>
        <v>6000</v>
      </c>
      <c r="CX8" s="33">
        <v>3000</v>
      </c>
      <c r="CY8" s="30"/>
      <c r="CZ8" s="2">
        <f t="shared" si="33"/>
        <v>0</v>
      </c>
      <c r="DA8" s="33"/>
      <c r="DB8" s="30">
        <v>1</v>
      </c>
      <c r="DC8" s="2">
        <f t="shared" si="34"/>
        <v>6000</v>
      </c>
      <c r="DD8" s="33"/>
      <c r="DE8" s="30">
        <v>1</v>
      </c>
      <c r="DF8" s="2">
        <f t="shared" si="35"/>
        <v>6000</v>
      </c>
      <c r="DG8" s="33"/>
      <c r="DH8" s="30"/>
      <c r="DI8" s="2">
        <f t="shared" si="36"/>
        <v>0</v>
      </c>
      <c r="DJ8" s="33"/>
      <c r="DK8" s="30"/>
      <c r="DL8" s="2">
        <f t="shared" si="37"/>
        <v>0</v>
      </c>
      <c r="DM8" s="33"/>
      <c r="DN8" s="30"/>
      <c r="DO8" s="2">
        <f t="shared" si="38"/>
        <v>0</v>
      </c>
      <c r="DP8" s="70">
        <f t="shared" si="39"/>
        <v>3000</v>
      </c>
      <c r="DQ8" s="67">
        <f t="shared" si="39"/>
        <v>3</v>
      </c>
      <c r="DR8" s="51">
        <f t="shared" si="39"/>
        <v>18000</v>
      </c>
      <c r="DS8" s="52">
        <f t="shared" si="40"/>
        <v>3000</v>
      </c>
      <c r="DT8" s="53">
        <f t="shared" si="41"/>
        <v>23</v>
      </c>
      <c r="DU8" s="54">
        <f t="shared" si="41"/>
        <v>138000</v>
      </c>
    </row>
    <row r="9" spans="1:125" s="26" customFormat="1" ht="17.100000000000001" customHeight="1" x14ac:dyDescent="0.2">
      <c r="A9" s="27" t="s">
        <v>27</v>
      </c>
      <c r="B9" s="28">
        <v>6000</v>
      </c>
      <c r="C9" s="29"/>
      <c r="D9" s="30"/>
      <c r="E9" s="2">
        <f t="shared" si="0"/>
        <v>0</v>
      </c>
      <c r="F9" s="29"/>
      <c r="G9" s="30"/>
      <c r="H9" s="2">
        <f t="shared" si="1"/>
        <v>0</v>
      </c>
      <c r="I9" s="29"/>
      <c r="J9" s="30"/>
      <c r="K9" s="2">
        <f t="shared" si="2"/>
        <v>0</v>
      </c>
      <c r="L9" s="31"/>
      <c r="M9" s="30"/>
      <c r="N9" s="2">
        <f t="shared" si="3"/>
        <v>0</v>
      </c>
      <c r="O9" s="31"/>
      <c r="P9" s="30"/>
      <c r="Q9" s="2">
        <f t="shared" si="4"/>
        <v>0</v>
      </c>
      <c r="R9" s="31"/>
      <c r="S9" s="30"/>
      <c r="T9" s="2">
        <f t="shared" si="5"/>
        <v>0</v>
      </c>
      <c r="U9" s="33"/>
      <c r="V9" s="30"/>
      <c r="W9" s="64">
        <f t="shared" si="6"/>
        <v>0</v>
      </c>
      <c r="X9" s="70">
        <f t="shared" si="7"/>
        <v>0</v>
      </c>
      <c r="Y9" s="67">
        <f t="shared" si="7"/>
        <v>0</v>
      </c>
      <c r="Z9" s="73">
        <f t="shared" si="7"/>
        <v>0</v>
      </c>
      <c r="AA9" s="35"/>
      <c r="AB9" s="30"/>
      <c r="AC9" s="2">
        <f t="shared" si="8"/>
        <v>0</v>
      </c>
      <c r="AD9" s="33"/>
      <c r="AE9" s="30"/>
      <c r="AF9" s="2">
        <f t="shared" si="9"/>
        <v>0</v>
      </c>
      <c r="AG9" s="33"/>
      <c r="AH9" s="30"/>
      <c r="AI9" s="2">
        <f t="shared" si="10"/>
        <v>0</v>
      </c>
      <c r="AJ9" s="33"/>
      <c r="AK9" s="30"/>
      <c r="AL9" s="2">
        <f t="shared" si="11"/>
        <v>0</v>
      </c>
      <c r="AM9" s="33"/>
      <c r="AN9" s="30"/>
      <c r="AO9" s="2">
        <f t="shared" si="12"/>
        <v>0</v>
      </c>
      <c r="AP9" s="33"/>
      <c r="AQ9" s="30"/>
      <c r="AR9" s="2">
        <f t="shared" si="13"/>
        <v>0</v>
      </c>
      <c r="AS9" s="33"/>
      <c r="AT9" s="30">
        <v>1</v>
      </c>
      <c r="AU9" s="2">
        <f t="shared" si="14"/>
        <v>6000</v>
      </c>
      <c r="AV9" s="70">
        <f t="shared" si="15"/>
        <v>0</v>
      </c>
      <c r="AW9" s="67">
        <f t="shared" si="15"/>
        <v>1</v>
      </c>
      <c r="AX9" s="51">
        <f t="shared" si="15"/>
        <v>6000</v>
      </c>
      <c r="AY9" s="33"/>
      <c r="AZ9" s="30">
        <v>1</v>
      </c>
      <c r="BA9" s="2">
        <f t="shared" si="16"/>
        <v>6000</v>
      </c>
      <c r="BB9" s="33"/>
      <c r="BC9" s="30">
        <v>3</v>
      </c>
      <c r="BD9" s="2">
        <f t="shared" si="17"/>
        <v>18000</v>
      </c>
      <c r="BE9" s="33"/>
      <c r="BF9" s="30">
        <v>3</v>
      </c>
      <c r="BG9" s="2">
        <f t="shared" si="18"/>
        <v>18000</v>
      </c>
      <c r="BH9" s="33"/>
      <c r="BI9" s="30">
        <v>2</v>
      </c>
      <c r="BJ9" s="2">
        <f t="shared" si="19"/>
        <v>12000</v>
      </c>
      <c r="BK9" s="33"/>
      <c r="BL9" s="30">
        <v>2</v>
      </c>
      <c r="BM9" s="2">
        <f t="shared" si="20"/>
        <v>12000</v>
      </c>
      <c r="BN9" s="33"/>
      <c r="BO9" s="30">
        <v>2</v>
      </c>
      <c r="BP9" s="2">
        <f t="shared" si="21"/>
        <v>12000</v>
      </c>
      <c r="BQ9" s="33"/>
      <c r="BR9" s="30"/>
      <c r="BS9" s="2">
        <f t="shared" si="22"/>
        <v>0</v>
      </c>
      <c r="BT9" s="70">
        <f t="shared" si="23"/>
        <v>0</v>
      </c>
      <c r="BU9" s="67">
        <f t="shared" si="23"/>
        <v>13</v>
      </c>
      <c r="BV9" s="51">
        <f t="shared" si="23"/>
        <v>78000</v>
      </c>
      <c r="BW9" s="33"/>
      <c r="BX9" s="30">
        <v>2</v>
      </c>
      <c r="BY9" s="2">
        <f t="shared" si="24"/>
        <v>12000</v>
      </c>
      <c r="BZ9" s="33"/>
      <c r="CA9" s="30">
        <v>3</v>
      </c>
      <c r="CB9" s="2">
        <f t="shared" si="25"/>
        <v>18000</v>
      </c>
      <c r="CC9" s="33"/>
      <c r="CD9" s="30">
        <v>1</v>
      </c>
      <c r="CE9" s="2">
        <f t="shared" si="26"/>
        <v>6000</v>
      </c>
      <c r="CF9" s="33"/>
      <c r="CG9" s="30">
        <v>2</v>
      </c>
      <c r="CH9" s="2">
        <f t="shared" si="27"/>
        <v>12000</v>
      </c>
      <c r="CI9" s="33"/>
      <c r="CJ9" s="30">
        <v>1</v>
      </c>
      <c r="CK9" s="2">
        <f t="shared" si="28"/>
        <v>6000</v>
      </c>
      <c r="CL9" s="33"/>
      <c r="CM9" s="30"/>
      <c r="CN9" s="2">
        <f t="shared" si="29"/>
        <v>0</v>
      </c>
      <c r="CO9" s="33"/>
      <c r="CP9" s="30"/>
      <c r="CQ9" s="2">
        <f t="shared" si="30"/>
        <v>0</v>
      </c>
      <c r="CR9" s="70">
        <f t="shared" si="31"/>
        <v>0</v>
      </c>
      <c r="CS9" s="67">
        <f t="shared" si="31"/>
        <v>9</v>
      </c>
      <c r="CT9" s="51">
        <f t="shared" si="31"/>
        <v>54000</v>
      </c>
      <c r="CU9" s="33"/>
      <c r="CV9" s="30">
        <v>1</v>
      </c>
      <c r="CW9" s="2">
        <f t="shared" si="32"/>
        <v>6000</v>
      </c>
      <c r="CX9" s="33"/>
      <c r="CY9" s="30">
        <v>1</v>
      </c>
      <c r="CZ9" s="2">
        <f t="shared" si="33"/>
        <v>6000</v>
      </c>
      <c r="DA9" s="33"/>
      <c r="DB9" s="30">
        <v>1</v>
      </c>
      <c r="DC9" s="2">
        <f t="shared" si="34"/>
        <v>6000</v>
      </c>
      <c r="DD9" s="33"/>
      <c r="DE9" s="30">
        <v>1</v>
      </c>
      <c r="DF9" s="2">
        <f t="shared" si="35"/>
        <v>6000</v>
      </c>
      <c r="DG9" s="33"/>
      <c r="DH9" s="30"/>
      <c r="DI9" s="2">
        <f t="shared" si="36"/>
        <v>0</v>
      </c>
      <c r="DJ9" s="33"/>
      <c r="DK9" s="30"/>
      <c r="DL9" s="2">
        <f t="shared" si="37"/>
        <v>0</v>
      </c>
      <c r="DM9" s="33"/>
      <c r="DN9" s="30"/>
      <c r="DO9" s="2">
        <f t="shared" si="38"/>
        <v>0</v>
      </c>
      <c r="DP9" s="70">
        <f t="shared" si="39"/>
        <v>0</v>
      </c>
      <c r="DQ9" s="67">
        <f t="shared" si="39"/>
        <v>4</v>
      </c>
      <c r="DR9" s="51">
        <f t="shared" si="39"/>
        <v>24000</v>
      </c>
      <c r="DS9" s="52">
        <f t="shared" si="40"/>
        <v>0</v>
      </c>
      <c r="DT9" s="53">
        <f t="shared" si="41"/>
        <v>27</v>
      </c>
      <c r="DU9" s="54">
        <f t="shared" si="41"/>
        <v>162000</v>
      </c>
    </row>
    <row r="10" spans="1:125" s="26" customFormat="1" ht="17.100000000000001" customHeight="1" x14ac:dyDescent="0.2">
      <c r="A10" s="27" t="s">
        <v>52</v>
      </c>
      <c r="B10" s="28">
        <v>6000</v>
      </c>
      <c r="C10" s="29"/>
      <c r="D10" s="30"/>
      <c r="E10" s="2">
        <f t="shared" si="0"/>
        <v>0</v>
      </c>
      <c r="F10" s="29"/>
      <c r="G10" s="30"/>
      <c r="H10" s="2">
        <f t="shared" si="1"/>
        <v>0</v>
      </c>
      <c r="I10" s="29"/>
      <c r="J10" s="30"/>
      <c r="K10" s="2">
        <f t="shared" si="2"/>
        <v>0</v>
      </c>
      <c r="L10" s="31" t="s">
        <v>49</v>
      </c>
      <c r="M10" s="30"/>
      <c r="N10" s="2">
        <f t="shared" si="3"/>
        <v>0</v>
      </c>
      <c r="O10" s="31"/>
      <c r="P10" s="30"/>
      <c r="Q10" s="2">
        <f t="shared" si="4"/>
        <v>0</v>
      </c>
      <c r="R10" s="31"/>
      <c r="S10" s="30"/>
      <c r="T10" s="2">
        <f t="shared" si="5"/>
        <v>0</v>
      </c>
      <c r="U10" s="33"/>
      <c r="V10" s="30"/>
      <c r="W10" s="64">
        <f t="shared" si="6"/>
        <v>0</v>
      </c>
      <c r="X10" s="70">
        <f>$X$6</f>
        <v>0</v>
      </c>
      <c r="Y10" s="67">
        <f t="shared" si="7"/>
        <v>0</v>
      </c>
      <c r="Z10" s="73">
        <f t="shared" si="7"/>
        <v>0</v>
      </c>
      <c r="AA10" s="35"/>
      <c r="AB10" s="30"/>
      <c r="AC10" s="2">
        <f t="shared" si="8"/>
        <v>0</v>
      </c>
      <c r="AD10" s="33"/>
      <c r="AE10" s="30"/>
      <c r="AF10" s="2">
        <f t="shared" si="9"/>
        <v>0</v>
      </c>
      <c r="AG10" s="33"/>
      <c r="AH10" s="30"/>
      <c r="AI10" s="2">
        <f t="shared" si="10"/>
        <v>0</v>
      </c>
      <c r="AJ10" s="33"/>
      <c r="AK10" s="30"/>
      <c r="AL10" s="2">
        <f t="shared" si="11"/>
        <v>0</v>
      </c>
      <c r="AM10" s="33"/>
      <c r="AN10" s="30"/>
      <c r="AO10" s="2">
        <f t="shared" si="12"/>
        <v>0</v>
      </c>
      <c r="AP10" s="33"/>
      <c r="AQ10" s="30"/>
      <c r="AR10" s="2">
        <f t="shared" si="13"/>
        <v>0</v>
      </c>
      <c r="AS10" s="33"/>
      <c r="AT10" s="30"/>
      <c r="AU10" s="2">
        <f t="shared" si="14"/>
        <v>0</v>
      </c>
      <c r="AV10" s="70">
        <f t="shared" si="15"/>
        <v>0</v>
      </c>
      <c r="AW10" s="67">
        <f t="shared" si="15"/>
        <v>0</v>
      </c>
      <c r="AX10" s="51">
        <f t="shared" si="15"/>
        <v>0</v>
      </c>
      <c r="AY10" s="33"/>
      <c r="AZ10" s="30"/>
      <c r="BA10" s="2">
        <f t="shared" si="16"/>
        <v>0</v>
      </c>
      <c r="BB10" s="33"/>
      <c r="BC10" s="30">
        <v>2</v>
      </c>
      <c r="BD10" s="2">
        <f t="shared" si="17"/>
        <v>12000</v>
      </c>
      <c r="BE10" s="33"/>
      <c r="BF10" s="30">
        <v>2</v>
      </c>
      <c r="BG10" s="2">
        <f t="shared" si="18"/>
        <v>12000</v>
      </c>
      <c r="BH10" s="33"/>
      <c r="BI10" s="30">
        <v>2</v>
      </c>
      <c r="BJ10" s="2">
        <f t="shared" si="19"/>
        <v>12000</v>
      </c>
      <c r="BK10" s="33"/>
      <c r="BL10" s="30">
        <v>2</v>
      </c>
      <c r="BM10" s="2">
        <f t="shared" si="20"/>
        <v>12000</v>
      </c>
      <c r="BN10" s="33"/>
      <c r="BO10" s="30">
        <v>2</v>
      </c>
      <c r="BP10" s="2">
        <f t="shared" si="21"/>
        <v>12000</v>
      </c>
      <c r="BQ10" s="33"/>
      <c r="BR10" s="30">
        <v>2</v>
      </c>
      <c r="BS10" s="2">
        <f t="shared" si="22"/>
        <v>12000</v>
      </c>
      <c r="BT10" s="70">
        <f t="shared" si="23"/>
        <v>0</v>
      </c>
      <c r="BU10" s="67">
        <f t="shared" si="23"/>
        <v>12</v>
      </c>
      <c r="BV10" s="51">
        <f t="shared" si="23"/>
        <v>72000</v>
      </c>
      <c r="BW10" s="33"/>
      <c r="BX10" s="30">
        <v>2</v>
      </c>
      <c r="BY10" s="2">
        <f t="shared" si="24"/>
        <v>12000</v>
      </c>
      <c r="BZ10" s="33"/>
      <c r="CA10" s="30">
        <v>3</v>
      </c>
      <c r="CB10" s="2">
        <f t="shared" si="25"/>
        <v>18000</v>
      </c>
      <c r="CC10" s="33"/>
      <c r="CD10" s="30">
        <v>2</v>
      </c>
      <c r="CE10" s="2">
        <f t="shared" si="26"/>
        <v>12000</v>
      </c>
      <c r="CF10" s="33"/>
      <c r="CG10" s="30">
        <v>2</v>
      </c>
      <c r="CH10" s="2">
        <f t="shared" si="27"/>
        <v>12000</v>
      </c>
      <c r="CI10" s="33"/>
      <c r="CJ10" s="30">
        <v>1</v>
      </c>
      <c r="CK10" s="2">
        <f t="shared" si="28"/>
        <v>6000</v>
      </c>
      <c r="CL10" s="33"/>
      <c r="CM10" s="30"/>
      <c r="CN10" s="2">
        <f t="shared" si="29"/>
        <v>0</v>
      </c>
      <c r="CO10" s="33"/>
      <c r="CP10" s="30"/>
      <c r="CQ10" s="2">
        <f t="shared" si="30"/>
        <v>0</v>
      </c>
      <c r="CR10" s="70">
        <f t="shared" si="31"/>
        <v>0</v>
      </c>
      <c r="CS10" s="67">
        <f t="shared" si="31"/>
        <v>10</v>
      </c>
      <c r="CT10" s="51">
        <f t="shared" si="31"/>
        <v>60000</v>
      </c>
      <c r="CU10" s="33"/>
      <c r="CV10" s="30">
        <v>1</v>
      </c>
      <c r="CW10" s="2">
        <f t="shared" si="32"/>
        <v>6000</v>
      </c>
      <c r="CX10" s="33"/>
      <c r="CY10" s="30">
        <v>1</v>
      </c>
      <c r="CZ10" s="2">
        <f t="shared" si="33"/>
        <v>6000</v>
      </c>
      <c r="DA10" s="33"/>
      <c r="DB10" s="30">
        <v>1</v>
      </c>
      <c r="DC10" s="2">
        <f t="shared" si="34"/>
        <v>6000</v>
      </c>
      <c r="DD10" s="33"/>
      <c r="DE10" s="30">
        <v>1</v>
      </c>
      <c r="DF10" s="2">
        <f t="shared" si="35"/>
        <v>6000</v>
      </c>
      <c r="DG10" s="33"/>
      <c r="DH10" s="30"/>
      <c r="DI10" s="2">
        <f t="shared" si="36"/>
        <v>0</v>
      </c>
      <c r="DJ10" s="33"/>
      <c r="DK10" s="30"/>
      <c r="DL10" s="2">
        <f t="shared" si="37"/>
        <v>0</v>
      </c>
      <c r="DM10" s="33"/>
      <c r="DN10" s="30"/>
      <c r="DO10" s="2">
        <f t="shared" si="38"/>
        <v>0</v>
      </c>
      <c r="DP10" s="70">
        <f t="shared" si="39"/>
        <v>0</v>
      </c>
      <c r="DQ10" s="67">
        <f t="shared" si="39"/>
        <v>4</v>
      </c>
      <c r="DR10" s="51">
        <f t="shared" si="39"/>
        <v>24000</v>
      </c>
      <c r="DS10" s="52">
        <f t="shared" si="40"/>
        <v>0</v>
      </c>
      <c r="DT10" s="53">
        <f t="shared" si="41"/>
        <v>26</v>
      </c>
      <c r="DU10" s="54">
        <f t="shared" si="41"/>
        <v>156000</v>
      </c>
    </row>
    <row r="11" spans="1:125" s="26" customFormat="1" ht="17.100000000000001" customHeight="1" x14ac:dyDescent="0.2">
      <c r="A11" s="27" t="s">
        <v>29</v>
      </c>
      <c r="B11" s="28">
        <v>6000</v>
      </c>
      <c r="C11" s="29"/>
      <c r="D11" s="30"/>
      <c r="E11" s="2">
        <f t="shared" si="0"/>
        <v>0</v>
      </c>
      <c r="F11" s="29"/>
      <c r="G11" s="30"/>
      <c r="H11" s="2">
        <f t="shared" si="1"/>
        <v>0</v>
      </c>
      <c r="I11" s="29">
        <v>30000</v>
      </c>
      <c r="J11" s="30"/>
      <c r="K11" s="2">
        <f t="shared" si="2"/>
        <v>0</v>
      </c>
      <c r="L11" s="31"/>
      <c r="M11" s="30"/>
      <c r="N11" s="2">
        <f t="shared" si="3"/>
        <v>0</v>
      </c>
      <c r="O11" s="31"/>
      <c r="P11" s="30"/>
      <c r="Q11" s="2">
        <f t="shared" si="4"/>
        <v>0</v>
      </c>
      <c r="R11" s="31"/>
      <c r="S11" s="30"/>
      <c r="T11" s="2">
        <f t="shared" si="5"/>
        <v>0</v>
      </c>
      <c r="U11" s="33"/>
      <c r="V11" s="30"/>
      <c r="W11" s="64">
        <f t="shared" si="6"/>
        <v>0</v>
      </c>
      <c r="X11" s="70">
        <f t="shared" si="7"/>
        <v>30000</v>
      </c>
      <c r="Y11" s="67">
        <f t="shared" si="7"/>
        <v>0</v>
      </c>
      <c r="Z11" s="73">
        <f t="shared" si="7"/>
        <v>0</v>
      </c>
      <c r="AA11" s="35"/>
      <c r="AB11" s="30"/>
      <c r="AC11" s="2">
        <f t="shared" si="8"/>
        <v>0</v>
      </c>
      <c r="AD11" s="33"/>
      <c r="AE11" s="30"/>
      <c r="AF11" s="2">
        <f t="shared" si="9"/>
        <v>0</v>
      </c>
      <c r="AG11" s="33"/>
      <c r="AH11" s="30"/>
      <c r="AI11" s="2">
        <f t="shared" si="10"/>
        <v>0</v>
      </c>
      <c r="AJ11" s="33"/>
      <c r="AK11" s="30"/>
      <c r="AL11" s="2">
        <f t="shared" si="11"/>
        <v>0</v>
      </c>
      <c r="AM11" s="33"/>
      <c r="AN11" s="30"/>
      <c r="AO11" s="2">
        <f t="shared" si="12"/>
        <v>0</v>
      </c>
      <c r="AP11" s="33"/>
      <c r="AQ11" s="30"/>
      <c r="AR11" s="2">
        <f t="shared" si="13"/>
        <v>0</v>
      </c>
      <c r="AS11" s="33"/>
      <c r="AT11" s="30"/>
      <c r="AU11" s="2">
        <f t="shared" si="14"/>
        <v>0</v>
      </c>
      <c r="AV11" s="70">
        <f t="shared" si="15"/>
        <v>0</v>
      </c>
      <c r="AW11" s="67">
        <f t="shared" si="15"/>
        <v>0</v>
      </c>
      <c r="AX11" s="51">
        <f t="shared" si="15"/>
        <v>0</v>
      </c>
      <c r="AY11" s="33"/>
      <c r="AZ11" s="30">
        <v>1</v>
      </c>
      <c r="BA11" s="2">
        <f t="shared" si="16"/>
        <v>6000</v>
      </c>
      <c r="BB11" s="33"/>
      <c r="BC11" s="30">
        <v>2</v>
      </c>
      <c r="BD11" s="2">
        <f t="shared" si="17"/>
        <v>12000</v>
      </c>
      <c r="BE11" s="33"/>
      <c r="BF11" s="30">
        <v>3</v>
      </c>
      <c r="BG11" s="2">
        <f t="shared" si="18"/>
        <v>18000</v>
      </c>
      <c r="BH11" s="33"/>
      <c r="BI11" s="30">
        <v>2</v>
      </c>
      <c r="BJ11" s="2">
        <f t="shared" si="19"/>
        <v>12000</v>
      </c>
      <c r="BK11" s="33"/>
      <c r="BL11" s="30">
        <v>2</v>
      </c>
      <c r="BM11" s="2">
        <f t="shared" si="20"/>
        <v>12000</v>
      </c>
      <c r="BN11" s="33"/>
      <c r="BO11" s="30">
        <v>2</v>
      </c>
      <c r="BP11" s="2">
        <f t="shared" si="21"/>
        <v>12000</v>
      </c>
      <c r="BQ11" s="33"/>
      <c r="BR11" s="30">
        <v>2</v>
      </c>
      <c r="BS11" s="2">
        <f t="shared" si="22"/>
        <v>12000</v>
      </c>
      <c r="BT11" s="70">
        <f t="shared" si="23"/>
        <v>0</v>
      </c>
      <c r="BU11" s="67">
        <f t="shared" si="23"/>
        <v>14</v>
      </c>
      <c r="BV11" s="51">
        <f t="shared" si="23"/>
        <v>84000</v>
      </c>
      <c r="BW11" s="33"/>
      <c r="BX11" s="30">
        <v>2</v>
      </c>
      <c r="BY11" s="2">
        <f t="shared" si="24"/>
        <v>12000</v>
      </c>
      <c r="BZ11" s="33"/>
      <c r="CA11" s="30">
        <v>3</v>
      </c>
      <c r="CB11" s="2">
        <f t="shared" si="25"/>
        <v>18000</v>
      </c>
      <c r="CC11" s="33"/>
      <c r="CD11" s="30">
        <v>2</v>
      </c>
      <c r="CE11" s="2">
        <f t="shared" si="26"/>
        <v>12000</v>
      </c>
      <c r="CF11" s="33"/>
      <c r="CG11" s="30">
        <v>2</v>
      </c>
      <c r="CH11" s="2">
        <f t="shared" si="27"/>
        <v>12000</v>
      </c>
      <c r="CI11" s="33"/>
      <c r="CJ11" s="30">
        <v>1</v>
      </c>
      <c r="CK11" s="2">
        <f t="shared" si="28"/>
        <v>6000</v>
      </c>
      <c r="CL11" s="33"/>
      <c r="CM11" s="30"/>
      <c r="CN11" s="2">
        <f t="shared" si="29"/>
        <v>0</v>
      </c>
      <c r="CO11" s="33"/>
      <c r="CP11" s="30"/>
      <c r="CQ11" s="2">
        <f t="shared" si="30"/>
        <v>0</v>
      </c>
      <c r="CR11" s="70">
        <f t="shared" si="31"/>
        <v>0</v>
      </c>
      <c r="CS11" s="67">
        <f t="shared" si="31"/>
        <v>10</v>
      </c>
      <c r="CT11" s="51">
        <f t="shared" si="31"/>
        <v>60000</v>
      </c>
      <c r="CU11" s="33"/>
      <c r="CV11" s="30"/>
      <c r="CW11" s="2">
        <f t="shared" si="32"/>
        <v>0</v>
      </c>
      <c r="CX11" s="33"/>
      <c r="CY11" s="30">
        <v>1</v>
      </c>
      <c r="CZ11" s="2">
        <f t="shared" si="33"/>
        <v>6000</v>
      </c>
      <c r="DA11" s="33"/>
      <c r="DB11" s="30">
        <v>1</v>
      </c>
      <c r="DC11" s="2">
        <f t="shared" si="34"/>
        <v>6000</v>
      </c>
      <c r="DD11" s="33"/>
      <c r="DE11" s="30">
        <v>1</v>
      </c>
      <c r="DF11" s="2">
        <f t="shared" si="35"/>
        <v>6000</v>
      </c>
      <c r="DG11" s="33"/>
      <c r="DH11" s="30"/>
      <c r="DI11" s="2">
        <f t="shared" si="36"/>
        <v>0</v>
      </c>
      <c r="DJ11" s="33"/>
      <c r="DK11" s="30"/>
      <c r="DL11" s="2">
        <f t="shared" si="37"/>
        <v>0</v>
      </c>
      <c r="DM11" s="33"/>
      <c r="DN11" s="30"/>
      <c r="DO11" s="2">
        <f t="shared" si="38"/>
        <v>0</v>
      </c>
      <c r="DP11" s="70">
        <f t="shared" si="39"/>
        <v>0</v>
      </c>
      <c r="DQ11" s="67">
        <f t="shared" si="39"/>
        <v>3</v>
      </c>
      <c r="DR11" s="51">
        <f t="shared" si="39"/>
        <v>18000</v>
      </c>
      <c r="DS11" s="52">
        <f t="shared" si="40"/>
        <v>30000</v>
      </c>
      <c r="DT11" s="53">
        <f t="shared" si="41"/>
        <v>27</v>
      </c>
      <c r="DU11" s="54">
        <f t="shared" si="41"/>
        <v>162000</v>
      </c>
    </row>
    <row r="12" spans="1:125" s="26" customFormat="1" ht="17.100000000000001" customHeight="1" x14ac:dyDescent="0.2">
      <c r="A12" s="27" t="s">
        <v>30</v>
      </c>
      <c r="B12" s="28">
        <v>6000</v>
      </c>
      <c r="C12" s="29"/>
      <c r="D12" s="30"/>
      <c r="E12" s="2">
        <f t="shared" si="0"/>
        <v>0</v>
      </c>
      <c r="F12" s="29"/>
      <c r="G12" s="30"/>
      <c r="H12" s="2">
        <f t="shared" si="1"/>
        <v>0</v>
      </c>
      <c r="I12" s="29"/>
      <c r="J12" s="30"/>
      <c r="K12" s="2">
        <f t="shared" si="2"/>
        <v>0</v>
      </c>
      <c r="L12" s="33"/>
      <c r="M12" s="30"/>
      <c r="N12" s="2">
        <f t="shared" si="3"/>
        <v>0</v>
      </c>
      <c r="O12" s="31"/>
      <c r="P12" s="30"/>
      <c r="Q12" s="2">
        <f t="shared" si="4"/>
        <v>0</v>
      </c>
      <c r="R12" s="31"/>
      <c r="S12" s="30"/>
      <c r="T12" s="2">
        <f t="shared" si="5"/>
        <v>0</v>
      </c>
      <c r="U12" s="33"/>
      <c r="V12" s="30"/>
      <c r="W12" s="64">
        <f t="shared" si="6"/>
        <v>0</v>
      </c>
      <c r="X12" s="70">
        <f t="shared" si="7"/>
        <v>0</v>
      </c>
      <c r="Y12" s="67">
        <f t="shared" si="7"/>
        <v>0</v>
      </c>
      <c r="Z12" s="73">
        <f t="shared" si="7"/>
        <v>0</v>
      </c>
      <c r="AA12" s="35"/>
      <c r="AB12" s="30"/>
      <c r="AC12" s="2">
        <f t="shared" si="8"/>
        <v>0</v>
      </c>
      <c r="AD12" s="33"/>
      <c r="AE12" s="30"/>
      <c r="AF12" s="2">
        <f t="shared" si="9"/>
        <v>0</v>
      </c>
      <c r="AG12" s="33"/>
      <c r="AH12" s="30"/>
      <c r="AI12" s="2">
        <f t="shared" si="10"/>
        <v>0</v>
      </c>
      <c r="AJ12" s="33"/>
      <c r="AK12" s="30"/>
      <c r="AL12" s="2">
        <f t="shared" si="11"/>
        <v>0</v>
      </c>
      <c r="AM12" s="33"/>
      <c r="AN12" s="30"/>
      <c r="AO12" s="2">
        <f t="shared" si="12"/>
        <v>0</v>
      </c>
      <c r="AP12" s="33"/>
      <c r="AQ12" s="30"/>
      <c r="AR12" s="2">
        <f t="shared" si="13"/>
        <v>0</v>
      </c>
      <c r="AS12" s="33"/>
      <c r="AT12" s="30"/>
      <c r="AU12" s="2">
        <f t="shared" si="14"/>
        <v>0</v>
      </c>
      <c r="AV12" s="70">
        <f t="shared" si="15"/>
        <v>0</v>
      </c>
      <c r="AW12" s="67">
        <f t="shared" si="15"/>
        <v>0</v>
      </c>
      <c r="AX12" s="51">
        <f t="shared" si="15"/>
        <v>0</v>
      </c>
      <c r="AY12" s="33"/>
      <c r="AZ12" s="30"/>
      <c r="BA12" s="2">
        <f t="shared" si="16"/>
        <v>0</v>
      </c>
      <c r="BB12" s="33"/>
      <c r="BC12" s="30"/>
      <c r="BD12" s="2">
        <f t="shared" si="17"/>
        <v>0</v>
      </c>
      <c r="BE12" s="33"/>
      <c r="BF12" s="30"/>
      <c r="BG12" s="2">
        <f t="shared" si="18"/>
        <v>0</v>
      </c>
      <c r="BH12" s="33"/>
      <c r="BI12" s="30"/>
      <c r="BJ12" s="2">
        <f t="shared" si="19"/>
        <v>0</v>
      </c>
      <c r="BK12" s="33"/>
      <c r="BL12" s="30"/>
      <c r="BM12" s="2">
        <f t="shared" si="20"/>
        <v>0</v>
      </c>
      <c r="BN12" s="33"/>
      <c r="BO12" s="30"/>
      <c r="BP12" s="2">
        <f t="shared" si="21"/>
        <v>0</v>
      </c>
      <c r="BQ12" s="33"/>
      <c r="BR12" s="30"/>
      <c r="BS12" s="2">
        <f t="shared" si="22"/>
        <v>0</v>
      </c>
      <c r="BT12" s="70">
        <f t="shared" si="23"/>
        <v>0</v>
      </c>
      <c r="BU12" s="67">
        <f t="shared" si="23"/>
        <v>0</v>
      </c>
      <c r="BV12" s="51">
        <f t="shared" si="23"/>
        <v>0</v>
      </c>
      <c r="BW12" s="33"/>
      <c r="BX12" s="30">
        <v>1</v>
      </c>
      <c r="BY12" s="2">
        <f t="shared" si="24"/>
        <v>6000</v>
      </c>
      <c r="BZ12" s="33"/>
      <c r="CA12" s="30">
        <v>2</v>
      </c>
      <c r="CB12" s="2">
        <f t="shared" si="25"/>
        <v>12000</v>
      </c>
      <c r="CC12" s="33"/>
      <c r="CD12" s="30"/>
      <c r="CE12" s="2">
        <f t="shared" si="26"/>
        <v>0</v>
      </c>
      <c r="CF12" s="33"/>
      <c r="CG12" s="30"/>
      <c r="CH12" s="2">
        <f t="shared" si="27"/>
        <v>0</v>
      </c>
      <c r="CI12" s="33"/>
      <c r="CJ12" s="30"/>
      <c r="CK12" s="2">
        <f t="shared" si="28"/>
        <v>0</v>
      </c>
      <c r="CL12" s="33"/>
      <c r="CM12" s="30"/>
      <c r="CN12" s="2">
        <f t="shared" si="29"/>
        <v>0</v>
      </c>
      <c r="CO12" s="33"/>
      <c r="CP12" s="30"/>
      <c r="CQ12" s="2">
        <f t="shared" si="30"/>
        <v>0</v>
      </c>
      <c r="CR12" s="70">
        <f t="shared" si="31"/>
        <v>0</v>
      </c>
      <c r="CS12" s="67">
        <f t="shared" si="31"/>
        <v>3</v>
      </c>
      <c r="CT12" s="51">
        <f t="shared" si="31"/>
        <v>18000</v>
      </c>
      <c r="CU12" s="33"/>
      <c r="CV12" s="30"/>
      <c r="CW12" s="2">
        <f t="shared" si="32"/>
        <v>0</v>
      </c>
      <c r="CX12" s="33"/>
      <c r="CY12" s="30">
        <v>1</v>
      </c>
      <c r="CZ12" s="2">
        <f t="shared" si="33"/>
        <v>6000</v>
      </c>
      <c r="DA12" s="33"/>
      <c r="DB12" s="99">
        <v>0.5</v>
      </c>
      <c r="DC12" s="2">
        <f t="shared" si="34"/>
        <v>3000</v>
      </c>
      <c r="DD12" s="33"/>
      <c r="DE12" s="30"/>
      <c r="DF12" s="2">
        <f t="shared" si="35"/>
        <v>0</v>
      </c>
      <c r="DG12" s="33"/>
      <c r="DH12" s="30"/>
      <c r="DI12" s="2">
        <f t="shared" si="36"/>
        <v>0</v>
      </c>
      <c r="DJ12" s="33"/>
      <c r="DK12" s="30"/>
      <c r="DL12" s="2">
        <f t="shared" si="37"/>
        <v>0</v>
      </c>
      <c r="DM12" s="33"/>
      <c r="DN12" s="30"/>
      <c r="DO12" s="2">
        <f t="shared" si="38"/>
        <v>0</v>
      </c>
      <c r="DP12" s="70">
        <f t="shared" si="39"/>
        <v>0</v>
      </c>
      <c r="DQ12" s="100">
        <f t="shared" si="39"/>
        <v>1.5</v>
      </c>
      <c r="DR12" s="51">
        <f t="shared" si="39"/>
        <v>9000</v>
      </c>
      <c r="DS12" s="52">
        <f t="shared" si="40"/>
        <v>0</v>
      </c>
      <c r="DT12" s="107">
        <f t="shared" si="41"/>
        <v>4.5</v>
      </c>
      <c r="DU12" s="54">
        <f t="shared" si="41"/>
        <v>27000</v>
      </c>
    </row>
    <row r="13" spans="1:125" s="26" customFormat="1" ht="17.100000000000001" customHeight="1" x14ac:dyDescent="0.2">
      <c r="A13" s="27" t="s">
        <v>31</v>
      </c>
      <c r="B13" s="28">
        <v>6000</v>
      </c>
      <c r="C13" s="29"/>
      <c r="D13" s="30"/>
      <c r="E13" s="2">
        <f t="shared" si="0"/>
        <v>0</v>
      </c>
      <c r="F13" s="29"/>
      <c r="G13" s="30"/>
      <c r="H13" s="2">
        <f t="shared" si="1"/>
        <v>0</v>
      </c>
      <c r="I13" s="29"/>
      <c r="J13" s="30"/>
      <c r="K13" s="2">
        <f t="shared" si="2"/>
        <v>0</v>
      </c>
      <c r="L13" s="31"/>
      <c r="M13" s="30"/>
      <c r="N13" s="2">
        <f t="shared" si="3"/>
        <v>0</v>
      </c>
      <c r="O13" s="31"/>
      <c r="P13" s="30"/>
      <c r="Q13" s="2">
        <f t="shared" si="4"/>
        <v>0</v>
      </c>
      <c r="R13" s="31"/>
      <c r="S13" s="30"/>
      <c r="T13" s="2">
        <f t="shared" si="5"/>
        <v>0</v>
      </c>
      <c r="U13" s="33"/>
      <c r="V13" s="30"/>
      <c r="W13" s="64">
        <f t="shared" si="6"/>
        <v>0</v>
      </c>
      <c r="X13" s="70">
        <f t="shared" si="7"/>
        <v>0</v>
      </c>
      <c r="Y13" s="67">
        <f t="shared" si="7"/>
        <v>0</v>
      </c>
      <c r="Z13" s="73">
        <f t="shared" si="7"/>
        <v>0</v>
      </c>
      <c r="AA13" s="35"/>
      <c r="AB13" s="30"/>
      <c r="AC13" s="2">
        <f t="shared" si="8"/>
        <v>0</v>
      </c>
      <c r="AD13" s="33"/>
      <c r="AE13" s="30"/>
      <c r="AF13" s="2">
        <f t="shared" si="9"/>
        <v>0</v>
      </c>
      <c r="AG13" s="33"/>
      <c r="AH13" s="30"/>
      <c r="AI13" s="2">
        <f t="shared" si="10"/>
        <v>0</v>
      </c>
      <c r="AJ13" s="33"/>
      <c r="AK13" s="30"/>
      <c r="AL13" s="2">
        <f t="shared" si="11"/>
        <v>0</v>
      </c>
      <c r="AM13" s="33"/>
      <c r="AN13" s="30"/>
      <c r="AO13" s="2">
        <f t="shared" si="12"/>
        <v>0</v>
      </c>
      <c r="AP13" s="33"/>
      <c r="AQ13" s="30"/>
      <c r="AR13" s="2">
        <f t="shared" si="13"/>
        <v>0</v>
      </c>
      <c r="AS13" s="33"/>
      <c r="AT13" s="30"/>
      <c r="AU13" s="2">
        <f t="shared" si="14"/>
        <v>0</v>
      </c>
      <c r="AV13" s="70">
        <f t="shared" si="15"/>
        <v>0</v>
      </c>
      <c r="AW13" s="67">
        <f t="shared" si="15"/>
        <v>0</v>
      </c>
      <c r="AX13" s="51">
        <f t="shared" si="15"/>
        <v>0</v>
      </c>
      <c r="AY13" s="33"/>
      <c r="AZ13" s="30"/>
      <c r="BA13" s="2">
        <f t="shared" si="16"/>
        <v>0</v>
      </c>
      <c r="BB13" s="33"/>
      <c r="BC13" s="30"/>
      <c r="BD13" s="2">
        <f t="shared" si="17"/>
        <v>0</v>
      </c>
      <c r="BE13" s="33"/>
      <c r="BF13" s="30"/>
      <c r="BG13" s="2">
        <f t="shared" si="18"/>
        <v>0</v>
      </c>
      <c r="BH13" s="33"/>
      <c r="BI13" s="30"/>
      <c r="BJ13" s="2">
        <f t="shared" si="19"/>
        <v>0</v>
      </c>
      <c r="BK13" s="33"/>
      <c r="BL13" s="30"/>
      <c r="BM13" s="2">
        <f t="shared" si="20"/>
        <v>0</v>
      </c>
      <c r="BN13" s="33"/>
      <c r="BO13" s="30"/>
      <c r="BP13" s="2">
        <f t="shared" si="21"/>
        <v>0</v>
      </c>
      <c r="BQ13" s="33"/>
      <c r="BR13" s="30"/>
      <c r="BS13" s="2">
        <f t="shared" si="22"/>
        <v>0</v>
      </c>
      <c r="BT13" s="70">
        <f t="shared" si="23"/>
        <v>0</v>
      </c>
      <c r="BU13" s="67">
        <f t="shared" si="23"/>
        <v>0</v>
      </c>
      <c r="BV13" s="51">
        <f t="shared" si="23"/>
        <v>0</v>
      </c>
      <c r="BW13" s="33"/>
      <c r="BX13" s="30"/>
      <c r="BY13" s="2">
        <f t="shared" si="24"/>
        <v>0</v>
      </c>
      <c r="BZ13" s="33"/>
      <c r="CA13" s="30"/>
      <c r="CB13" s="2">
        <f t="shared" si="25"/>
        <v>0</v>
      </c>
      <c r="CC13" s="33"/>
      <c r="CD13" s="30"/>
      <c r="CE13" s="2">
        <f t="shared" si="26"/>
        <v>0</v>
      </c>
      <c r="CF13" s="33"/>
      <c r="CG13" s="30"/>
      <c r="CH13" s="2">
        <f t="shared" si="27"/>
        <v>0</v>
      </c>
      <c r="CI13" s="33"/>
      <c r="CJ13" s="30"/>
      <c r="CK13" s="2">
        <f t="shared" si="28"/>
        <v>0</v>
      </c>
      <c r="CL13" s="33"/>
      <c r="CM13" s="30"/>
      <c r="CN13" s="2">
        <f t="shared" si="29"/>
        <v>0</v>
      </c>
      <c r="CO13" s="33"/>
      <c r="CP13" s="30"/>
      <c r="CQ13" s="2">
        <f t="shared" si="30"/>
        <v>0</v>
      </c>
      <c r="CR13" s="70">
        <f t="shared" si="31"/>
        <v>0</v>
      </c>
      <c r="CS13" s="67">
        <f t="shared" si="31"/>
        <v>0</v>
      </c>
      <c r="CT13" s="51">
        <f t="shared" si="31"/>
        <v>0</v>
      </c>
      <c r="CU13" s="33"/>
      <c r="CV13" s="30"/>
      <c r="CW13" s="2">
        <f t="shared" si="32"/>
        <v>0</v>
      </c>
      <c r="CX13" s="33"/>
      <c r="CY13" s="30"/>
      <c r="CZ13" s="2">
        <f t="shared" si="33"/>
        <v>0</v>
      </c>
      <c r="DA13" s="33"/>
      <c r="DB13" s="30"/>
      <c r="DC13" s="2">
        <f t="shared" si="34"/>
        <v>0</v>
      </c>
      <c r="DD13" s="33"/>
      <c r="DE13" s="30"/>
      <c r="DF13" s="2">
        <f t="shared" si="35"/>
        <v>0</v>
      </c>
      <c r="DG13" s="33"/>
      <c r="DH13" s="30"/>
      <c r="DI13" s="2">
        <f t="shared" si="36"/>
        <v>0</v>
      </c>
      <c r="DJ13" s="33"/>
      <c r="DK13" s="30"/>
      <c r="DL13" s="2">
        <f t="shared" si="37"/>
        <v>0</v>
      </c>
      <c r="DM13" s="33"/>
      <c r="DN13" s="30"/>
      <c r="DO13" s="2">
        <f t="shared" si="38"/>
        <v>0</v>
      </c>
      <c r="DP13" s="70">
        <f t="shared" si="39"/>
        <v>0</v>
      </c>
      <c r="DQ13" s="67">
        <f t="shared" si="39"/>
        <v>0</v>
      </c>
      <c r="DR13" s="51">
        <f t="shared" si="39"/>
        <v>0</v>
      </c>
      <c r="DS13" s="52">
        <f t="shared" si="40"/>
        <v>0</v>
      </c>
      <c r="DT13" s="53">
        <f t="shared" si="41"/>
        <v>0</v>
      </c>
      <c r="DU13" s="54">
        <f t="shared" si="41"/>
        <v>0</v>
      </c>
    </row>
    <row r="14" spans="1:125" s="26" customFormat="1" ht="17.100000000000001" customHeight="1" x14ac:dyDescent="0.2">
      <c r="A14" s="27" t="s">
        <v>32</v>
      </c>
      <c r="B14" s="28">
        <v>6000</v>
      </c>
      <c r="C14" s="29"/>
      <c r="D14" s="30"/>
      <c r="E14" s="2">
        <f t="shared" si="0"/>
        <v>0</v>
      </c>
      <c r="F14" s="29"/>
      <c r="G14" s="30"/>
      <c r="H14" s="2">
        <f t="shared" si="1"/>
        <v>0</v>
      </c>
      <c r="I14" s="29"/>
      <c r="J14" s="30"/>
      <c r="K14" s="2">
        <f t="shared" si="2"/>
        <v>0</v>
      </c>
      <c r="L14" s="31"/>
      <c r="M14" s="30"/>
      <c r="N14" s="2">
        <f t="shared" si="3"/>
        <v>0</v>
      </c>
      <c r="O14" s="31">
        <v>20000</v>
      </c>
      <c r="P14" s="30"/>
      <c r="Q14" s="2">
        <f t="shared" si="4"/>
        <v>0</v>
      </c>
      <c r="R14" s="31"/>
      <c r="S14" s="30"/>
      <c r="T14" s="2">
        <f t="shared" si="5"/>
        <v>0</v>
      </c>
      <c r="U14" s="33"/>
      <c r="V14" s="30"/>
      <c r="W14" s="64">
        <f t="shared" si="6"/>
        <v>0</v>
      </c>
      <c r="X14" s="70">
        <f t="shared" si="7"/>
        <v>20000</v>
      </c>
      <c r="Y14" s="67">
        <f t="shared" si="7"/>
        <v>0</v>
      </c>
      <c r="Z14" s="73">
        <f t="shared" si="7"/>
        <v>0</v>
      </c>
      <c r="AA14" s="35"/>
      <c r="AB14" s="30"/>
      <c r="AC14" s="2">
        <f t="shared" si="8"/>
        <v>0</v>
      </c>
      <c r="AD14" s="33"/>
      <c r="AE14" s="30"/>
      <c r="AF14" s="2">
        <f t="shared" si="9"/>
        <v>0</v>
      </c>
      <c r="AG14" s="33"/>
      <c r="AH14" s="30"/>
      <c r="AI14" s="2">
        <f t="shared" si="10"/>
        <v>0</v>
      </c>
      <c r="AJ14" s="33"/>
      <c r="AK14" s="30"/>
      <c r="AL14" s="2">
        <f t="shared" si="11"/>
        <v>0</v>
      </c>
      <c r="AM14" s="33"/>
      <c r="AN14" s="30"/>
      <c r="AO14" s="2">
        <f t="shared" si="12"/>
        <v>0</v>
      </c>
      <c r="AP14" s="33"/>
      <c r="AQ14" s="30"/>
      <c r="AR14" s="2">
        <f t="shared" si="13"/>
        <v>0</v>
      </c>
      <c r="AS14" s="33"/>
      <c r="AT14" s="30">
        <v>1</v>
      </c>
      <c r="AU14" s="2">
        <f t="shared" si="14"/>
        <v>6000</v>
      </c>
      <c r="AV14" s="70">
        <f t="shared" si="15"/>
        <v>0</v>
      </c>
      <c r="AW14" s="67">
        <f t="shared" si="15"/>
        <v>1</v>
      </c>
      <c r="AX14" s="51">
        <f t="shared" si="15"/>
        <v>6000</v>
      </c>
      <c r="AY14" s="33"/>
      <c r="AZ14" s="30">
        <v>1</v>
      </c>
      <c r="BA14" s="2">
        <f t="shared" si="16"/>
        <v>6000</v>
      </c>
      <c r="BB14" s="33"/>
      <c r="BC14" s="30">
        <v>2</v>
      </c>
      <c r="BD14" s="2">
        <f t="shared" si="17"/>
        <v>12000</v>
      </c>
      <c r="BE14" s="33"/>
      <c r="BF14" s="30">
        <v>3</v>
      </c>
      <c r="BG14" s="2">
        <f t="shared" si="18"/>
        <v>18000</v>
      </c>
      <c r="BH14" s="33"/>
      <c r="BI14" s="30">
        <v>2</v>
      </c>
      <c r="BJ14" s="2">
        <f t="shared" si="19"/>
        <v>12000</v>
      </c>
      <c r="BK14" s="33"/>
      <c r="BL14" s="30">
        <v>3</v>
      </c>
      <c r="BM14" s="2">
        <f t="shared" si="20"/>
        <v>18000</v>
      </c>
      <c r="BN14" s="33"/>
      <c r="BO14" s="30">
        <v>1</v>
      </c>
      <c r="BP14" s="2">
        <f t="shared" si="21"/>
        <v>6000</v>
      </c>
      <c r="BQ14" s="33"/>
      <c r="BR14" s="30">
        <v>2</v>
      </c>
      <c r="BS14" s="2">
        <f t="shared" si="22"/>
        <v>12000</v>
      </c>
      <c r="BT14" s="70">
        <f t="shared" si="23"/>
        <v>0</v>
      </c>
      <c r="BU14" s="67">
        <f t="shared" si="23"/>
        <v>14</v>
      </c>
      <c r="BV14" s="51">
        <f t="shared" si="23"/>
        <v>84000</v>
      </c>
      <c r="BW14" s="33"/>
      <c r="BX14" s="30">
        <v>2</v>
      </c>
      <c r="BY14" s="2">
        <f t="shared" si="24"/>
        <v>12000</v>
      </c>
      <c r="BZ14" s="33"/>
      <c r="CA14" s="30">
        <v>3</v>
      </c>
      <c r="CB14" s="2">
        <f t="shared" si="25"/>
        <v>18000</v>
      </c>
      <c r="CC14" s="33"/>
      <c r="CD14" s="30">
        <v>2</v>
      </c>
      <c r="CE14" s="2">
        <f t="shared" si="26"/>
        <v>12000</v>
      </c>
      <c r="CF14" s="33"/>
      <c r="CG14" s="30">
        <v>2</v>
      </c>
      <c r="CH14" s="2">
        <f t="shared" si="27"/>
        <v>12000</v>
      </c>
      <c r="CI14" s="33"/>
      <c r="CJ14" s="30">
        <v>1</v>
      </c>
      <c r="CK14" s="2">
        <f t="shared" si="28"/>
        <v>6000</v>
      </c>
      <c r="CL14" s="33"/>
      <c r="CM14" s="30"/>
      <c r="CN14" s="2">
        <f t="shared" si="29"/>
        <v>0</v>
      </c>
      <c r="CO14" s="33"/>
      <c r="CP14" s="30"/>
      <c r="CQ14" s="2">
        <f t="shared" si="30"/>
        <v>0</v>
      </c>
      <c r="CR14" s="70">
        <f t="shared" si="31"/>
        <v>0</v>
      </c>
      <c r="CS14" s="67">
        <f t="shared" si="31"/>
        <v>10</v>
      </c>
      <c r="CT14" s="51">
        <f t="shared" si="31"/>
        <v>60000</v>
      </c>
      <c r="CU14" s="33"/>
      <c r="CV14" s="30">
        <v>1</v>
      </c>
      <c r="CW14" s="2">
        <f t="shared" si="32"/>
        <v>6000</v>
      </c>
      <c r="CX14" s="33"/>
      <c r="CY14" s="30"/>
      <c r="CZ14" s="2">
        <f t="shared" si="33"/>
        <v>0</v>
      </c>
      <c r="DA14" s="33"/>
      <c r="DB14" s="30">
        <v>1</v>
      </c>
      <c r="DC14" s="2">
        <f t="shared" si="34"/>
        <v>6000</v>
      </c>
      <c r="DD14" s="33"/>
      <c r="DE14" s="30">
        <v>1</v>
      </c>
      <c r="DF14" s="2">
        <f t="shared" si="35"/>
        <v>6000</v>
      </c>
      <c r="DG14" s="33"/>
      <c r="DH14" s="30"/>
      <c r="DI14" s="2">
        <f t="shared" si="36"/>
        <v>0</v>
      </c>
      <c r="DJ14" s="33"/>
      <c r="DK14" s="30"/>
      <c r="DL14" s="2">
        <f t="shared" si="37"/>
        <v>0</v>
      </c>
      <c r="DM14" s="33"/>
      <c r="DN14" s="30"/>
      <c r="DO14" s="2">
        <f t="shared" si="38"/>
        <v>0</v>
      </c>
      <c r="DP14" s="70">
        <f t="shared" si="39"/>
        <v>0</v>
      </c>
      <c r="DQ14" s="67">
        <f t="shared" si="39"/>
        <v>3</v>
      </c>
      <c r="DR14" s="51">
        <f t="shared" si="39"/>
        <v>18000</v>
      </c>
      <c r="DS14" s="52">
        <f t="shared" si="40"/>
        <v>20000</v>
      </c>
      <c r="DT14" s="53">
        <f t="shared" si="41"/>
        <v>28</v>
      </c>
      <c r="DU14" s="54">
        <f t="shared" si="41"/>
        <v>168000</v>
      </c>
    </row>
    <row r="15" spans="1:125" s="26" customFormat="1" ht="17.100000000000001" customHeight="1" x14ac:dyDescent="0.2">
      <c r="A15" s="27" t="s">
        <v>36</v>
      </c>
      <c r="B15" s="28">
        <v>6000</v>
      </c>
      <c r="C15" s="29"/>
      <c r="D15" s="30"/>
      <c r="E15" s="2">
        <f t="shared" si="0"/>
        <v>0</v>
      </c>
      <c r="F15" s="29"/>
      <c r="G15" s="30"/>
      <c r="H15" s="2">
        <f t="shared" si="1"/>
        <v>0</v>
      </c>
      <c r="I15" s="29"/>
      <c r="J15" s="30"/>
      <c r="K15" s="2">
        <f t="shared" si="2"/>
        <v>0</v>
      </c>
      <c r="L15" s="31"/>
      <c r="M15" s="30"/>
      <c r="N15" s="2">
        <f t="shared" si="3"/>
        <v>0</v>
      </c>
      <c r="O15" s="31"/>
      <c r="P15" s="30"/>
      <c r="Q15" s="2">
        <f t="shared" si="4"/>
        <v>0</v>
      </c>
      <c r="R15" s="31"/>
      <c r="S15" s="30"/>
      <c r="T15" s="2">
        <f t="shared" si="5"/>
        <v>0</v>
      </c>
      <c r="U15" s="33"/>
      <c r="V15" s="30"/>
      <c r="W15" s="64">
        <f t="shared" si="6"/>
        <v>0</v>
      </c>
      <c r="X15" s="70">
        <f t="shared" si="7"/>
        <v>0</v>
      </c>
      <c r="Y15" s="67">
        <f t="shared" si="7"/>
        <v>0</v>
      </c>
      <c r="Z15" s="73">
        <f t="shared" si="7"/>
        <v>0</v>
      </c>
      <c r="AA15" s="35"/>
      <c r="AB15" s="30"/>
      <c r="AC15" s="2">
        <f t="shared" si="8"/>
        <v>0</v>
      </c>
      <c r="AD15" s="33"/>
      <c r="AE15" s="30"/>
      <c r="AF15" s="2">
        <f t="shared" si="9"/>
        <v>0</v>
      </c>
      <c r="AG15" s="33"/>
      <c r="AH15" s="30"/>
      <c r="AI15" s="2">
        <f t="shared" si="10"/>
        <v>0</v>
      </c>
      <c r="AJ15" s="33"/>
      <c r="AK15" s="30"/>
      <c r="AL15" s="2">
        <f t="shared" si="11"/>
        <v>0</v>
      </c>
      <c r="AM15" s="33"/>
      <c r="AN15" s="30"/>
      <c r="AO15" s="2">
        <f t="shared" si="12"/>
        <v>0</v>
      </c>
      <c r="AP15" s="33"/>
      <c r="AQ15" s="30"/>
      <c r="AR15" s="2">
        <f t="shared" si="13"/>
        <v>0</v>
      </c>
      <c r="AS15" s="33"/>
      <c r="AT15" s="30"/>
      <c r="AU15" s="2">
        <f t="shared" si="14"/>
        <v>0</v>
      </c>
      <c r="AV15" s="70">
        <f t="shared" si="15"/>
        <v>0</v>
      </c>
      <c r="AW15" s="67">
        <f t="shared" si="15"/>
        <v>0</v>
      </c>
      <c r="AX15" s="51">
        <f t="shared" si="15"/>
        <v>0</v>
      </c>
      <c r="AY15" s="33"/>
      <c r="AZ15" s="30"/>
      <c r="BA15" s="2">
        <f t="shared" si="16"/>
        <v>0</v>
      </c>
      <c r="BB15" s="33"/>
      <c r="BC15" s="30"/>
      <c r="BD15" s="2">
        <f t="shared" si="17"/>
        <v>0</v>
      </c>
      <c r="BE15" s="33"/>
      <c r="BF15" s="30"/>
      <c r="BG15" s="2">
        <f t="shared" si="18"/>
        <v>0</v>
      </c>
      <c r="BH15" s="33"/>
      <c r="BI15" s="30"/>
      <c r="BJ15" s="2">
        <f t="shared" si="19"/>
        <v>0</v>
      </c>
      <c r="BK15" s="33"/>
      <c r="BL15" s="30"/>
      <c r="BM15" s="2">
        <f t="shared" si="20"/>
        <v>0</v>
      </c>
      <c r="BN15" s="33"/>
      <c r="BO15" s="30"/>
      <c r="BP15" s="2">
        <f t="shared" si="21"/>
        <v>0</v>
      </c>
      <c r="BQ15" s="33"/>
      <c r="BR15" s="30"/>
      <c r="BS15" s="2">
        <f t="shared" si="22"/>
        <v>0</v>
      </c>
      <c r="BT15" s="70">
        <f t="shared" si="23"/>
        <v>0</v>
      </c>
      <c r="BU15" s="67">
        <f t="shared" si="23"/>
        <v>0</v>
      </c>
      <c r="BV15" s="51">
        <f t="shared" si="23"/>
        <v>0</v>
      </c>
      <c r="BW15" s="33"/>
      <c r="BX15" s="30"/>
      <c r="BY15" s="2">
        <f t="shared" si="24"/>
        <v>0</v>
      </c>
      <c r="BZ15" s="33"/>
      <c r="CA15" s="30"/>
      <c r="CB15" s="2">
        <f t="shared" si="25"/>
        <v>0</v>
      </c>
      <c r="CC15" s="33"/>
      <c r="CD15" s="30"/>
      <c r="CE15" s="2">
        <f t="shared" si="26"/>
        <v>0</v>
      </c>
      <c r="CF15" s="33"/>
      <c r="CG15" s="30"/>
      <c r="CH15" s="2">
        <f t="shared" si="27"/>
        <v>0</v>
      </c>
      <c r="CI15" s="33"/>
      <c r="CJ15" s="30"/>
      <c r="CK15" s="2">
        <f t="shared" si="28"/>
        <v>0</v>
      </c>
      <c r="CL15" s="33"/>
      <c r="CM15" s="30"/>
      <c r="CN15" s="2">
        <f t="shared" si="29"/>
        <v>0</v>
      </c>
      <c r="CO15" s="33"/>
      <c r="CP15" s="30"/>
      <c r="CQ15" s="2">
        <f t="shared" si="30"/>
        <v>0</v>
      </c>
      <c r="CR15" s="70">
        <f t="shared" si="31"/>
        <v>0</v>
      </c>
      <c r="CS15" s="67">
        <f t="shared" si="31"/>
        <v>0</v>
      </c>
      <c r="CT15" s="51">
        <f t="shared" si="31"/>
        <v>0</v>
      </c>
      <c r="CU15" s="33"/>
      <c r="CV15" s="30"/>
      <c r="CW15" s="2">
        <f t="shared" si="32"/>
        <v>0</v>
      </c>
      <c r="CX15" s="33"/>
      <c r="CY15" s="30"/>
      <c r="CZ15" s="2">
        <f t="shared" si="33"/>
        <v>0</v>
      </c>
      <c r="DA15" s="33"/>
      <c r="DB15" s="30"/>
      <c r="DC15" s="2">
        <f t="shared" si="34"/>
        <v>0</v>
      </c>
      <c r="DD15" s="33"/>
      <c r="DE15" s="30"/>
      <c r="DF15" s="2">
        <f t="shared" si="35"/>
        <v>0</v>
      </c>
      <c r="DG15" s="33"/>
      <c r="DH15" s="30"/>
      <c r="DI15" s="2">
        <f t="shared" si="36"/>
        <v>0</v>
      </c>
      <c r="DJ15" s="33"/>
      <c r="DK15" s="30"/>
      <c r="DL15" s="2">
        <f t="shared" si="37"/>
        <v>0</v>
      </c>
      <c r="DM15" s="33"/>
      <c r="DN15" s="30"/>
      <c r="DO15" s="2">
        <f t="shared" si="38"/>
        <v>0</v>
      </c>
      <c r="DP15" s="70">
        <f t="shared" si="39"/>
        <v>0</v>
      </c>
      <c r="DQ15" s="67">
        <f t="shared" si="39"/>
        <v>0</v>
      </c>
      <c r="DR15" s="51">
        <f t="shared" si="39"/>
        <v>0</v>
      </c>
      <c r="DS15" s="52">
        <f t="shared" si="40"/>
        <v>0</v>
      </c>
      <c r="DT15" s="53">
        <f t="shared" si="41"/>
        <v>0</v>
      </c>
      <c r="DU15" s="54">
        <f t="shared" si="41"/>
        <v>0</v>
      </c>
    </row>
    <row r="16" spans="1:125" s="26" customFormat="1" ht="17.100000000000001" customHeight="1" x14ac:dyDescent="0.2">
      <c r="A16" s="27" t="s">
        <v>33</v>
      </c>
      <c r="B16" s="28">
        <v>6000</v>
      </c>
      <c r="C16" s="29"/>
      <c r="D16" s="30"/>
      <c r="E16" s="2">
        <f t="shared" si="0"/>
        <v>0</v>
      </c>
      <c r="F16" s="29"/>
      <c r="G16" s="30"/>
      <c r="H16" s="2">
        <f t="shared" si="1"/>
        <v>0</v>
      </c>
      <c r="I16" s="29"/>
      <c r="J16" s="30"/>
      <c r="K16" s="2">
        <f t="shared" si="2"/>
        <v>0</v>
      </c>
      <c r="L16" s="31"/>
      <c r="M16" s="30"/>
      <c r="N16" s="2">
        <f t="shared" si="3"/>
        <v>0</v>
      </c>
      <c r="O16" s="31"/>
      <c r="P16" s="30"/>
      <c r="Q16" s="2">
        <f t="shared" si="4"/>
        <v>0</v>
      </c>
      <c r="R16" s="31"/>
      <c r="S16" s="30"/>
      <c r="T16" s="2">
        <f t="shared" si="5"/>
        <v>0</v>
      </c>
      <c r="U16" s="33"/>
      <c r="V16" s="30"/>
      <c r="W16" s="64">
        <f t="shared" si="6"/>
        <v>0</v>
      </c>
      <c r="X16" s="70">
        <f t="shared" si="7"/>
        <v>0</v>
      </c>
      <c r="Y16" s="67">
        <f t="shared" si="7"/>
        <v>0</v>
      </c>
      <c r="Z16" s="73">
        <f t="shared" si="7"/>
        <v>0</v>
      </c>
      <c r="AA16" s="35"/>
      <c r="AB16" s="30"/>
      <c r="AC16" s="2">
        <f t="shared" si="8"/>
        <v>0</v>
      </c>
      <c r="AD16" s="33"/>
      <c r="AE16" s="30"/>
      <c r="AF16" s="2">
        <f t="shared" si="9"/>
        <v>0</v>
      </c>
      <c r="AG16" s="33"/>
      <c r="AH16" s="30"/>
      <c r="AI16" s="2">
        <f t="shared" si="10"/>
        <v>0</v>
      </c>
      <c r="AJ16" s="33"/>
      <c r="AK16" s="30"/>
      <c r="AL16" s="2">
        <f t="shared" si="11"/>
        <v>0</v>
      </c>
      <c r="AM16" s="33"/>
      <c r="AN16" s="30"/>
      <c r="AO16" s="2">
        <f t="shared" si="12"/>
        <v>0</v>
      </c>
      <c r="AP16" s="33"/>
      <c r="AQ16" s="30"/>
      <c r="AR16" s="2">
        <f t="shared" si="13"/>
        <v>0</v>
      </c>
      <c r="AS16" s="33"/>
      <c r="AT16" s="30">
        <v>1</v>
      </c>
      <c r="AU16" s="2">
        <f t="shared" si="14"/>
        <v>6000</v>
      </c>
      <c r="AV16" s="70">
        <f t="shared" si="15"/>
        <v>0</v>
      </c>
      <c r="AW16" s="67">
        <f t="shared" si="15"/>
        <v>1</v>
      </c>
      <c r="AX16" s="51">
        <f t="shared" si="15"/>
        <v>6000</v>
      </c>
      <c r="AY16" s="33"/>
      <c r="AZ16" s="30">
        <v>1</v>
      </c>
      <c r="BA16" s="2">
        <f t="shared" si="16"/>
        <v>6000</v>
      </c>
      <c r="BB16" s="33"/>
      <c r="BC16" s="30">
        <v>2</v>
      </c>
      <c r="BD16" s="2">
        <f t="shared" si="17"/>
        <v>12000</v>
      </c>
      <c r="BE16" s="33"/>
      <c r="BF16" s="30">
        <v>3</v>
      </c>
      <c r="BG16" s="2">
        <f t="shared" si="18"/>
        <v>18000</v>
      </c>
      <c r="BH16" s="33"/>
      <c r="BI16" s="30">
        <v>2</v>
      </c>
      <c r="BJ16" s="2">
        <f t="shared" si="19"/>
        <v>12000</v>
      </c>
      <c r="BK16" s="33"/>
      <c r="BL16" s="30">
        <v>2</v>
      </c>
      <c r="BM16" s="2">
        <f t="shared" si="20"/>
        <v>12000</v>
      </c>
      <c r="BN16" s="33"/>
      <c r="BO16" s="30">
        <v>1</v>
      </c>
      <c r="BP16" s="2">
        <f t="shared" si="21"/>
        <v>6000</v>
      </c>
      <c r="BQ16" s="33"/>
      <c r="BR16" s="30">
        <v>2</v>
      </c>
      <c r="BS16" s="2">
        <f t="shared" si="22"/>
        <v>12000</v>
      </c>
      <c r="BT16" s="70">
        <f t="shared" si="23"/>
        <v>0</v>
      </c>
      <c r="BU16" s="67">
        <f t="shared" si="23"/>
        <v>13</v>
      </c>
      <c r="BV16" s="51">
        <f t="shared" si="23"/>
        <v>78000</v>
      </c>
      <c r="BW16" s="33"/>
      <c r="BX16" s="30">
        <v>2</v>
      </c>
      <c r="BY16" s="2">
        <f t="shared" si="24"/>
        <v>12000</v>
      </c>
      <c r="BZ16" s="33"/>
      <c r="CA16" s="30">
        <v>2</v>
      </c>
      <c r="CB16" s="2">
        <f t="shared" si="25"/>
        <v>12000</v>
      </c>
      <c r="CC16" s="33"/>
      <c r="CD16" s="30">
        <v>2</v>
      </c>
      <c r="CE16" s="2">
        <f t="shared" si="26"/>
        <v>12000</v>
      </c>
      <c r="CF16" s="33"/>
      <c r="CG16" s="30">
        <v>2</v>
      </c>
      <c r="CH16" s="2">
        <f t="shared" si="27"/>
        <v>12000</v>
      </c>
      <c r="CI16" s="33"/>
      <c r="CJ16" s="30">
        <v>1</v>
      </c>
      <c r="CK16" s="2">
        <f t="shared" si="28"/>
        <v>6000</v>
      </c>
      <c r="CL16" s="33"/>
      <c r="CM16" s="30"/>
      <c r="CN16" s="2">
        <f t="shared" si="29"/>
        <v>0</v>
      </c>
      <c r="CO16" s="33"/>
      <c r="CP16" s="30"/>
      <c r="CQ16" s="2">
        <f t="shared" si="30"/>
        <v>0</v>
      </c>
      <c r="CR16" s="70">
        <f t="shared" si="31"/>
        <v>0</v>
      </c>
      <c r="CS16" s="67">
        <f t="shared" si="31"/>
        <v>9</v>
      </c>
      <c r="CT16" s="51">
        <f t="shared" si="31"/>
        <v>54000</v>
      </c>
      <c r="CU16" s="33"/>
      <c r="CV16" s="30">
        <v>1</v>
      </c>
      <c r="CW16" s="2">
        <f t="shared" si="32"/>
        <v>6000</v>
      </c>
      <c r="CX16" s="33"/>
      <c r="CY16" s="30"/>
      <c r="CZ16" s="2">
        <f t="shared" si="33"/>
        <v>0</v>
      </c>
      <c r="DA16" s="33"/>
      <c r="DB16" s="30"/>
      <c r="DC16" s="2">
        <f t="shared" si="34"/>
        <v>0</v>
      </c>
      <c r="DD16" s="33"/>
      <c r="DE16" s="30">
        <v>1</v>
      </c>
      <c r="DF16" s="2">
        <f t="shared" si="35"/>
        <v>6000</v>
      </c>
      <c r="DG16" s="33"/>
      <c r="DH16" s="30"/>
      <c r="DI16" s="2">
        <f t="shared" si="36"/>
        <v>0</v>
      </c>
      <c r="DJ16" s="33"/>
      <c r="DK16" s="30"/>
      <c r="DL16" s="2">
        <f t="shared" si="37"/>
        <v>0</v>
      </c>
      <c r="DM16" s="33"/>
      <c r="DN16" s="30"/>
      <c r="DO16" s="2">
        <f t="shared" si="38"/>
        <v>0</v>
      </c>
      <c r="DP16" s="70">
        <f t="shared" si="39"/>
        <v>0</v>
      </c>
      <c r="DQ16" s="67">
        <f t="shared" si="39"/>
        <v>2</v>
      </c>
      <c r="DR16" s="51">
        <f t="shared" si="39"/>
        <v>12000</v>
      </c>
      <c r="DS16" s="52">
        <f t="shared" si="40"/>
        <v>0</v>
      </c>
      <c r="DT16" s="53">
        <f t="shared" si="41"/>
        <v>25</v>
      </c>
      <c r="DU16" s="54">
        <f t="shared" si="41"/>
        <v>150000</v>
      </c>
    </row>
    <row r="17" spans="1:125" s="26" customFormat="1" ht="17.100000000000001" customHeight="1" x14ac:dyDescent="0.2">
      <c r="A17" s="27" t="s">
        <v>39</v>
      </c>
      <c r="B17" s="28">
        <v>6000</v>
      </c>
      <c r="C17" s="29"/>
      <c r="D17" s="30"/>
      <c r="E17" s="2">
        <f t="shared" si="0"/>
        <v>0</v>
      </c>
      <c r="F17" s="29"/>
      <c r="G17" s="30"/>
      <c r="H17" s="2">
        <f t="shared" si="1"/>
        <v>0</v>
      </c>
      <c r="I17" s="29">
        <v>10000</v>
      </c>
      <c r="J17" s="30"/>
      <c r="K17" s="2">
        <f t="shared" si="2"/>
        <v>0</v>
      </c>
      <c r="L17" s="31"/>
      <c r="M17" s="30"/>
      <c r="N17" s="2">
        <f t="shared" si="3"/>
        <v>0</v>
      </c>
      <c r="O17" s="31">
        <v>10000</v>
      </c>
      <c r="P17" s="30"/>
      <c r="Q17" s="2">
        <f t="shared" si="4"/>
        <v>0</v>
      </c>
      <c r="R17" s="31">
        <v>1000</v>
      </c>
      <c r="S17" s="30"/>
      <c r="T17" s="2">
        <f t="shared" si="5"/>
        <v>0</v>
      </c>
      <c r="U17" s="33"/>
      <c r="V17" s="30"/>
      <c r="W17" s="64">
        <f t="shared" si="6"/>
        <v>0</v>
      </c>
      <c r="X17" s="70">
        <f t="shared" si="7"/>
        <v>21000</v>
      </c>
      <c r="Y17" s="67">
        <f t="shared" si="7"/>
        <v>0</v>
      </c>
      <c r="Z17" s="73">
        <f t="shared" si="7"/>
        <v>0</v>
      </c>
      <c r="AA17" s="35"/>
      <c r="AB17" s="30"/>
      <c r="AC17" s="2">
        <f t="shared" si="8"/>
        <v>0</v>
      </c>
      <c r="AD17" s="33"/>
      <c r="AE17" s="30"/>
      <c r="AF17" s="2">
        <f t="shared" si="9"/>
        <v>0</v>
      </c>
      <c r="AG17" s="33"/>
      <c r="AH17" s="30"/>
      <c r="AI17" s="2">
        <f t="shared" si="10"/>
        <v>0</v>
      </c>
      <c r="AJ17" s="33"/>
      <c r="AK17" s="30"/>
      <c r="AL17" s="2">
        <f t="shared" si="11"/>
        <v>0</v>
      </c>
      <c r="AM17" s="33"/>
      <c r="AN17" s="30"/>
      <c r="AO17" s="2">
        <f t="shared" si="12"/>
        <v>0</v>
      </c>
      <c r="AP17" s="33"/>
      <c r="AQ17" s="30"/>
      <c r="AR17" s="2">
        <f t="shared" si="13"/>
        <v>0</v>
      </c>
      <c r="AS17" s="33"/>
      <c r="AT17" s="30">
        <v>1</v>
      </c>
      <c r="AU17" s="2">
        <f t="shared" si="14"/>
        <v>6000</v>
      </c>
      <c r="AV17" s="70">
        <f t="shared" si="15"/>
        <v>0</v>
      </c>
      <c r="AW17" s="67">
        <f t="shared" si="15"/>
        <v>1</v>
      </c>
      <c r="AX17" s="51">
        <f t="shared" si="15"/>
        <v>6000</v>
      </c>
      <c r="AY17" s="33"/>
      <c r="AZ17" s="30">
        <v>1</v>
      </c>
      <c r="BA17" s="2">
        <f t="shared" si="16"/>
        <v>6000</v>
      </c>
      <c r="BB17" s="33"/>
      <c r="BC17" s="30">
        <v>2</v>
      </c>
      <c r="BD17" s="2">
        <f t="shared" si="17"/>
        <v>12000</v>
      </c>
      <c r="BE17" s="33"/>
      <c r="BF17" s="30">
        <v>3</v>
      </c>
      <c r="BG17" s="2">
        <f t="shared" si="18"/>
        <v>18000</v>
      </c>
      <c r="BH17" s="33"/>
      <c r="BI17" s="30">
        <v>2</v>
      </c>
      <c r="BJ17" s="2">
        <f t="shared" si="19"/>
        <v>12000</v>
      </c>
      <c r="BK17" s="33"/>
      <c r="BL17" s="99">
        <v>0.5</v>
      </c>
      <c r="BM17" s="2">
        <f t="shared" si="20"/>
        <v>3000</v>
      </c>
      <c r="BN17" s="33"/>
      <c r="BO17" s="30">
        <v>2</v>
      </c>
      <c r="BP17" s="2">
        <f t="shared" si="21"/>
        <v>12000</v>
      </c>
      <c r="BQ17" s="33"/>
      <c r="BR17" s="30">
        <v>2</v>
      </c>
      <c r="BS17" s="2">
        <f t="shared" si="22"/>
        <v>12000</v>
      </c>
      <c r="BT17" s="70">
        <f t="shared" si="23"/>
        <v>0</v>
      </c>
      <c r="BU17" s="67">
        <f t="shared" si="23"/>
        <v>12.5</v>
      </c>
      <c r="BV17" s="51">
        <f t="shared" si="23"/>
        <v>75000</v>
      </c>
      <c r="BW17" s="33"/>
      <c r="BX17" s="30">
        <v>2</v>
      </c>
      <c r="BY17" s="2">
        <f t="shared" si="24"/>
        <v>12000</v>
      </c>
      <c r="BZ17" s="33"/>
      <c r="CA17" s="99">
        <v>2.5</v>
      </c>
      <c r="CB17" s="2">
        <f t="shared" si="25"/>
        <v>15000</v>
      </c>
      <c r="CC17" s="33"/>
      <c r="CD17" s="99">
        <v>2.5</v>
      </c>
      <c r="CE17" s="2">
        <f t="shared" si="26"/>
        <v>15000</v>
      </c>
      <c r="CF17" s="33"/>
      <c r="CG17" s="30">
        <v>2</v>
      </c>
      <c r="CH17" s="2">
        <f t="shared" si="27"/>
        <v>12000</v>
      </c>
      <c r="CI17" s="33"/>
      <c r="CJ17" s="30">
        <v>1</v>
      </c>
      <c r="CK17" s="2">
        <f t="shared" si="28"/>
        <v>6000</v>
      </c>
      <c r="CL17" s="33"/>
      <c r="CM17" s="30"/>
      <c r="CN17" s="2">
        <f t="shared" si="29"/>
        <v>0</v>
      </c>
      <c r="CO17" s="33"/>
      <c r="CP17" s="30"/>
      <c r="CQ17" s="2">
        <f t="shared" si="30"/>
        <v>0</v>
      </c>
      <c r="CR17" s="70">
        <f t="shared" si="31"/>
        <v>0</v>
      </c>
      <c r="CS17" s="67">
        <f t="shared" si="31"/>
        <v>10</v>
      </c>
      <c r="CT17" s="51">
        <f t="shared" si="31"/>
        <v>60000</v>
      </c>
      <c r="CU17" s="33"/>
      <c r="CV17" s="30"/>
      <c r="CW17" s="2">
        <f t="shared" si="32"/>
        <v>0</v>
      </c>
      <c r="CX17" s="33">
        <v>22000</v>
      </c>
      <c r="CY17" s="30">
        <v>1</v>
      </c>
      <c r="CZ17" s="2">
        <f t="shared" si="33"/>
        <v>6000</v>
      </c>
      <c r="DA17" s="33"/>
      <c r="DB17" s="30">
        <v>1</v>
      </c>
      <c r="DC17" s="2">
        <f t="shared" si="34"/>
        <v>6000</v>
      </c>
      <c r="DD17" s="33"/>
      <c r="DE17" s="30"/>
      <c r="DF17" s="2">
        <f t="shared" si="35"/>
        <v>0</v>
      </c>
      <c r="DG17" s="33"/>
      <c r="DH17" s="30"/>
      <c r="DI17" s="2">
        <f t="shared" si="36"/>
        <v>0</v>
      </c>
      <c r="DJ17" s="33"/>
      <c r="DK17" s="30"/>
      <c r="DL17" s="2">
        <f t="shared" si="37"/>
        <v>0</v>
      </c>
      <c r="DM17" s="33"/>
      <c r="DN17" s="30"/>
      <c r="DO17" s="2">
        <f t="shared" si="38"/>
        <v>0</v>
      </c>
      <c r="DP17" s="70">
        <f t="shared" si="39"/>
        <v>22000</v>
      </c>
      <c r="DQ17" s="67">
        <f t="shared" si="39"/>
        <v>2</v>
      </c>
      <c r="DR17" s="51">
        <f t="shared" si="39"/>
        <v>12000</v>
      </c>
      <c r="DS17" s="52">
        <f t="shared" si="40"/>
        <v>43000</v>
      </c>
      <c r="DT17" s="53">
        <f t="shared" si="41"/>
        <v>25.5</v>
      </c>
      <c r="DU17" s="54">
        <f t="shared" si="41"/>
        <v>153000</v>
      </c>
    </row>
    <row r="18" spans="1:125" s="26" customFormat="1" ht="17.100000000000001" customHeight="1" x14ac:dyDescent="0.2">
      <c r="A18" s="27" t="s">
        <v>38</v>
      </c>
      <c r="B18" s="28">
        <v>6000</v>
      </c>
      <c r="C18" s="29"/>
      <c r="D18" s="30"/>
      <c r="E18" s="2">
        <f t="shared" si="0"/>
        <v>0</v>
      </c>
      <c r="F18" s="29"/>
      <c r="G18" s="30"/>
      <c r="H18" s="2">
        <f t="shared" si="1"/>
        <v>0</v>
      </c>
      <c r="I18" s="29"/>
      <c r="J18" s="30"/>
      <c r="K18" s="2">
        <f t="shared" si="2"/>
        <v>0</v>
      </c>
      <c r="L18" s="31"/>
      <c r="M18" s="30"/>
      <c r="N18" s="2">
        <f t="shared" si="3"/>
        <v>0</v>
      </c>
      <c r="O18" s="31"/>
      <c r="P18" s="30"/>
      <c r="Q18" s="2">
        <f t="shared" si="4"/>
        <v>0</v>
      </c>
      <c r="R18" s="31"/>
      <c r="S18" s="30"/>
      <c r="T18" s="2">
        <f t="shared" si="5"/>
        <v>0</v>
      </c>
      <c r="U18" s="33"/>
      <c r="V18" s="30"/>
      <c r="W18" s="64">
        <f t="shared" si="6"/>
        <v>0</v>
      </c>
      <c r="X18" s="70">
        <f t="shared" si="7"/>
        <v>0</v>
      </c>
      <c r="Y18" s="67">
        <f t="shared" si="7"/>
        <v>0</v>
      </c>
      <c r="Z18" s="73">
        <f t="shared" si="7"/>
        <v>0</v>
      </c>
      <c r="AA18" s="35"/>
      <c r="AB18" s="30"/>
      <c r="AC18" s="2">
        <f t="shared" si="8"/>
        <v>0</v>
      </c>
      <c r="AD18" s="33"/>
      <c r="AE18" s="30"/>
      <c r="AF18" s="2">
        <f t="shared" si="9"/>
        <v>0</v>
      </c>
      <c r="AG18" s="33"/>
      <c r="AH18" s="30"/>
      <c r="AI18" s="2">
        <f t="shared" si="10"/>
        <v>0</v>
      </c>
      <c r="AJ18" s="33"/>
      <c r="AK18" s="30"/>
      <c r="AL18" s="2">
        <f t="shared" si="11"/>
        <v>0</v>
      </c>
      <c r="AM18" s="33"/>
      <c r="AN18" s="30"/>
      <c r="AO18" s="2">
        <f t="shared" si="12"/>
        <v>0</v>
      </c>
      <c r="AP18" s="33"/>
      <c r="AQ18" s="30"/>
      <c r="AR18" s="2">
        <f t="shared" si="13"/>
        <v>0</v>
      </c>
      <c r="AS18" s="33"/>
      <c r="AT18" s="30"/>
      <c r="AU18" s="2">
        <f t="shared" si="14"/>
        <v>0</v>
      </c>
      <c r="AV18" s="70">
        <f t="shared" si="15"/>
        <v>0</v>
      </c>
      <c r="AW18" s="67">
        <f t="shared" si="15"/>
        <v>0</v>
      </c>
      <c r="AX18" s="51">
        <f t="shared" si="15"/>
        <v>0</v>
      </c>
      <c r="AY18" s="33"/>
      <c r="AZ18" s="30"/>
      <c r="BA18" s="2">
        <f t="shared" si="16"/>
        <v>0</v>
      </c>
      <c r="BB18" s="33"/>
      <c r="BC18" s="30">
        <v>1</v>
      </c>
      <c r="BD18" s="2">
        <f t="shared" si="17"/>
        <v>6000</v>
      </c>
      <c r="BE18" s="33"/>
      <c r="BF18" s="30"/>
      <c r="BG18" s="2">
        <f t="shared" si="18"/>
        <v>0</v>
      </c>
      <c r="BH18" s="33"/>
      <c r="BI18" s="30"/>
      <c r="BJ18" s="2">
        <f t="shared" si="19"/>
        <v>0</v>
      </c>
      <c r="BK18" s="33"/>
      <c r="BL18" s="30">
        <v>1</v>
      </c>
      <c r="BM18" s="2">
        <f t="shared" si="20"/>
        <v>6000</v>
      </c>
      <c r="BN18" s="33"/>
      <c r="BO18" s="30"/>
      <c r="BP18" s="2">
        <f t="shared" si="21"/>
        <v>0</v>
      </c>
      <c r="BQ18" s="33"/>
      <c r="BR18" s="30"/>
      <c r="BS18" s="2">
        <f t="shared" si="22"/>
        <v>0</v>
      </c>
      <c r="BT18" s="70">
        <f t="shared" si="23"/>
        <v>0</v>
      </c>
      <c r="BU18" s="67">
        <f t="shared" si="23"/>
        <v>2</v>
      </c>
      <c r="BV18" s="51">
        <f t="shared" si="23"/>
        <v>12000</v>
      </c>
      <c r="BW18" s="33"/>
      <c r="BX18" s="30"/>
      <c r="BY18" s="2">
        <f t="shared" si="24"/>
        <v>0</v>
      </c>
      <c r="BZ18" s="33"/>
      <c r="CA18" s="30"/>
      <c r="CB18" s="2">
        <f t="shared" si="25"/>
        <v>0</v>
      </c>
      <c r="CC18" s="33"/>
      <c r="CD18" s="30"/>
      <c r="CE18" s="2">
        <f t="shared" si="26"/>
        <v>0</v>
      </c>
      <c r="CF18" s="33"/>
      <c r="CG18" s="30"/>
      <c r="CH18" s="2">
        <f t="shared" si="27"/>
        <v>0</v>
      </c>
      <c r="CI18" s="33"/>
      <c r="CJ18" s="30"/>
      <c r="CK18" s="2">
        <f t="shared" si="28"/>
        <v>0</v>
      </c>
      <c r="CL18" s="33"/>
      <c r="CM18" s="30"/>
      <c r="CN18" s="2">
        <f t="shared" si="29"/>
        <v>0</v>
      </c>
      <c r="CO18" s="33"/>
      <c r="CP18" s="30"/>
      <c r="CQ18" s="2">
        <f t="shared" si="30"/>
        <v>0</v>
      </c>
      <c r="CR18" s="70">
        <f t="shared" si="31"/>
        <v>0</v>
      </c>
      <c r="CS18" s="67">
        <f t="shared" si="31"/>
        <v>0</v>
      </c>
      <c r="CT18" s="51">
        <f t="shared" si="31"/>
        <v>0</v>
      </c>
      <c r="CU18" s="33"/>
      <c r="CV18" s="30"/>
      <c r="CW18" s="2">
        <f t="shared" si="32"/>
        <v>0</v>
      </c>
      <c r="CX18" s="33"/>
      <c r="CY18" s="30"/>
      <c r="CZ18" s="2">
        <f t="shared" si="33"/>
        <v>0</v>
      </c>
      <c r="DA18" s="33"/>
      <c r="DB18" s="30"/>
      <c r="DC18" s="2">
        <f t="shared" si="34"/>
        <v>0</v>
      </c>
      <c r="DD18" s="33"/>
      <c r="DE18" s="30"/>
      <c r="DF18" s="2">
        <f t="shared" si="35"/>
        <v>0</v>
      </c>
      <c r="DG18" s="33"/>
      <c r="DH18" s="30"/>
      <c r="DI18" s="2">
        <f t="shared" si="36"/>
        <v>0</v>
      </c>
      <c r="DJ18" s="33"/>
      <c r="DK18" s="30"/>
      <c r="DL18" s="2">
        <f t="shared" si="37"/>
        <v>0</v>
      </c>
      <c r="DM18" s="33"/>
      <c r="DN18" s="30"/>
      <c r="DO18" s="2">
        <f t="shared" si="38"/>
        <v>0</v>
      </c>
      <c r="DP18" s="70">
        <f t="shared" si="39"/>
        <v>0</v>
      </c>
      <c r="DQ18" s="67">
        <f t="shared" si="39"/>
        <v>0</v>
      </c>
      <c r="DR18" s="51">
        <f t="shared" si="39"/>
        <v>0</v>
      </c>
      <c r="DS18" s="52">
        <f t="shared" si="40"/>
        <v>0</v>
      </c>
      <c r="DT18" s="53">
        <f t="shared" si="41"/>
        <v>2</v>
      </c>
      <c r="DU18" s="54">
        <f t="shared" si="41"/>
        <v>12000</v>
      </c>
    </row>
    <row r="19" spans="1:125" s="26" customFormat="1" ht="17.100000000000001" customHeight="1" x14ac:dyDescent="0.2">
      <c r="A19" s="27" t="s">
        <v>40</v>
      </c>
      <c r="B19" s="28">
        <v>6000</v>
      </c>
      <c r="C19" s="29"/>
      <c r="D19" s="30"/>
      <c r="E19" s="2">
        <f t="shared" si="0"/>
        <v>0</v>
      </c>
      <c r="F19" s="29"/>
      <c r="G19" s="30"/>
      <c r="H19" s="2">
        <f t="shared" si="1"/>
        <v>0</v>
      </c>
      <c r="I19" s="29"/>
      <c r="J19" s="30"/>
      <c r="K19" s="2">
        <f t="shared" si="2"/>
        <v>0</v>
      </c>
      <c r="L19" s="31"/>
      <c r="M19" s="30"/>
      <c r="N19" s="2">
        <f t="shared" si="3"/>
        <v>0</v>
      </c>
      <c r="O19" s="31"/>
      <c r="P19" s="30"/>
      <c r="Q19" s="2">
        <f t="shared" si="4"/>
        <v>0</v>
      </c>
      <c r="R19" s="31"/>
      <c r="S19" s="30"/>
      <c r="T19" s="2">
        <f t="shared" si="5"/>
        <v>0</v>
      </c>
      <c r="U19" s="33"/>
      <c r="V19" s="30"/>
      <c r="W19" s="64">
        <f t="shared" si="6"/>
        <v>0</v>
      </c>
      <c r="X19" s="70">
        <f t="shared" si="7"/>
        <v>0</v>
      </c>
      <c r="Y19" s="67">
        <f t="shared" si="7"/>
        <v>0</v>
      </c>
      <c r="Z19" s="73">
        <f t="shared" si="7"/>
        <v>0</v>
      </c>
      <c r="AA19" s="35"/>
      <c r="AB19" s="30"/>
      <c r="AC19" s="2">
        <f t="shared" si="8"/>
        <v>0</v>
      </c>
      <c r="AD19" s="33"/>
      <c r="AE19" s="30"/>
      <c r="AF19" s="2">
        <f t="shared" si="9"/>
        <v>0</v>
      </c>
      <c r="AG19" s="33"/>
      <c r="AH19" s="30"/>
      <c r="AI19" s="2">
        <f t="shared" si="10"/>
        <v>0</v>
      </c>
      <c r="AJ19" s="33"/>
      <c r="AK19" s="30"/>
      <c r="AL19" s="2">
        <f t="shared" si="11"/>
        <v>0</v>
      </c>
      <c r="AM19" s="33"/>
      <c r="AN19" s="30"/>
      <c r="AO19" s="2">
        <f t="shared" si="12"/>
        <v>0</v>
      </c>
      <c r="AP19" s="33"/>
      <c r="AQ19" s="30"/>
      <c r="AR19" s="2">
        <f t="shared" si="13"/>
        <v>0</v>
      </c>
      <c r="AS19" s="33">
        <v>3000</v>
      </c>
      <c r="AT19" s="30">
        <v>1</v>
      </c>
      <c r="AU19" s="2">
        <f t="shared" si="14"/>
        <v>6000</v>
      </c>
      <c r="AV19" s="70">
        <f t="shared" si="15"/>
        <v>3000</v>
      </c>
      <c r="AW19" s="67">
        <f t="shared" si="15"/>
        <v>1</v>
      </c>
      <c r="AX19" s="51">
        <f>AC19+AF19+AI19+AL19+AO19+AR19+AU19</f>
        <v>6000</v>
      </c>
      <c r="AY19" s="33"/>
      <c r="AZ19" s="30"/>
      <c r="BA19" s="2">
        <f t="shared" si="16"/>
        <v>0</v>
      </c>
      <c r="BB19" s="33"/>
      <c r="BC19" s="30">
        <v>2</v>
      </c>
      <c r="BD19" s="2">
        <f t="shared" si="17"/>
        <v>12000</v>
      </c>
      <c r="BE19" s="33"/>
      <c r="BF19" s="30">
        <v>3</v>
      </c>
      <c r="BG19" s="2">
        <f t="shared" si="18"/>
        <v>18000</v>
      </c>
      <c r="BH19" s="33"/>
      <c r="BI19" s="30">
        <v>2</v>
      </c>
      <c r="BJ19" s="2">
        <f t="shared" si="19"/>
        <v>12000</v>
      </c>
      <c r="BK19" s="33"/>
      <c r="BL19" s="30">
        <v>2</v>
      </c>
      <c r="BM19" s="2">
        <f t="shared" si="20"/>
        <v>12000</v>
      </c>
      <c r="BN19" s="33"/>
      <c r="BO19" s="30">
        <v>1</v>
      </c>
      <c r="BP19" s="2">
        <f t="shared" si="21"/>
        <v>6000</v>
      </c>
      <c r="BQ19" s="33"/>
      <c r="BR19" s="30">
        <v>2</v>
      </c>
      <c r="BS19" s="2">
        <f t="shared" si="22"/>
        <v>12000</v>
      </c>
      <c r="BT19" s="70">
        <f t="shared" si="23"/>
        <v>0</v>
      </c>
      <c r="BU19" s="67">
        <f t="shared" si="23"/>
        <v>12</v>
      </c>
      <c r="BV19" s="51">
        <f t="shared" si="23"/>
        <v>72000</v>
      </c>
      <c r="BW19" s="33"/>
      <c r="BX19" s="30">
        <v>2</v>
      </c>
      <c r="BY19" s="2">
        <f t="shared" si="24"/>
        <v>12000</v>
      </c>
      <c r="BZ19" s="33"/>
      <c r="CA19" s="30">
        <v>2</v>
      </c>
      <c r="CB19" s="2">
        <f t="shared" si="25"/>
        <v>12000</v>
      </c>
      <c r="CC19" s="33"/>
      <c r="CD19" s="30">
        <v>2</v>
      </c>
      <c r="CE19" s="2">
        <f t="shared" si="26"/>
        <v>12000</v>
      </c>
      <c r="CF19" s="33"/>
      <c r="CG19" s="30">
        <v>2</v>
      </c>
      <c r="CH19" s="2">
        <f t="shared" si="27"/>
        <v>12000</v>
      </c>
      <c r="CI19" s="33"/>
      <c r="CJ19" s="30">
        <v>1</v>
      </c>
      <c r="CK19" s="2">
        <f t="shared" si="28"/>
        <v>6000</v>
      </c>
      <c r="CL19" s="33"/>
      <c r="CM19" s="30"/>
      <c r="CN19" s="2">
        <f t="shared" si="29"/>
        <v>0</v>
      </c>
      <c r="CO19" s="33"/>
      <c r="CP19" s="30"/>
      <c r="CQ19" s="2">
        <f t="shared" si="30"/>
        <v>0</v>
      </c>
      <c r="CR19" s="70">
        <f t="shared" si="31"/>
        <v>0</v>
      </c>
      <c r="CS19" s="67">
        <f t="shared" si="31"/>
        <v>9</v>
      </c>
      <c r="CT19" s="51">
        <f t="shared" si="31"/>
        <v>54000</v>
      </c>
      <c r="CU19" s="33"/>
      <c r="CV19" s="30">
        <v>1</v>
      </c>
      <c r="CW19" s="2">
        <f t="shared" si="32"/>
        <v>6000</v>
      </c>
      <c r="CX19" s="33"/>
      <c r="CY19" s="30"/>
      <c r="CZ19" s="2">
        <f t="shared" si="33"/>
        <v>0</v>
      </c>
      <c r="DA19" s="33"/>
      <c r="DB19" s="30">
        <v>1</v>
      </c>
      <c r="DC19" s="2">
        <f t="shared" si="34"/>
        <v>6000</v>
      </c>
      <c r="DD19" s="33"/>
      <c r="DE19" s="30">
        <v>1</v>
      </c>
      <c r="DF19" s="2">
        <f t="shared" si="35"/>
        <v>6000</v>
      </c>
      <c r="DG19" s="33"/>
      <c r="DH19" s="30"/>
      <c r="DI19" s="2">
        <f t="shared" si="36"/>
        <v>0</v>
      </c>
      <c r="DJ19" s="33"/>
      <c r="DK19" s="30"/>
      <c r="DL19" s="2">
        <f t="shared" si="37"/>
        <v>0</v>
      </c>
      <c r="DM19" s="33"/>
      <c r="DN19" s="30"/>
      <c r="DO19" s="2">
        <f t="shared" si="38"/>
        <v>0</v>
      </c>
      <c r="DP19" s="70">
        <f t="shared" si="39"/>
        <v>0</v>
      </c>
      <c r="DQ19" s="67">
        <f t="shared" si="39"/>
        <v>3</v>
      </c>
      <c r="DR19" s="51">
        <f t="shared" si="39"/>
        <v>18000</v>
      </c>
      <c r="DS19" s="52">
        <f t="shared" si="40"/>
        <v>3000</v>
      </c>
      <c r="DT19" s="53">
        <f t="shared" si="41"/>
        <v>25</v>
      </c>
      <c r="DU19" s="54">
        <f>Z19+AX19+BV19+CT19+DR19</f>
        <v>150000</v>
      </c>
    </row>
    <row r="20" spans="1:125" s="26" customFormat="1" ht="17.100000000000001" customHeight="1" x14ac:dyDescent="0.2">
      <c r="A20" s="79" t="s">
        <v>35</v>
      </c>
      <c r="B20" s="80"/>
      <c r="C20" s="81"/>
      <c r="D20" s="82"/>
      <c r="E20" s="83">
        <f t="shared" si="0"/>
        <v>0</v>
      </c>
      <c r="F20" s="81"/>
      <c r="G20" s="82"/>
      <c r="H20" s="83">
        <f t="shared" si="1"/>
        <v>0</v>
      </c>
      <c r="I20" s="81"/>
      <c r="J20" s="82"/>
      <c r="K20" s="83">
        <f t="shared" si="2"/>
        <v>0</v>
      </c>
      <c r="L20" s="84"/>
      <c r="M20" s="82"/>
      <c r="N20" s="83">
        <f t="shared" si="3"/>
        <v>0</v>
      </c>
      <c r="O20" s="84"/>
      <c r="P20" s="82"/>
      <c r="Q20" s="83">
        <f t="shared" si="4"/>
        <v>0</v>
      </c>
      <c r="R20" s="84"/>
      <c r="S20" s="82"/>
      <c r="T20" s="83">
        <f t="shared" si="5"/>
        <v>0</v>
      </c>
      <c r="U20" s="84"/>
      <c r="V20" s="82"/>
      <c r="W20" s="85">
        <f t="shared" si="6"/>
        <v>0</v>
      </c>
      <c r="X20" s="86">
        <f t="shared" si="7"/>
        <v>0</v>
      </c>
      <c r="Y20" s="87">
        <f t="shared" si="7"/>
        <v>0</v>
      </c>
      <c r="Z20" s="88">
        <f t="shared" si="7"/>
        <v>0</v>
      </c>
      <c r="AA20" s="89"/>
      <c r="AB20" s="82"/>
      <c r="AC20" s="83">
        <f t="shared" si="8"/>
        <v>0</v>
      </c>
      <c r="AD20" s="84"/>
      <c r="AE20" s="82"/>
      <c r="AF20" s="83">
        <f t="shared" si="9"/>
        <v>0</v>
      </c>
      <c r="AG20" s="84"/>
      <c r="AH20" s="82"/>
      <c r="AI20" s="83">
        <f t="shared" si="10"/>
        <v>0</v>
      </c>
      <c r="AJ20" s="84"/>
      <c r="AK20" s="82"/>
      <c r="AL20" s="83">
        <f t="shared" si="11"/>
        <v>0</v>
      </c>
      <c r="AM20" s="84"/>
      <c r="AN20" s="82"/>
      <c r="AO20" s="83">
        <f t="shared" si="12"/>
        <v>0</v>
      </c>
      <c r="AP20" s="84"/>
      <c r="AQ20" s="82"/>
      <c r="AR20" s="83">
        <f t="shared" si="13"/>
        <v>0</v>
      </c>
      <c r="AS20" s="84"/>
      <c r="AT20" s="82"/>
      <c r="AU20" s="83">
        <f t="shared" si="14"/>
        <v>0</v>
      </c>
      <c r="AV20" s="86">
        <f t="shared" si="15"/>
        <v>0</v>
      </c>
      <c r="AW20" s="87">
        <f t="shared" si="15"/>
        <v>0</v>
      </c>
      <c r="AX20" s="90">
        <f t="shared" si="15"/>
        <v>0</v>
      </c>
      <c r="AY20" s="84"/>
      <c r="AZ20" s="82"/>
      <c r="BA20" s="83">
        <f t="shared" si="16"/>
        <v>0</v>
      </c>
      <c r="BB20" s="84"/>
      <c r="BC20" s="82"/>
      <c r="BD20" s="83">
        <f t="shared" si="17"/>
        <v>0</v>
      </c>
      <c r="BE20" s="84"/>
      <c r="BF20" s="82"/>
      <c r="BG20" s="83">
        <f t="shared" si="18"/>
        <v>0</v>
      </c>
      <c r="BH20" s="84"/>
      <c r="BI20" s="82"/>
      <c r="BJ20" s="83">
        <f t="shared" si="19"/>
        <v>0</v>
      </c>
      <c r="BK20" s="84"/>
      <c r="BL20" s="82"/>
      <c r="BM20" s="83">
        <f t="shared" si="20"/>
        <v>0</v>
      </c>
      <c r="BN20" s="84"/>
      <c r="BO20" s="82"/>
      <c r="BP20" s="83">
        <f t="shared" si="21"/>
        <v>0</v>
      </c>
      <c r="BQ20" s="84"/>
      <c r="BR20" s="82"/>
      <c r="BS20" s="83">
        <f t="shared" si="22"/>
        <v>0</v>
      </c>
      <c r="BT20" s="86">
        <f t="shared" si="23"/>
        <v>0</v>
      </c>
      <c r="BU20" s="87">
        <f t="shared" si="23"/>
        <v>0</v>
      </c>
      <c r="BV20" s="90">
        <f t="shared" si="23"/>
        <v>0</v>
      </c>
      <c r="BW20" s="84"/>
      <c r="BX20" s="82"/>
      <c r="BY20" s="83">
        <f t="shared" si="24"/>
        <v>0</v>
      </c>
      <c r="BZ20" s="84"/>
      <c r="CA20" s="82"/>
      <c r="CB20" s="83">
        <f t="shared" si="25"/>
        <v>0</v>
      </c>
      <c r="CC20" s="84"/>
      <c r="CD20" s="82"/>
      <c r="CE20" s="83">
        <f t="shared" si="26"/>
        <v>0</v>
      </c>
      <c r="CF20" s="84"/>
      <c r="CG20" s="82"/>
      <c r="CH20" s="83">
        <f t="shared" si="27"/>
        <v>0</v>
      </c>
      <c r="CI20" s="84"/>
      <c r="CJ20" s="82"/>
      <c r="CK20" s="83">
        <f t="shared" si="28"/>
        <v>0</v>
      </c>
      <c r="CL20" s="84"/>
      <c r="CM20" s="82"/>
      <c r="CN20" s="83">
        <f t="shared" si="29"/>
        <v>0</v>
      </c>
      <c r="CO20" s="84"/>
      <c r="CP20" s="82"/>
      <c r="CQ20" s="83">
        <f t="shared" si="30"/>
        <v>0</v>
      </c>
      <c r="CR20" s="86">
        <f t="shared" si="31"/>
        <v>0</v>
      </c>
      <c r="CS20" s="87">
        <f t="shared" si="31"/>
        <v>0</v>
      </c>
      <c r="CT20" s="51">
        <f t="shared" si="31"/>
        <v>0</v>
      </c>
      <c r="CU20" s="84"/>
      <c r="CV20" s="82"/>
      <c r="CW20" s="83">
        <f t="shared" si="32"/>
        <v>0</v>
      </c>
      <c r="CX20" s="84"/>
      <c r="CY20" s="82"/>
      <c r="CZ20" s="83">
        <f t="shared" si="33"/>
        <v>0</v>
      </c>
      <c r="DA20" s="84"/>
      <c r="DB20" s="82"/>
      <c r="DC20" s="83">
        <f t="shared" si="34"/>
        <v>0</v>
      </c>
      <c r="DD20" s="84"/>
      <c r="DE20" s="82"/>
      <c r="DF20" s="83">
        <f t="shared" si="35"/>
        <v>0</v>
      </c>
      <c r="DG20" s="84"/>
      <c r="DH20" s="82"/>
      <c r="DI20" s="83">
        <f t="shared" si="36"/>
        <v>0</v>
      </c>
      <c r="DJ20" s="84"/>
      <c r="DK20" s="82"/>
      <c r="DL20" s="83">
        <f t="shared" si="37"/>
        <v>0</v>
      </c>
      <c r="DM20" s="84"/>
      <c r="DN20" s="82"/>
      <c r="DO20" s="83">
        <f t="shared" si="38"/>
        <v>0</v>
      </c>
      <c r="DP20" s="86">
        <f t="shared" si="39"/>
        <v>0</v>
      </c>
      <c r="DQ20" s="87">
        <f t="shared" si="39"/>
        <v>0</v>
      </c>
      <c r="DR20" s="90">
        <f t="shared" si="39"/>
        <v>0</v>
      </c>
      <c r="DS20" s="91">
        <f t="shared" si="40"/>
        <v>0</v>
      </c>
      <c r="DT20" s="92">
        <f t="shared" si="41"/>
        <v>0</v>
      </c>
      <c r="DU20" s="88">
        <f t="shared" si="41"/>
        <v>0</v>
      </c>
    </row>
    <row r="21" spans="1:125" s="26" customFormat="1" ht="17.100000000000001" customHeight="1" thickBot="1" x14ac:dyDescent="0.25">
      <c r="A21" s="36" t="s">
        <v>34</v>
      </c>
      <c r="B21" s="37">
        <v>4500</v>
      </c>
      <c r="C21" s="38"/>
      <c r="D21" s="39"/>
      <c r="E21" s="3">
        <f t="shared" si="0"/>
        <v>0</v>
      </c>
      <c r="F21" s="38"/>
      <c r="G21" s="39"/>
      <c r="H21" s="3">
        <f t="shared" si="1"/>
        <v>0</v>
      </c>
      <c r="I21" s="38"/>
      <c r="J21" s="39"/>
      <c r="K21" s="3">
        <f t="shared" si="2"/>
        <v>0</v>
      </c>
      <c r="L21" s="40"/>
      <c r="M21" s="39"/>
      <c r="N21" s="3">
        <f t="shared" si="3"/>
        <v>0</v>
      </c>
      <c r="O21" s="40"/>
      <c r="P21" s="39"/>
      <c r="Q21" s="3">
        <f t="shared" si="4"/>
        <v>0</v>
      </c>
      <c r="R21" s="40"/>
      <c r="S21" s="39"/>
      <c r="T21" s="3">
        <f t="shared" si="5"/>
        <v>0</v>
      </c>
      <c r="U21" s="41"/>
      <c r="V21" s="39"/>
      <c r="W21" s="65">
        <f t="shared" si="6"/>
        <v>0</v>
      </c>
      <c r="X21" s="71">
        <f t="shared" si="7"/>
        <v>0</v>
      </c>
      <c r="Y21" s="68">
        <f t="shared" si="7"/>
        <v>0</v>
      </c>
      <c r="Z21" s="74">
        <f t="shared" si="7"/>
        <v>0</v>
      </c>
      <c r="AA21" s="42"/>
      <c r="AB21" s="39"/>
      <c r="AC21" s="3">
        <f t="shared" si="8"/>
        <v>0</v>
      </c>
      <c r="AD21" s="108">
        <v>40000</v>
      </c>
      <c r="AE21" s="39"/>
      <c r="AF21" s="3">
        <f t="shared" si="9"/>
        <v>0</v>
      </c>
      <c r="AG21" s="108">
        <v>10000</v>
      </c>
      <c r="AH21" s="39"/>
      <c r="AI21" s="3">
        <f t="shared" si="10"/>
        <v>0</v>
      </c>
      <c r="AJ21" s="108">
        <v>20000</v>
      </c>
      <c r="AK21" s="39"/>
      <c r="AL21" s="3">
        <f t="shared" si="11"/>
        <v>0</v>
      </c>
      <c r="AM21" s="41"/>
      <c r="AN21" s="39"/>
      <c r="AO21" s="3">
        <f t="shared" si="12"/>
        <v>0</v>
      </c>
      <c r="AP21" s="108">
        <v>10000</v>
      </c>
      <c r="AQ21" s="39"/>
      <c r="AR21" s="3">
        <f t="shared" si="13"/>
        <v>0</v>
      </c>
      <c r="AS21" s="41"/>
      <c r="AT21" s="39"/>
      <c r="AU21" s="3">
        <f t="shared" si="14"/>
        <v>0</v>
      </c>
      <c r="AV21" s="71">
        <f t="shared" si="15"/>
        <v>80000</v>
      </c>
      <c r="AW21" s="68">
        <f t="shared" si="15"/>
        <v>0</v>
      </c>
      <c r="AX21" s="55">
        <f t="shared" si="15"/>
        <v>0</v>
      </c>
      <c r="AY21" s="41"/>
      <c r="AZ21" s="39"/>
      <c r="BA21" s="3">
        <f t="shared" si="16"/>
        <v>0</v>
      </c>
      <c r="BB21" s="108">
        <v>40000</v>
      </c>
      <c r="BC21" s="39"/>
      <c r="BD21" s="3">
        <f t="shared" si="17"/>
        <v>0</v>
      </c>
      <c r="BE21" s="41"/>
      <c r="BF21" s="39"/>
      <c r="BG21" s="3">
        <f t="shared" si="18"/>
        <v>0</v>
      </c>
      <c r="BH21" s="108">
        <v>20000</v>
      </c>
      <c r="BI21" s="39"/>
      <c r="BJ21" s="3">
        <f t="shared" si="19"/>
        <v>0</v>
      </c>
      <c r="BK21" s="41"/>
      <c r="BL21" s="39"/>
      <c r="BM21" s="3">
        <f t="shared" si="20"/>
        <v>0</v>
      </c>
      <c r="BN21" s="108">
        <v>20000</v>
      </c>
      <c r="BO21" s="39"/>
      <c r="BP21" s="3">
        <f t="shared" si="21"/>
        <v>0</v>
      </c>
      <c r="BQ21" s="41"/>
      <c r="BR21" s="39"/>
      <c r="BS21" s="3">
        <f t="shared" si="22"/>
        <v>0</v>
      </c>
      <c r="BT21" s="71">
        <f t="shared" si="23"/>
        <v>80000</v>
      </c>
      <c r="BU21" s="68">
        <f t="shared" si="23"/>
        <v>0</v>
      </c>
      <c r="BV21" s="55">
        <f t="shared" si="23"/>
        <v>0</v>
      </c>
      <c r="BW21" s="41"/>
      <c r="BX21" s="39"/>
      <c r="BY21" s="3">
        <f t="shared" si="24"/>
        <v>0</v>
      </c>
      <c r="BZ21" s="108">
        <v>20000</v>
      </c>
      <c r="CA21" s="39"/>
      <c r="CB21" s="3">
        <f t="shared" si="25"/>
        <v>0</v>
      </c>
      <c r="CC21" s="41"/>
      <c r="CD21" s="39"/>
      <c r="CE21" s="3">
        <f t="shared" si="26"/>
        <v>0</v>
      </c>
      <c r="CF21" s="108">
        <v>40000</v>
      </c>
      <c r="CG21" s="39"/>
      <c r="CH21" s="3">
        <f t="shared" si="27"/>
        <v>0</v>
      </c>
      <c r="CI21" s="41"/>
      <c r="CJ21" s="39"/>
      <c r="CK21" s="3">
        <f t="shared" si="28"/>
        <v>0</v>
      </c>
      <c r="CL21" s="108"/>
      <c r="CM21" s="39"/>
      <c r="CN21" s="3">
        <f t="shared" si="29"/>
        <v>0</v>
      </c>
      <c r="CO21" s="41"/>
      <c r="CP21" s="39"/>
      <c r="CQ21" s="3">
        <f t="shared" si="30"/>
        <v>0</v>
      </c>
      <c r="CR21" s="71">
        <f t="shared" si="31"/>
        <v>60000</v>
      </c>
      <c r="CS21" s="68">
        <f t="shared" si="31"/>
        <v>0</v>
      </c>
      <c r="CT21" s="51">
        <f t="shared" si="31"/>
        <v>0</v>
      </c>
      <c r="CU21" s="41"/>
      <c r="CV21" s="39"/>
      <c r="CW21" s="3">
        <f t="shared" si="32"/>
        <v>0</v>
      </c>
      <c r="CX21" s="108">
        <v>40000</v>
      </c>
      <c r="CY21" s="39"/>
      <c r="CZ21" s="3">
        <f t="shared" si="33"/>
        <v>0</v>
      </c>
      <c r="DA21" s="41"/>
      <c r="DB21" s="39"/>
      <c r="DC21" s="3">
        <f t="shared" si="34"/>
        <v>0</v>
      </c>
      <c r="DD21" s="108">
        <v>25000</v>
      </c>
      <c r="DE21" s="39"/>
      <c r="DF21" s="3">
        <f t="shared" si="35"/>
        <v>0</v>
      </c>
      <c r="DG21" s="41"/>
      <c r="DH21" s="39"/>
      <c r="DI21" s="3">
        <f t="shared" si="36"/>
        <v>0</v>
      </c>
      <c r="DJ21" s="41"/>
      <c r="DK21" s="39"/>
      <c r="DL21" s="3">
        <f t="shared" si="37"/>
        <v>0</v>
      </c>
      <c r="DM21" s="41"/>
      <c r="DN21" s="39"/>
      <c r="DO21" s="3">
        <f t="shared" si="38"/>
        <v>0</v>
      </c>
      <c r="DP21" s="71">
        <f t="shared" si="39"/>
        <v>65000</v>
      </c>
      <c r="DQ21" s="68">
        <f t="shared" si="39"/>
        <v>0</v>
      </c>
      <c r="DR21" s="55">
        <f t="shared" si="39"/>
        <v>0</v>
      </c>
      <c r="DS21" s="56">
        <f t="shared" si="40"/>
        <v>205000</v>
      </c>
      <c r="DT21" s="57">
        <f t="shared" si="41"/>
        <v>0</v>
      </c>
      <c r="DU21" s="58">
        <f t="shared" si="41"/>
        <v>0</v>
      </c>
    </row>
    <row r="22" spans="1:125" ht="17.100000000000001" customHeight="1" thickBot="1" x14ac:dyDescent="0.3">
      <c r="X22" s="59">
        <f>SUM(X4:X21)</f>
        <v>71000</v>
      </c>
      <c r="Z22" s="75">
        <f>SUM(Z4:Z21)</f>
        <v>0</v>
      </c>
      <c r="AV22" s="59">
        <f>SUM(AV4:AV21)</f>
        <v>113000</v>
      </c>
      <c r="AX22" s="59">
        <f>SUM(AX4:AX21)</f>
        <v>48000</v>
      </c>
      <c r="BT22" s="59">
        <f>SUM(BT4:BT21)</f>
        <v>85000</v>
      </c>
      <c r="BV22" s="59">
        <f>SUM(BV4:BV21)</f>
        <v>939000</v>
      </c>
      <c r="CR22" s="59">
        <f>SUM(CR4:CR21)</f>
        <v>60000</v>
      </c>
      <c r="CT22" s="59">
        <f>SUM(CT4:CT21)</f>
        <v>711000</v>
      </c>
      <c r="DP22" s="59">
        <f>SUM(DP4:DP21)</f>
        <v>90000</v>
      </c>
      <c r="DR22" s="59">
        <f>SUM(DR4:DR21)</f>
        <v>201000</v>
      </c>
      <c r="DS22" s="60">
        <f>SUM(DS4:DS21)</f>
        <v>334000</v>
      </c>
      <c r="DT22" s="61">
        <f>SUM(DT4:DT21)</f>
        <v>316.5</v>
      </c>
      <c r="DU22" s="62">
        <f>SUM(DU4:DU21)</f>
        <v>1899000</v>
      </c>
    </row>
    <row r="23" spans="1:125" ht="17.100000000000001" customHeight="1" x14ac:dyDescent="0.25">
      <c r="DS23" s="44"/>
      <c r="DT23" s="46"/>
      <c r="DU23" s="44"/>
    </row>
    <row r="24" spans="1:125" ht="17.100000000000001" customHeight="1" x14ac:dyDescent="0.25">
      <c r="DG24" s="5" t="s">
        <v>53</v>
      </c>
    </row>
    <row r="25" spans="1:125" ht="17.100000000000001" customHeight="1" x14ac:dyDescent="0.25"/>
    <row r="26" spans="1:125" ht="17.100000000000001" customHeight="1" x14ac:dyDescent="0.25"/>
    <row r="27" spans="1:125" ht="17.100000000000001" customHeight="1" x14ac:dyDescent="0.25"/>
    <row r="28" spans="1:125" ht="17.100000000000001" customHeight="1" x14ac:dyDescent="0.25"/>
    <row r="29" spans="1:125" ht="17.100000000000001" customHeight="1" x14ac:dyDescent="0.25"/>
  </sheetData>
  <sheetProtection formatCells="0" formatColumns="0" formatRows="0" insertColumns="0" insertRows="0" insertHyperlinks="0" deleteColumns="0" deleteRows="0" sort="0" autoFilter="0" pivotTables="0"/>
  <mergeCells count="82">
    <mergeCell ref="AJ1:AL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BT1:BV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DD1:DF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C2:E2"/>
    <mergeCell ref="F2:H2"/>
    <mergeCell ref="I2:K2"/>
    <mergeCell ref="L2:N2"/>
    <mergeCell ref="O2:Q2"/>
    <mergeCell ref="DG1:DI1"/>
    <mergeCell ref="DJ1:DL1"/>
    <mergeCell ref="DM1:DO1"/>
    <mergeCell ref="DP1:DR1"/>
    <mergeCell ref="DS1:DU1"/>
    <mergeCell ref="AY2:BA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CI2:CK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DS2:DU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</mergeCells>
  <printOptions horizontalCentered="1"/>
  <pageMargins left="0.19685039370078741" right="0.19685039370078741" top="0.19685039370078741" bottom="0.19685039370078741" header="0" footer="0"/>
  <pageSetup paperSize="9" scale="74" fitToHeight="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7D13-9CEB-40C8-9026-62784C996DD3}">
  <sheetPr>
    <pageSetUpPr fitToPage="1"/>
  </sheetPr>
  <dimension ref="A1:DX29"/>
  <sheetViews>
    <sheetView zoomScaleNormal="100" workbookViewId="0">
      <pane xSplit="1" topLeftCell="B1" activePane="topRight" state="frozen"/>
      <selection pane="topRight" activeCell="DW11" sqref="DW11"/>
    </sheetView>
  </sheetViews>
  <sheetFormatPr baseColWidth="10" defaultRowHeight="15" x14ac:dyDescent="0.25"/>
  <cols>
    <col min="1" max="1" width="30.7109375" style="5" bestFit="1" customWidth="1"/>
    <col min="2" max="2" width="8" style="43" bestFit="1" customWidth="1"/>
    <col min="3" max="3" width="8.7109375" style="5" hidden="1" customWidth="1"/>
    <col min="4" max="4" width="2.7109375" style="5" hidden="1" customWidth="1"/>
    <col min="5" max="6" width="8.7109375" style="5" hidden="1" customWidth="1"/>
    <col min="7" max="7" width="2.7109375" style="5" hidden="1" customWidth="1"/>
    <col min="8" max="9" width="8.7109375" style="5" hidden="1" customWidth="1"/>
    <col min="10" max="10" width="2.7109375" style="5" hidden="1" customWidth="1"/>
    <col min="11" max="12" width="8.7109375" style="5" hidden="1" customWidth="1"/>
    <col min="13" max="13" width="2.7109375" style="5" hidden="1" customWidth="1"/>
    <col min="14" max="15" width="8.7109375" style="5" hidden="1" customWidth="1"/>
    <col min="16" max="16" width="2.7109375" style="5" hidden="1" customWidth="1"/>
    <col min="17" max="17" width="8.7109375" style="5" hidden="1" customWidth="1"/>
    <col min="18" max="18" width="8.7109375" style="5" customWidth="1"/>
    <col min="19" max="19" width="2.7109375" style="5" customWidth="1"/>
    <col min="20" max="21" width="8.7109375" style="5" customWidth="1"/>
    <col min="22" max="22" width="2.7109375" style="5" customWidth="1"/>
    <col min="23" max="23" width="8.7109375" style="5" customWidth="1"/>
    <col min="24" max="24" width="9.42578125" style="5" bestFit="1" customWidth="1"/>
    <col min="25" max="25" width="2.7109375" style="5" customWidth="1"/>
    <col min="26" max="26" width="10.42578125" style="45" bestFit="1" customWidth="1"/>
    <col min="27" max="27" width="8.7109375" style="5" customWidth="1"/>
    <col min="28" max="28" width="2.7109375" style="5" customWidth="1"/>
    <col min="29" max="30" width="8.7109375" style="5" customWidth="1"/>
    <col min="31" max="31" width="2.7109375" style="5" customWidth="1"/>
    <col min="32" max="33" width="8.7109375" style="5" customWidth="1"/>
    <col min="34" max="34" width="2.7109375" style="5" customWidth="1"/>
    <col min="35" max="36" width="8.7109375" style="5" customWidth="1"/>
    <col min="37" max="37" width="2.7109375" style="5" customWidth="1"/>
    <col min="38" max="39" width="8.7109375" style="5" customWidth="1"/>
    <col min="40" max="40" width="2.7109375" style="5" customWidth="1"/>
    <col min="41" max="42" width="8.7109375" style="5" customWidth="1"/>
    <col min="43" max="43" width="2.7109375" style="5" customWidth="1"/>
    <col min="44" max="45" width="8.7109375" style="5" customWidth="1"/>
    <col min="46" max="46" width="2.7109375" style="5" customWidth="1"/>
    <col min="47" max="47" width="8.7109375" style="5" customWidth="1"/>
    <col min="48" max="48" width="9.42578125" style="5" bestFit="1" customWidth="1"/>
    <col min="49" max="49" width="2.7109375" style="5" customWidth="1"/>
    <col min="50" max="50" width="10.42578125" style="5" bestFit="1" customWidth="1"/>
    <col min="51" max="51" width="8.7109375" style="5" customWidth="1"/>
    <col min="52" max="52" width="2.7109375" style="5" customWidth="1"/>
    <col min="53" max="54" width="8.7109375" style="5" customWidth="1"/>
    <col min="55" max="55" width="2.7109375" style="5" customWidth="1"/>
    <col min="56" max="57" width="8.7109375" style="5" customWidth="1"/>
    <col min="58" max="58" width="2.7109375" style="5" customWidth="1"/>
    <col min="59" max="60" width="8.7109375" style="5" customWidth="1"/>
    <col min="61" max="61" width="2.7109375" style="5" customWidth="1"/>
    <col min="62" max="63" width="8.7109375" style="5" customWidth="1"/>
    <col min="64" max="64" width="2.7109375" style="5" customWidth="1"/>
    <col min="65" max="66" width="8.7109375" style="5" customWidth="1"/>
    <col min="67" max="67" width="2.7109375" style="5" customWidth="1"/>
    <col min="68" max="69" width="8.7109375" style="5" customWidth="1"/>
    <col min="70" max="70" width="2.7109375" style="5" customWidth="1"/>
    <col min="71" max="71" width="8.7109375" style="5" customWidth="1"/>
    <col min="72" max="72" width="10.42578125" style="5" bestFit="1" customWidth="1"/>
    <col min="73" max="73" width="2.7109375" style="5" customWidth="1"/>
    <col min="74" max="74" width="10.42578125" style="5" bestFit="1" customWidth="1"/>
    <col min="75" max="75" width="8.7109375" style="5" customWidth="1"/>
    <col min="76" max="76" width="2.7109375" style="5" customWidth="1"/>
    <col min="77" max="78" width="8.7109375" style="5" customWidth="1"/>
    <col min="79" max="79" width="2.7109375" style="5" customWidth="1"/>
    <col min="80" max="81" width="8.7109375" style="5" customWidth="1"/>
    <col min="82" max="82" width="2.7109375" style="5" customWidth="1"/>
    <col min="83" max="84" width="8.7109375" style="5" customWidth="1"/>
    <col min="85" max="85" width="2.7109375" style="5" customWidth="1"/>
    <col min="86" max="87" width="8.7109375" style="5" customWidth="1"/>
    <col min="88" max="88" width="2.7109375" style="5" customWidth="1"/>
    <col min="89" max="90" width="8.7109375" style="5" customWidth="1"/>
    <col min="91" max="91" width="2.7109375" style="5" customWidth="1"/>
    <col min="92" max="93" width="8.7109375" style="5" customWidth="1"/>
    <col min="94" max="94" width="2.7109375" style="5" customWidth="1"/>
    <col min="95" max="95" width="8.7109375" style="5" customWidth="1"/>
    <col min="96" max="96" width="10.42578125" style="5" bestFit="1" customWidth="1"/>
    <col min="97" max="97" width="2.7109375" style="5" customWidth="1"/>
    <col min="98" max="98" width="10.42578125" style="5" bestFit="1" customWidth="1"/>
    <col min="99" max="99" width="8.7109375" style="5" customWidth="1"/>
    <col min="100" max="100" width="2.7109375" style="5" customWidth="1"/>
    <col min="101" max="102" width="8.7109375" style="5" customWidth="1"/>
    <col min="103" max="103" width="2.7109375" style="5" customWidth="1"/>
    <col min="104" max="105" width="8.7109375" style="5" customWidth="1"/>
    <col min="106" max="106" width="2.7109375" style="5" customWidth="1"/>
    <col min="107" max="108" width="8.7109375" style="5" customWidth="1"/>
    <col min="109" max="109" width="2.7109375" style="5" customWidth="1"/>
    <col min="110" max="111" width="8.7109375" style="5" customWidth="1"/>
    <col min="112" max="112" width="2.7109375" style="5" customWidth="1"/>
    <col min="113" max="114" width="8.7109375" style="5" customWidth="1"/>
    <col min="115" max="115" width="2.7109375" style="5" customWidth="1"/>
    <col min="116" max="117" width="8.7109375" style="5" customWidth="1"/>
    <col min="118" max="118" width="2.7109375" style="5" customWidth="1"/>
    <col min="119" max="119" width="8.7109375" style="5" customWidth="1"/>
    <col min="120" max="120" width="10.42578125" style="5" bestFit="1" customWidth="1"/>
    <col min="121" max="121" width="2.7109375" style="5" customWidth="1"/>
    <col min="122" max="122" width="10.42578125" style="5" bestFit="1" customWidth="1"/>
    <col min="123" max="123" width="12.28515625" style="5" customWidth="1"/>
    <col min="124" max="124" width="4.140625" style="5" customWidth="1"/>
    <col min="125" max="125" width="12.28515625" style="5" customWidth="1"/>
    <col min="126" max="16384" width="11.42578125" style="5"/>
  </cols>
  <sheetData>
    <row r="1" spans="1:128" ht="26.25" x14ac:dyDescent="0.4">
      <c r="A1" s="4" t="s">
        <v>44</v>
      </c>
      <c r="B1" s="76" t="s">
        <v>0</v>
      </c>
      <c r="C1" s="232">
        <v>1</v>
      </c>
      <c r="D1" s="233"/>
      <c r="E1" s="233"/>
      <c r="F1" s="232">
        <v>2</v>
      </c>
      <c r="G1" s="233"/>
      <c r="H1" s="233"/>
      <c r="I1" s="232">
        <v>3</v>
      </c>
      <c r="J1" s="233"/>
      <c r="K1" s="233"/>
      <c r="L1" s="233">
        <v>4</v>
      </c>
      <c r="M1" s="233"/>
      <c r="N1" s="233"/>
      <c r="O1" s="233">
        <v>5</v>
      </c>
      <c r="P1" s="233"/>
      <c r="Q1" s="233"/>
      <c r="R1" s="233">
        <v>1</v>
      </c>
      <c r="S1" s="233"/>
      <c r="T1" s="233"/>
      <c r="U1" s="233">
        <v>2</v>
      </c>
      <c r="V1" s="233"/>
      <c r="W1" s="300"/>
      <c r="X1" s="216" t="s">
        <v>1</v>
      </c>
      <c r="Y1" s="217"/>
      <c r="Z1" s="218"/>
      <c r="AA1" s="234">
        <v>3</v>
      </c>
      <c r="AB1" s="227"/>
      <c r="AC1" s="227"/>
      <c r="AD1" s="227">
        <v>4</v>
      </c>
      <c r="AE1" s="227"/>
      <c r="AF1" s="227"/>
      <c r="AG1" s="227">
        <v>5</v>
      </c>
      <c r="AH1" s="227"/>
      <c r="AI1" s="227"/>
      <c r="AJ1" s="227">
        <v>6</v>
      </c>
      <c r="AK1" s="227"/>
      <c r="AL1" s="227"/>
      <c r="AM1" s="227">
        <v>7</v>
      </c>
      <c r="AN1" s="227"/>
      <c r="AO1" s="227"/>
      <c r="AP1" s="227">
        <v>8</v>
      </c>
      <c r="AQ1" s="227"/>
      <c r="AR1" s="227"/>
      <c r="AS1" s="227">
        <v>9</v>
      </c>
      <c r="AT1" s="227"/>
      <c r="AU1" s="228"/>
      <c r="AV1" s="216" t="s">
        <v>1</v>
      </c>
      <c r="AW1" s="217"/>
      <c r="AX1" s="218"/>
      <c r="AY1" s="229">
        <v>10</v>
      </c>
      <c r="AZ1" s="230"/>
      <c r="BA1" s="230"/>
      <c r="BB1" s="230">
        <v>11</v>
      </c>
      <c r="BC1" s="230"/>
      <c r="BD1" s="230"/>
      <c r="BE1" s="230">
        <v>12</v>
      </c>
      <c r="BF1" s="230"/>
      <c r="BG1" s="230"/>
      <c r="BH1" s="230">
        <v>13</v>
      </c>
      <c r="BI1" s="230"/>
      <c r="BJ1" s="230"/>
      <c r="BK1" s="230">
        <v>14</v>
      </c>
      <c r="BL1" s="230"/>
      <c r="BM1" s="230"/>
      <c r="BN1" s="230">
        <v>15</v>
      </c>
      <c r="BO1" s="230"/>
      <c r="BP1" s="230"/>
      <c r="BQ1" s="230">
        <v>16</v>
      </c>
      <c r="BR1" s="230"/>
      <c r="BS1" s="231"/>
      <c r="BT1" s="216" t="s">
        <v>1</v>
      </c>
      <c r="BU1" s="217"/>
      <c r="BV1" s="218"/>
      <c r="BW1" s="223">
        <v>17</v>
      </c>
      <c r="BX1" s="224"/>
      <c r="BY1" s="224"/>
      <c r="BZ1" s="224">
        <v>18</v>
      </c>
      <c r="CA1" s="224"/>
      <c r="CB1" s="224"/>
      <c r="CC1" s="224">
        <v>19</v>
      </c>
      <c r="CD1" s="224"/>
      <c r="CE1" s="224"/>
      <c r="CF1" s="224">
        <v>20</v>
      </c>
      <c r="CG1" s="224"/>
      <c r="CH1" s="224"/>
      <c r="CI1" s="224">
        <v>21</v>
      </c>
      <c r="CJ1" s="224"/>
      <c r="CK1" s="224"/>
      <c r="CL1" s="224">
        <v>22</v>
      </c>
      <c r="CM1" s="224"/>
      <c r="CN1" s="224"/>
      <c r="CO1" s="224">
        <v>23</v>
      </c>
      <c r="CP1" s="224"/>
      <c r="CQ1" s="225"/>
      <c r="CR1" s="216" t="s">
        <v>1</v>
      </c>
      <c r="CS1" s="217"/>
      <c r="CT1" s="218"/>
      <c r="CU1" s="234">
        <v>24</v>
      </c>
      <c r="CV1" s="227"/>
      <c r="CW1" s="227"/>
      <c r="CX1" s="227">
        <v>25</v>
      </c>
      <c r="CY1" s="227"/>
      <c r="CZ1" s="227"/>
      <c r="DA1" s="227">
        <v>26</v>
      </c>
      <c r="DB1" s="227"/>
      <c r="DC1" s="227"/>
      <c r="DD1" s="227">
        <v>27</v>
      </c>
      <c r="DE1" s="227"/>
      <c r="DF1" s="227"/>
      <c r="DG1" s="227">
        <v>28</v>
      </c>
      <c r="DH1" s="227"/>
      <c r="DI1" s="227"/>
      <c r="DJ1" s="227">
        <v>29</v>
      </c>
      <c r="DK1" s="227"/>
      <c r="DL1" s="227"/>
      <c r="DM1" s="227">
        <v>30</v>
      </c>
      <c r="DN1" s="227"/>
      <c r="DO1" s="228"/>
      <c r="DP1" s="216" t="s">
        <v>1</v>
      </c>
      <c r="DQ1" s="217"/>
      <c r="DR1" s="218"/>
      <c r="DS1" s="308">
        <v>31</v>
      </c>
      <c r="DT1" s="308"/>
      <c r="DU1" s="309"/>
      <c r="DV1" s="219" t="s">
        <v>1</v>
      </c>
      <c r="DW1" s="220"/>
      <c r="DX1" s="221"/>
    </row>
    <row r="2" spans="1:128" ht="19.5" thickBot="1" x14ac:dyDescent="0.3">
      <c r="A2" s="6" t="s">
        <v>2</v>
      </c>
      <c r="B2" s="77" t="s">
        <v>3</v>
      </c>
      <c r="C2" s="222" t="s">
        <v>10</v>
      </c>
      <c r="D2" s="207"/>
      <c r="E2" s="207"/>
      <c r="F2" s="222" t="s">
        <v>11</v>
      </c>
      <c r="G2" s="207"/>
      <c r="H2" s="207"/>
      <c r="I2" s="222" t="s">
        <v>4</v>
      </c>
      <c r="J2" s="207"/>
      <c r="K2" s="207"/>
      <c r="L2" s="207" t="s">
        <v>5</v>
      </c>
      <c r="M2" s="207"/>
      <c r="N2" s="207"/>
      <c r="O2" s="207" t="s">
        <v>6</v>
      </c>
      <c r="P2" s="207"/>
      <c r="Q2" s="207"/>
      <c r="R2" s="207" t="s">
        <v>7</v>
      </c>
      <c r="S2" s="207"/>
      <c r="T2" s="207"/>
      <c r="U2" s="207" t="s">
        <v>8</v>
      </c>
      <c r="V2" s="207"/>
      <c r="W2" s="299"/>
      <c r="X2" s="197" t="s">
        <v>9</v>
      </c>
      <c r="Y2" s="198"/>
      <c r="Z2" s="199"/>
      <c r="AA2" s="211" t="s">
        <v>10</v>
      </c>
      <c r="AB2" s="212"/>
      <c r="AC2" s="212"/>
      <c r="AD2" s="212" t="s">
        <v>11</v>
      </c>
      <c r="AE2" s="212"/>
      <c r="AF2" s="212"/>
      <c r="AG2" s="212" t="s">
        <v>4</v>
      </c>
      <c r="AH2" s="212"/>
      <c r="AI2" s="212"/>
      <c r="AJ2" s="212" t="s">
        <v>5</v>
      </c>
      <c r="AK2" s="212"/>
      <c r="AL2" s="212"/>
      <c r="AM2" s="212" t="s">
        <v>6</v>
      </c>
      <c r="AN2" s="212"/>
      <c r="AO2" s="212"/>
      <c r="AP2" s="212" t="s">
        <v>7</v>
      </c>
      <c r="AQ2" s="212"/>
      <c r="AR2" s="212"/>
      <c r="AS2" s="212" t="s">
        <v>8</v>
      </c>
      <c r="AT2" s="212"/>
      <c r="AU2" s="213"/>
      <c r="AV2" s="197" t="s">
        <v>12</v>
      </c>
      <c r="AW2" s="198"/>
      <c r="AX2" s="199"/>
      <c r="AY2" s="206" t="s">
        <v>10</v>
      </c>
      <c r="AZ2" s="203"/>
      <c r="BA2" s="203"/>
      <c r="BB2" s="203" t="s">
        <v>11</v>
      </c>
      <c r="BC2" s="203"/>
      <c r="BD2" s="203"/>
      <c r="BE2" s="203" t="s">
        <v>4</v>
      </c>
      <c r="BF2" s="203"/>
      <c r="BG2" s="203"/>
      <c r="BH2" s="203" t="s">
        <v>5</v>
      </c>
      <c r="BI2" s="203"/>
      <c r="BJ2" s="203"/>
      <c r="BK2" s="203" t="s">
        <v>6</v>
      </c>
      <c r="BL2" s="203"/>
      <c r="BM2" s="203"/>
      <c r="BN2" s="203" t="s">
        <v>7</v>
      </c>
      <c r="BO2" s="203"/>
      <c r="BP2" s="203"/>
      <c r="BQ2" s="203" t="s">
        <v>8</v>
      </c>
      <c r="BR2" s="203"/>
      <c r="BS2" s="204"/>
      <c r="BT2" s="197" t="s">
        <v>13</v>
      </c>
      <c r="BU2" s="198"/>
      <c r="BV2" s="199"/>
      <c r="BW2" s="205" t="s">
        <v>10</v>
      </c>
      <c r="BX2" s="195"/>
      <c r="BY2" s="195"/>
      <c r="BZ2" s="195" t="s">
        <v>11</v>
      </c>
      <c r="CA2" s="195"/>
      <c r="CB2" s="195"/>
      <c r="CC2" s="195" t="s">
        <v>4</v>
      </c>
      <c r="CD2" s="195"/>
      <c r="CE2" s="195"/>
      <c r="CF2" s="195" t="s">
        <v>5</v>
      </c>
      <c r="CG2" s="195"/>
      <c r="CH2" s="195"/>
      <c r="CI2" s="195" t="s">
        <v>6</v>
      </c>
      <c r="CJ2" s="195"/>
      <c r="CK2" s="195"/>
      <c r="CL2" s="195" t="s">
        <v>7</v>
      </c>
      <c r="CM2" s="195"/>
      <c r="CN2" s="195"/>
      <c r="CO2" s="195" t="s">
        <v>8</v>
      </c>
      <c r="CP2" s="195"/>
      <c r="CQ2" s="196"/>
      <c r="CR2" s="197" t="s">
        <v>14</v>
      </c>
      <c r="CS2" s="198"/>
      <c r="CT2" s="199"/>
      <c r="CU2" s="211" t="s">
        <v>10</v>
      </c>
      <c r="CV2" s="212"/>
      <c r="CW2" s="212"/>
      <c r="CX2" s="212" t="s">
        <v>11</v>
      </c>
      <c r="CY2" s="212"/>
      <c r="CZ2" s="212"/>
      <c r="DA2" s="212" t="s">
        <v>4</v>
      </c>
      <c r="DB2" s="212"/>
      <c r="DC2" s="212"/>
      <c r="DD2" s="212" t="s">
        <v>5</v>
      </c>
      <c r="DE2" s="212"/>
      <c r="DF2" s="212"/>
      <c r="DG2" s="297" t="s">
        <v>6</v>
      </c>
      <c r="DH2" s="297"/>
      <c r="DI2" s="297"/>
      <c r="DJ2" s="297" t="s">
        <v>7</v>
      </c>
      <c r="DK2" s="297"/>
      <c r="DL2" s="297"/>
      <c r="DM2" s="297" t="s">
        <v>37</v>
      </c>
      <c r="DN2" s="297"/>
      <c r="DO2" s="298"/>
      <c r="DP2" s="197" t="s">
        <v>15</v>
      </c>
      <c r="DQ2" s="198"/>
      <c r="DR2" s="199"/>
      <c r="DS2" s="306" t="s">
        <v>10</v>
      </c>
      <c r="DT2" s="306"/>
      <c r="DU2" s="307"/>
      <c r="DV2" s="192" t="s">
        <v>16</v>
      </c>
      <c r="DW2" s="193"/>
      <c r="DX2" s="194"/>
    </row>
    <row r="3" spans="1:128" s="17" customFormat="1" ht="17.100000000000001" customHeight="1" thickBot="1" x14ac:dyDescent="0.2">
      <c r="A3" s="7" t="s">
        <v>17</v>
      </c>
      <c r="B3" s="78" t="s">
        <v>18</v>
      </c>
      <c r="C3" s="8" t="s">
        <v>19</v>
      </c>
      <c r="D3" s="9" t="s">
        <v>20</v>
      </c>
      <c r="E3" s="10" t="s">
        <v>21</v>
      </c>
      <c r="F3" s="8" t="s">
        <v>19</v>
      </c>
      <c r="G3" s="9" t="s">
        <v>20</v>
      </c>
      <c r="H3" s="10" t="s">
        <v>21</v>
      </c>
      <c r="I3" s="8" t="s">
        <v>19</v>
      </c>
      <c r="J3" s="9" t="s">
        <v>20</v>
      </c>
      <c r="K3" s="10" t="s">
        <v>21</v>
      </c>
      <c r="L3" s="11" t="s">
        <v>19</v>
      </c>
      <c r="M3" s="9" t="s">
        <v>20</v>
      </c>
      <c r="N3" s="10" t="s">
        <v>21</v>
      </c>
      <c r="O3" s="11" t="s">
        <v>19</v>
      </c>
      <c r="P3" s="9" t="s">
        <v>20</v>
      </c>
      <c r="Q3" s="10" t="s">
        <v>21</v>
      </c>
      <c r="R3" s="11" t="s">
        <v>19</v>
      </c>
      <c r="S3" s="9" t="s">
        <v>20</v>
      </c>
      <c r="T3" s="10" t="s">
        <v>21</v>
      </c>
      <c r="U3" s="11" t="s">
        <v>19</v>
      </c>
      <c r="V3" s="9" t="s">
        <v>20</v>
      </c>
      <c r="W3" s="12" t="s">
        <v>21</v>
      </c>
      <c r="X3" s="8" t="s">
        <v>19</v>
      </c>
      <c r="Y3" s="13" t="s">
        <v>20</v>
      </c>
      <c r="Z3" s="12" t="s">
        <v>21</v>
      </c>
      <c r="AA3" s="8" t="s">
        <v>19</v>
      </c>
      <c r="AB3" s="9" t="s">
        <v>20</v>
      </c>
      <c r="AC3" s="10" t="s">
        <v>21</v>
      </c>
      <c r="AD3" s="8" t="s">
        <v>19</v>
      </c>
      <c r="AE3" s="9" t="s">
        <v>20</v>
      </c>
      <c r="AF3" s="10" t="s">
        <v>21</v>
      </c>
      <c r="AG3" s="8" t="s">
        <v>19</v>
      </c>
      <c r="AH3" s="9" t="s">
        <v>20</v>
      </c>
      <c r="AI3" s="10" t="s">
        <v>21</v>
      </c>
      <c r="AJ3" s="11" t="s">
        <v>19</v>
      </c>
      <c r="AK3" s="9" t="s">
        <v>20</v>
      </c>
      <c r="AL3" s="10" t="s">
        <v>21</v>
      </c>
      <c r="AM3" s="11" t="s">
        <v>19</v>
      </c>
      <c r="AN3" s="9" t="s">
        <v>20</v>
      </c>
      <c r="AO3" s="10" t="s">
        <v>21</v>
      </c>
      <c r="AP3" s="11" t="s">
        <v>19</v>
      </c>
      <c r="AQ3" s="9" t="s">
        <v>20</v>
      </c>
      <c r="AR3" s="10" t="s">
        <v>21</v>
      </c>
      <c r="AS3" s="11" t="s">
        <v>19</v>
      </c>
      <c r="AT3" s="9" t="s">
        <v>20</v>
      </c>
      <c r="AU3" s="12" t="s">
        <v>21</v>
      </c>
      <c r="AV3" s="8" t="s">
        <v>19</v>
      </c>
      <c r="AW3" s="13" t="s">
        <v>20</v>
      </c>
      <c r="AX3" s="12" t="s">
        <v>21</v>
      </c>
      <c r="AY3" s="8" t="s">
        <v>19</v>
      </c>
      <c r="AZ3" s="9" t="s">
        <v>20</v>
      </c>
      <c r="BA3" s="10" t="s">
        <v>21</v>
      </c>
      <c r="BB3" s="11" t="s">
        <v>19</v>
      </c>
      <c r="BC3" s="9" t="s">
        <v>20</v>
      </c>
      <c r="BD3" s="10" t="s">
        <v>21</v>
      </c>
      <c r="BE3" s="11" t="s">
        <v>19</v>
      </c>
      <c r="BF3" s="9" t="s">
        <v>20</v>
      </c>
      <c r="BG3" s="10" t="s">
        <v>21</v>
      </c>
      <c r="BH3" s="11" t="s">
        <v>19</v>
      </c>
      <c r="BI3" s="9" t="s">
        <v>20</v>
      </c>
      <c r="BJ3" s="10" t="s">
        <v>21</v>
      </c>
      <c r="BK3" s="11" t="s">
        <v>19</v>
      </c>
      <c r="BL3" s="9" t="s">
        <v>20</v>
      </c>
      <c r="BM3" s="10" t="s">
        <v>21</v>
      </c>
      <c r="BN3" s="11" t="s">
        <v>19</v>
      </c>
      <c r="BO3" s="9" t="s">
        <v>20</v>
      </c>
      <c r="BP3" s="10" t="s">
        <v>21</v>
      </c>
      <c r="BQ3" s="11" t="s">
        <v>19</v>
      </c>
      <c r="BR3" s="9" t="s">
        <v>20</v>
      </c>
      <c r="BS3" s="12" t="s">
        <v>21</v>
      </c>
      <c r="BT3" s="8" t="s">
        <v>19</v>
      </c>
      <c r="BU3" s="13" t="s">
        <v>20</v>
      </c>
      <c r="BV3" s="12" t="s">
        <v>21</v>
      </c>
      <c r="BW3" s="8" t="s">
        <v>19</v>
      </c>
      <c r="BX3" s="9" t="s">
        <v>20</v>
      </c>
      <c r="BY3" s="10" t="s">
        <v>21</v>
      </c>
      <c r="BZ3" s="11" t="s">
        <v>19</v>
      </c>
      <c r="CA3" s="9" t="s">
        <v>20</v>
      </c>
      <c r="CB3" s="10" t="s">
        <v>21</v>
      </c>
      <c r="CC3" s="11" t="s">
        <v>19</v>
      </c>
      <c r="CD3" s="9" t="s">
        <v>20</v>
      </c>
      <c r="CE3" s="10" t="s">
        <v>21</v>
      </c>
      <c r="CF3" s="11" t="s">
        <v>19</v>
      </c>
      <c r="CG3" s="9" t="s">
        <v>20</v>
      </c>
      <c r="CH3" s="10" t="s">
        <v>21</v>
      </c>
      <c r="CI3" s="11" t="s">
        <v>19</v>
      </c>
      <c r="CJ3" s="9" t="s">
        <v>20</v>
      </c>
      <c r="CK3" s="10" t="s">
        <v>21</v>
      </c>
      <c r="CL3" s="11" t="s">
        <v>19</v>
      </c>
      <c r="CM3" s="9" t="s">
        <v>20</v>
      </c>
      <c r="CN3" s="10" t="s">
        <v>21</v>
      </c>
      <c r="CO3" s="11" t="s">
        <v>19</v>
      </c>
      <c r="CP3" s="9" t="s">
        <v>20</v>
      </c>
      <c r="CQ3" s="12" t="s">
        <v>21</v>
      </c>
      <c r="CR3" s="8" t="s">
        <v>19</v>
      </c>
      <c r="CS3" s="13" t="s">
        <v>20</v>
      </c>
      <c r="CT3" s="12" t="s">
        <v>21</v>
      </c>
      <c r="CU3" s="8" t="s">
        <v>19</v>
      </c>
      <c r="CV3" s="9" t="s">
        <v>20</v>
      </c>
      <c r="CW3" s="10" t="s">
        <v>21</v>
      </c>
      <c r="CX3" s="11" t="s">
        <v>19</v>
      </c>
      <c r="CY3" s="9" t="s">
        <v>20</v>
      </c>
      <c r="CZ3" s="10" t="s">
        <v>21</v>
      </c>
      <c r="DA3" s="11" t="s">
        <v>19</v>
      </c>
      <c r="DB3" s="9" t="s">
        <v>20</v>
      </c>
      <c r="DC3" s="10" t="s">
        <v>21</v>
      </c>
      <c r="DD3" s="11" t="s">
        <v>19</v>
      </c>
      <c r="DE3" s="9" t="s">
        <v>20</v>
      </c>
      <c r="DF3" s="10" t="s">
        <v>21</v>
      </c>
      <c r="DG3" s="11" t="s">
        <v>19</v>
      </c>
      <c r="DH3" s="9" t="s">
        <v>20</v>
      </c>
      <c r="DI3" s="12" t="s">
        <v>21</v>
      </c>
      <c r="DJ3" s="11" t="s">
        <v>19</v>
      </c>
      <c r="DK3" s="9" t="s">
        <v>20</v>
      </c>
      <c r="DL3" s="12" t="s">
        <v>21</v>
      </c>
      <c r="DM3" s="11" t="s">
        <v>19</v>
      </c>
      <c r="DN3" s="9" t="s">
        <v>20</v>
      </c>
      <c r="DO3" s="12" t="s">
        <v>21</v>
      </c>
      <c r="DP3" s="8" t="s">
        <v>19</v>
      </c>
      <c r="DQ3" s="13" t="s">
        <v>20</v>
      </c>
      <c r="DR3" s="12" t="s">
        <v>21</v>
      </c>
      <c r="DS3" s="11" t="s">
        <v>19</v>
      </c>
      <c r="DT3" s="9" t="s">
        <v>20</v>
      </c>
      <c r="DU3" s="12" t="s">
        <v>21</v>
      </c>
      <c r="DV3" s="14" t="s">
        <v>19</v>
      </c>
      <c r="DW3" s="15" t="s">
        <v>20</v>
      </c>
      <c r="DX3" s="16" t="s">
        <v>21</v>
      </c>
    </row>
    <row r="4" spans="1:128" s="26" customFormat="1" ht="17.100000000000001" customHeight="1" thickBot="1" x14ac:dyDescent="0.25">
      <c r="A4" s="18" t="s">
        <v>22</v>
      </c>
      <c r="B4" s="19">
        <v>6000</v>
      </c>
      <c r="C4" s="20"/>
      <c r="D4" s="21"/>
      <c r="E4" s="1">
        <f>$B4*D4</f>
        <v>0</v>
      </c>
      <c r="F4" s="20"/>
      <c r="G4" s="21"/>
      <c r="H4" s="1">
        <f>$B4*G4</f>
        <v>0</v>
      </c>
      <c r="I4" s="20"/>
      <c r="J4" s="21"/>
      <c r="K4" s="1">
        <f>$B4*J4</f>
        <v>0</v>
      </c>
      <c r="L4" s="22"/>
      <c r="M4" s="21"/>
      <c r="N4" s="1">
        <f>$B4*M4</f>
        <v>0</v>
      </c>
      <c r="O4" s="22"/>
      <c r="P4" s="21"/>
      <c r="Q4" s="1">
        <f>$B4*P4</f>
        <v>0</v>
      </c>
      <c r="R4" s="23"/>
      <c r="S4" s="21"/>
      <c r="T4" s="1">
        <f>$B4*S4</f>
        <v>0</v>
      </c>
      <c r="U4" s="24"/>
      <c r="V4" s="21"/>
      <c r="W4" s="63">
        <f>$B4*V4</f>
        <v>0</v>
      </c>
      <c r="X4" s="69">
        <f>C4+F4+I4+L4+O4+R4+U4</f>
        <v>0</v>
      </c>
      <c r="Y4" s="66">
        <f>D4+G4+J4+M4+P4+S4+V4</f>
        <v>0</v>
      </c>
      <c r="Z4" s="72">
        <f>E4+H4+K4+N4+Q4+T4+W4</f>
        <v>0</v>
      </c>
      <c r="AA4" s="25"/>
      <c r="AB4" s="21"/>
      <c r="AC4" s="1">
        <f>$B4*AB4</f>
        <v>0</v>
      </c>
      <c r="AD4" s="24"/>
      <c r="AE4" s="21"/>
      <c r="AF4" s="1">
        <f>$B4*AE4</f>
        <v>0</v>
      </c>
      <c r="AG4" s="24"/>
      <c r="AH4" s="21"/>
      <c r="AI4" s="1">
        <f>$B4*AH4</f>
        <v>0</v>
      </c>
      <c r="AJ4" s="24"/>
      <c r="AK4" s="21"/>
      <c r="AL4" s="1">
        <f>$B4*AK4</f>
        <v>0</v>
      </c>
      <c r="AM4" s="24"/>
      <c r="AN4" s="21"/>
      <c r="AO4" s="1">
        <f>$B4*AN4</f>
        <v>0</v>
      </c>
      <c r="AP4" s="24"/>
      <c r="AQ4" s="21"/>
      <c r="AR4" s="1">
        <f>$B4*AQ4</f>
        <v>0</v>
      </c>
      <c r="AS4" s="24"/>
      <c r="AT4" s="21"/>
      <c r="AU4" s="1">
        <f>$B4*AT4</f>
        <v>0</v>
      </c>
      <c r="AV4" s="69">
        <f>AA4+AD4+AG4+AJ4+AM4+AP4+AS4</f>
        <v>0</v>
      </c>
      <c r="AW4" s="66">
        <f>AB4+AE4+AH4+AK4+AN4+AQ4+AT4</f>
        <v>0</v>
      </c>
      <c r="AX4" s="47">
        <f>AC4+AF4+AI4+AL4+AO4+AR4+AU4</f>
        <v>0</v>
      </c>
      <c r="AY4" s="24"/>
      <c r="AZ4" s="21"/>
      <c r="BA4" s="1">
        <f>$B4*AZ4</f>
        <v>0</v>
      </c>
      <c r="BB4" s="24"/>
      <c r="BC4" s="21"/>
      <c r="BD4" s="1">
        <f>$B4*BC4</f>
        <v>0</v>
      </c>
      <c r="BE4" s="24"/>
      <c r="BF4" s="21"/>
      <c r="BG4" s="1">
        <f>$B4*BF4</f>
        <v>0</v>
      </c>
      <c r="BH4" s="24"/>
      <c r="BI4" s="21"/>
      <c r="BJ4" s="1">
        <f>$B4*BI4</f>
        <v>0</v>
      </c>
      <c r="BK4" s="24"/>
      <c r="BL4" s="21"/>
      <c r="BM4" s="1">
        <f>$B4*BL4</f>
        <v>0</v>
      </c>
      <c r="BN4" s="24"/>
      <c r="BO4" s="21"/>
      <c r="BP4" s="1">
        <f>$B4*BO4</f>
        <v>0</v>
      </c>
      <c r="BQ4" s="24"/>
      <c r="BR4" s="21"/>
      <c r="BS4" s="1">
        <f>$B4*BR4</f>
        <v>0</v>
      </c>
      <c r="BT4" s="69">
        <f>AY4+BB4+BE4+BH4+BK4+BN4+BQ4</f>
        <v>0</v>
      </c>
      <c r="BU4" s="66">
        <f>AZ4+BC4+BF4+BI4+BL4+BO4+BR4</f>
        <v>0</v>
      </c>
      <c r="BV4" s="47">
        <f>BA4+BD4+BG4+BJ4+BM4+BP4+BS4</f>
        <v>0</v>
      </c>
      <c r="BW4" s="24"/>
      <c r="BX4" s="21"/>
      <c r="BY4" s="1">
        <f>$B4*BX4</f>
        <v>0</v>
      </c>
      <c r="BZ4" s="24"/>
      <c r="CA4" s="21"/>
      <c r="CB4" s="1">
        <f>$B4*CA4</f>
        <v>0</v>
      </c>
      <c r="CC4" s="24"/>
      <c r="CD4" s="21"/>
      <c r="CE4" s="1">
        <f>$B4*CD4</f>
        <v>0</v>
      </c>
      <c r="CF4" s="24"/>
      <c r="CG4" s="21"/>
      <c r="CH4" s="1">
        <f>$B4*CG4</f>
        <v>0</v>
      </c>
      <c r="CI4" s="24"/>
      <c r="CJ4" s="21"/>
      <c r="CK4" s="1">
        <f>$B4*CJ4</f>
        <v>0</v>
      </c>
      <c r="CL4" s="24"/>
      <c r="CM4" s="21"/>
      <c r="CN4" s="1">
        <f>$B4*CM4</f>
        <v>0</v>
      </c>
      <c r="CO4" s="24"/>
      <c r="CP4" s="21"/>
      <c r="CQ4" s="1">
        <f>$B4*CP4</f>
        <v>0</v>
      </c>
      <c r="CR4" s="69">
        <f>BW4+BZ4+CC4+CF4+CI4+CL4+CO4</f>
        <v>0</v>
      </c>
      <c r="CS4" s="66">
        <f>BX4+CA4+CD4+CG4+CJ4+CM4+CP4</f>
        <v>0</v>
      </c>
      <c r="CT4" s="47">
        <f>BY4+CB4+CE4+CH4+CK4+CN4+CQ4</f>
        <v>0</v>
      </c>
      <c r="CU4" s="24"/>
      <c r="CV4" s="21"/>
      <c r="CW4" s="1">
        <f>$B4*CV4</f>
        <v>0</v>
      </c>
      <c r="CX4" s="24"/>
      <c r="CY4" s="21"/>
      <c r="CZ4" s="1">
        <f>$B4*CY4</f>
        <v>0</v>
      </c>
      <c r="DA4" s="24"/>
      <c r="DB4" s="21"/>
      <c r="DC4" s="1">
        <f>$B4*DB4</f>
        <v>0</v>
      </c>
      <c r="DD4" s="24"/>
      <c r="DE4" s="21"/>
      <c r="DF4" s="1">
        <f>$B4*DE4</f>
        <v>0</v>
      </c>
      <c r="DG4" s="24"/>
      <c r="DH4" s="21"/>
      <c r="DI4" s="1">
        <f>$B4*DH4</f>
        <v>0</v>
      </c>
      <c r="DJ4" s="24"/>
      <c r="DK4" s="21"/>
      <c r="DL4" s="1">
        <f>$B4*DK4</f>
        <v>0</v>
      </c>
      <c r="DM4" s="24"/>
      <c r="DN4" s="21"/>
      <c r="DO4" s="1">
        <f>$B4*DN4</f>
        <v>0</v>
      </c>
      <c r="DP4" s="69">
        <f>CU4+CX4+DA4+DD4+DG4+DJ4+DM4</f>
        <v>0</v>
      </c>
      <c r="DQ4" s="66">
        <f>CV4+CY4+DB4+DE4+DH4+DK4+DN4</f>
        <v>0</v>
      </c>
      <c r="DR4" s="47">
        <f>CW4+CZ4+DC4+DF4+DI4+DL4+DO4</f>
        <v>0</v>
      </c>
      <c r="DS4" s="24"/>
      <c r="DT4" s="21"/>
      <c r="DU4" s="1">
        <f>$B4*DT4</f>
        <v>0</v>
      </c>
      <c r="DV4" s="48">
        <f>X4+AV4+CR4+DP4</f>
        <v>0</v>
      </c>
      <c r="DW4" s="49">
        <f>Y4+AW4+BU4+CS4+DQ4</f>
        <v>0</v>
      </c>
      <c r="DX4" s="50">
        <f>Z4+AX4+BV4+CT4+DR4</f>
        <v>0</v>
      </c>
    </row>
    <row r="5" spans="1:128" s="26" customFormat="1" ht="17.100000000000001" customHeight="1" thickBot="1" x14ac:dyDescent="0.25">
      <c r="A5" s="27" t="s">
        <v>23</v>
      </c>
      <c r="B5" s="19">
        <v>6000</v>
      </c>
      <c r="C5" s="29"/>
      <c r="D5" s="30"/>
      <c r="E5" s="2">
        <f t="shared" ref="E5:E21" si="0">$B5*D5</f>
        <v>0</v>
      </c>
      <c r="F5" s="29"/>
      <c r="G5" s="30"/>
      <c r="H5" s="2">
        <f t="shared" ref="H5:H21" si="1">$B5*G5</f>
        <v>0</v>
      </c>
      <c r="I5" s="29"/>
      <c r="J5" s="30"/>
      <c r="K5" s="2">
        <f t="shared" ref="K5:K21" si="2">$B5*J5</f>
        <v>0</v>
      </c>
      <c r="L5" s="31"/>
      <c r="M5" s="30"/>
      <c r="N5" s="2">
        <f t="shared" ref="N5:N21" si="3">$B5*M5</f>
        <v>0</v>
      </c>
      <c r="O5" s="31"/>
      <c r="P5" s="30"/>
      <c r="Q5" s="2">
        <f t="shared" ref="Q5:Q21" si="4">$B5*P5</f>
        <v>0</v>
      </c>
      <c r="R5" s="32"/>
      <c r="S5" s="30"/>
      <c r="T5" s="2">
        <f t="shared" ref="T5:T21" si="5">$B5*S5</f>
        <v>0</v>
      </c>
      <c r="U5" s="33"/>
      <c r="V5" s="30"/>
      <c r="W5" s="64">
        <f t="shared" ref="W5:W21" si="6">$B5*V5</f>
        <v>0</v>
      </c>
      <c r="X5" s="70">
        <f t="shared" ref="X5:Z21" si="7">C5+F5+I5+L5+O5+R5+U5</f>
        <v>0</v>
      </c>
      <c r="Y5" s="67">
        <f t="shared" si="7"/>
        <v>0</v>
      </c>
      <c r="Z5" s="73">
        <f t="shared" si="7"/>
        <v>0</v>
      </c>
      <c r="AA5" s="35"/>
      <c r="AB5" s="30"/>
      <c r="AC5" s="2">
        <f t="shared" ref="AC5:AC21" si="8">$B5*AB5</f>
        <v>0</v>
      </c>
      <c r="AD5" s="33"/>
      <c r="AE5" s="30">
        <v>1</v>
      </c>
      <c r="AF5" s="2">
        <f t="shared" ref="AF5:AF21" si="9">$B5*AE5</f>
        <v>6000</v>
      </c>
      <c r="AG5" s="33"/>
      <c r="AH5" s="30"/>
      <c r="AI5" s="2">
        <f t="shared" ref="AI5:AI21" si="10">$B5*AH5</f>
        <v>0</v>
      </c>
      <c r="AJ5" s="33"/>
      <c r="AK5" s="30"/>
      <c r="AL5" s="2">
        <f t="shared" ref="AL5:AL21" si="11">$B5*AK5</f>
        <v>0</v>
      </c>
      <c r="AM5" s="33"/>
      <c r="AN5" s="30"/>
      <c r="AO5" s="2">
        <f t="shared" ref="AO5:AO21" si="12">$B5*AN5</f>
        <v>0</v>
      </c>
      <c r="AP5" s="33"/>
      <c r="AQ5" s="30"/>
      <c r="AR5" s="2">
        <f t="shared" ref="AR5:AR21" si="13">$B5*AQ5</f>
        <v>0</v>
      </c>
      <c r="AS5" s="33"/>
      <c r="AT5" s="30"/>
      <c r="AU5" s="2">
        <f t="shared" ref="AU5:AU21" si="14">$B5*AT5</f>
        <v>0</v>
      </c>
      <c r="AV5" s="70">
        <f t="shared" ref="AV5:AX21" si="15">AA5+AD5+AG5+AJ5+AM5+AP5+AS5</f>
        <v>0</v>
      </c>
      <c r="AW5" s="67">
        <f t="shared" si="15"/>
        <v>1</v>
      </c>
      <c r="AX5" s="51">
        <f t="shared" si="15"/>
        <v>6000</v>
      </c>
      <c r="AY5" s="33"/>
      <c r="AZ5" s="30"/>
      <c r="BA5" s="2">
        <f t="shared" ref="BA5:BA21" si="16">$B5*AZ5</f>
        <v>0</v>
      </c>
      <c r="BB5" s="33"/>
      <c r="BC5" s="30"/>
      <c r="BD5" s="2">
        <f t="shared" ref="BD5:BD21" si="17">$B5*BC5</f>
        <v>0</v>
      </c>
      <c r="BE5" s="33"/>
      <c r="BF5" s="30"/>
      <c r="BG5" s="2">
        <f t="shared" ref="BG5:BG21" si="18">$B5*BF5</f>
        <v>0</v>
      </c>
      <c r="BH5" s="33"/>
      <c r="BI5" s="30"/>
      <c r="BJ5" s="2">
        <f t="shared" ref="BJ5:BJ21" si="19">$B5*BI5</f>
        <v>0</v>
      </c>
      <c r="BK5" s="33"/>
      <c r="BL5" s="30"/>
      <c r="BM5" s="2">
        <f t="shared" ref="BM5:BM21" si="20">$B5*BL5</f>
        <v>0</v>
      </c>
      <c r="BN5" s="33"/>
      <c r="BO5" s="30"/>
      <c r="BP5" s="2">
        <f t="shared" ref="BP5:BP21" si="21">$B5*BO5</f>
        <v>0</v>
      </c>
      <c r="BQ5" s="33"/>
      <c r="BR5" s="30"/>
      <c r="BS5" s="2">
        <f t="shared" ref="BS5:BS21" si="22">$B5*BR5</f>
        <v>0</v>
      </c>
      <c r="BT5" s="70">
        <f t="shared" ref="BT5:BV21" si="23">AY5+BB5+BE5+BH5+BK5+BN5+BQ5</f>
        <v>0</v>
      </c>
      <c r="BU5" s="67">
        <f t="shared" si="23"/>
        <v>0</v>
      </c>
      <c r="BV5" s="51">
        <f t="shared" si="23"/>
        <v>0</v>
      </c>
      <c r="BW5" s="33"/>
      <c r="BX5" s="30">
        <v>1</v>
      </c>
      <c r="BY5" s="2">
        <f t="shared" ref="BY5:BY21" si="24">$B5*BX5</f>
        <v>6000</v>
      </c>
      <c r="BZ5" s="33"/>
      <c r="CA5" s="30">
        <v>2</v>
      </c>
      <c r="CB5" s="2">
        <f t="shared" ref="CB5:CB21" si="25">$B5*CA5</f>
        <v>12000</v>
      </c>
      <c r="CC5" s="33"/>
      <c r="CD5" s="30">
        <v>3</v>
      </c>
      <c r="CE5" s="2">
        <f t="shared" ref="CE5:CE21" si="26">$B5*CD5</f>
        <v>18000</v>
      </c>
      <c r="CF5" s="33">
        <v>15000</v>
      </c>
      <c r="CG5" s="30">
        <v>2</v>
      </c>
      <c r="CH5" s="2">
        <f t="shared" ref="CH5:CH21" si="27">$B5*CG5</f>
        <v>12000</v>
      </c>
      <c r="CI5" s="33"/>
      <c r="CJ5" s="30">
        <v>1</v>
      </c>
      <c r="CK5" s="2">
        <f t="shared" ref="CK5:CK21" si="28">$B5*CJ5</f>
        <v>6000</v>
      </c>
      <c r="CL5" s="33"/>
      <c r="CM5" s="30"/>
      <c r="CN5" s="2">
        <f t="shared" ref="CN5:CN21" si="29">$B5*CM5</f>
        <v>0</v>
      </c>
      <c r="CO5" s="33"/>
      <c r="CP5" s="30"/>
      <c r="CQ5" s="2">
        <f t="shared" ref="CQ5:CQ21" si="30">$B5*CP5</f>
        <v>0</v>
      </c>
      <c r="CR5" s="70">
        <f t="shared" ref="CR5:CT21" si="31">BW5+BZ5+CC5+CF5+CI5+CL5+CO5</f>
        <v>15000</v>
      </c>
      <c r="CS5" s="67">
        <f t="shared" si="31"/>
        <v>9</v>
      </c>
      <c r="CT5" s="51">
        <f t="shared" si="31"/>
        <v>54000</v>
      </c>
      <c r="CU5" s="33"/>
      <c r="CV5" s="30"/>
      <c r="CW5" s="2">
        <f t="shared" ref="CW5:CW21" si="32">$B5*CV5</f>
        <v>0</v>
      </c>
      <c r="CX5" s="33"/>
      <c r="CY5" s="30"/>
      <c r="CZ5" s="2">
        <f t="shared" ref="CZ5:CZ21" si="33">$B5*CY5</f>
        <v>0</v>
      </c>
      <c r="DA5" s="33"/>
      <c r="DB5" s="30"/>
      <c r="DC5" s="2">
        <f t="shared" ref="DC5:DC21" si="34">$B5*DB5</f>
        <v>0</v>
      </c>
      <c r="DD5" s="33"/>
      <c r="DE5" s="30"/>
      <c r="DF5" s="2">
        <f t="shared" ref="DF5:DF21" si="35">$B5*DE5</f>
        <v>0</v>
      </c>
      <c r="DG5" s="33"/>
      <c r="DH5" s="30"/>
      <c r="DI5" s="2">
        <f t="shared" ref="DI5:DI21" si="36">$B5*DH5</f>
        <v>0</v>
      </c>
      <c r="DJ5" s="33"/>
      <c r="DK5" s="30"/>
      <c r="DL5" s="2">
        <f t="shared" ref="DL5:DL21" si="37">$B5*DK5</f>
        <v>0</v>
      </c>
      <c r="DM5" s="33"/>
      <c r="DN5" s="30"/>
      <c r="DO5" s="2">
        <f t="shared" ref="DO5:DO21" si="38">$B5*DN5</f>
        <v>0</v>
      </c>
      <c r="DP5" s="70">
        <f t="shared" ref="DP5:DR21" si="39">CU5+CX5+DA5+DD5+DG5+DJ5+DM5</f>
        <v>0</v>
      </c>
      <c r="DQ5" s="67">
        <f t="shared" si="39"/>
        <v>0</v>
      </c>
      <c r="DR5" s="51">
        <f t="shared" si="39"/>
        <v>0</v>
      </c>
      <c r="DS5" s="33"/>
      <c r="DT5" s="30"/>
      <c r="DU5" s="2">
        <f t="shared" ref="DU5:DU21" si="40">$B5*DT5</f>
        <v>0</v>
      </c>
      <c r="DV5" s="52">
        <f t="shared" ref="DV5:DV21" si="41">X5+AV5+CR5+DP5</f>
        <v>15000</v>
      </c>
      <c r="DW5" s="53">
        <f t="shared" ref="DW5:DX21" si="42">Y5+AW5+BU5+CS5+DQ5</f>
        <v>10</v>
      </c>
      <c r="DX5" s="54">
        <f t="shared" si="42"/>
        <v>60000</v>
      </c>
    </row>
    <row r="6" spans="1:128" s="26" customFormat="1" ht="17.100000000000001" customHeight="1" thickBot="1" x14ac:dyDescent="0.25">
      <c r="A6" s="27" t="s">
        <v>24</v>
      </c>
      <c r="B6" s="19">
        <v>6000</v>
      </c>
      <c r="C6" s="29"/>
      <c r="D6" s="30"/>
      <c r="E6" s="2">
        <f t="shared" si="0"/>
        <v>0</v>
      </c>
      <c r="F6" s="29"/>
      <c r="G6" s="30"/>
      <c r="H6" s="2">
        <f t="shared" si="1"/>
        <v>0</v>
      </c>
      <c r="I6" s="29"/>
      <c r="J6" s="30"/>
      <c r="K6" s="2">
        <f t="shared" si="2"/>
        <v>0</v>
      </c>
      <c r="L6" s="31"/>
      <c r="M6" s="30"/>
      <c r="N6" s="2">
        <f t="shared" si="3"/>
        <v>0</v>
      </c>
      <c r="O6" s="31"/>
      <c r="P6" s="30"/>
      <c r="Q6" s="2">
        <f t="shared" si="4"/>
        <v>0</v>
      </c>
      <c r="R6" s="32"/>
      <c r="S6" s="30"/>
      <c r="T6" s="2">
        <f t="shared" si="5"/>
        <v>0</v>
      </c>
      <c r="U6" s="33">
        <v>10000</v>
      </c>
      <c r="V6" s="30"/>
      <c r="W6" s="64">
        <f t="shared" si="6"/>
        <v>0</v>
      </c>
      <c r="X6" s="70">
        <f t="shared" si="7"/>
        <v>10000</v>
      </c>
      <c r="Y6" s="67">
        <f t="shared" si="7"/>
        <v>0</v>
      </c>
      <c r="Z6" s="73">
        <f t="shared" si="7"/>
        <v>0</v>
      </c>
      <c r="AA6" s="35"/>
      <c r="AB6" s="30"/>
      <c r="AC6" s="2">
        <f t="shared" si="8"/>
        <v>0</v>
      </c>
      <c r="AD6" s="33"/>
      <c r="AE6" s="30">
        <v>1</v>
      </c>
      <c r="AF6" s="2">
        <f t="shared" si="9"/>
        <v>6000</v>
      </c>
      <c r="AG6" s="33"/>
      <c r="AH6" s="30"/>
      <c r="AI6" s="2">
        <f t="shared" si="10"/>
        <v>0</v>
      </c>
      <c r="AJ6" s="33"/>
      <c r="AK6" s="30"/>
      <c r="AL6" s="2">
        <f t="shared" si="11"/>
        <v>0</v>
      </c>
      <c r="AM6" s="33"/>
      <c r="AN6" s="30"/>
      <c r="AO6" s="2">
        <f t="shared" si="12"/>
        <v>0</v>
      </c>
      <c r="AP6" s="33"/>
      <c r="AQ6" s="30"/>
      <c r="AR6" s="2">
        <f t="shared" si="13"/>
        <v>0</v>
      </c>
      <c r="AS6" s="33"/>
      <c r="AT6" s="30"/>
      <c r="AU6" s="2">
        <f t="shared" si="14"/>
        <v>0</v>
      </c>
      <c r="AV6" s="70">
        <f t="shared" si="15"/>
        <v>0</v>
      </c>
      <c r="AW6" s="67">
        <f t="shared" si="15"/>
        <v>1</v>
      </c>
      <c r="AX6" s="51">
        <f t="shared" si="15"/>
        <v>6000</v>
      </c>
      <c r="AY6" s="33"/>
      <c r="AZ6" s="30"/>
      <c r="BA6" s="2">
        <f t="shared" si="16"/>
        <v>0</v>
      </c>
      <c r="BB6" s="33">
        <v>10000</v>
      </c>
      <c r="BC6" s="30"/>
      <c r="BD6" s="2">
        <f t="shared" si="17"/>
        <v>0</v>
      </c>
      <c r="BE6" s="33"/>
      <c r="BF6" s="30"/>
      <c r="BG6" s="2">
        <f t="shared" si="18"/>
        <v>0</v>
      </c>
      <c r="BH6" s="33"/>
      <c r="BI6" s="30"/>
      <c r="BJ6" s="2">
        <f t="shared" si="19"/>
        <v>0</v>
      </c>
      <c r="BK6" s="33"/>
      <c r="BL6" s="30"/>
      <c r="BM6" s="2">
        <f t="shared" si="20"/>
        <v>0</v>
      </c>
      <c r="BN6" s="33"/>
      <c r="BO6" s="30"/>
      <c r="BP6" s="2">
        <f t="shared" si="21"/>
        <v>0</v>
      </c>
      <c r="BQ6" s="33"/>
      <c r="BR6" s="30"/>
      <c r="BS6" s="2">
        <f t="shared" si="22"/>
        <v>0</v>
      </c>
      <c r="BT6" s="70">
        <f t="shared" si="23"/>
        <v>10000</v>
      </c>
      <c r="BU6" s="67">
        <f t="shared" si="23"/>
        <v>0</v>
      </c>
      <c r="BV6" s="51">
        <f t="shared" si="23"/>
        <v>0</v>
      </c>
      <c r="BW6" s="33"/>
      <c r="BX6" s="30">
        <v>1</v>
      </c>
      <c r="BY6" s="2">
        <f t="shared" si="24"/>
        <v>6000</v>
      </c>
      <c r="BZ6" s="33"/>
      <c r="CA6" s="30">
        <v>2</v>
      </c>
      <c r="CB6" s="2">
        <f t="shared" si="25"/>
        <v>12000</v>
      </c>
      <c r="CC6" s="33"/>
      <c r="CD6" s="30">
        <v>3</v>
      </c>
      <c r="CE6" s="2">
        <f t="shared" si="26"/>
        <v>18000</v>
      </c>
      <c r="CF6" s="33"/>
      <c r="CG6" s="30">
        <v>2</v>
      </c>
      <c r="CH6" s="2">
        <f t="shared" si="27"/>
        <v>12000</v>
      </c>
      <c r="CI6" s="33">
        <v>10000</v>
      </c>
      <c r="CJ6" s="30">
        <v>1</v>
      </c>
      <c r="CK6" s="2">
        <f t="shared" si="28"/>
        <v>6000</v>
      </c>
      <c r="CL6" s="33"/>
      <c r="CM6" s="30"/>
      <c r="CN6" s="2">
        <f t="shared" si="29"/>
        <v>0</v>
      </c>
      <c r="CO6" s="33"/>
      <c r="CP6" s="30"/>
      <c r="CQ6" s="2">
        <f t="shared" si="30"/>
        <v>0</v>
      </c>
      <c r="CR6" s="70">
        <f t="shared" si="31"/>
        <v>10000</v>
      </c>
      <c r="CS6" s="67">
        <f t="shared" si="31"/>
        <v>9</v>
      </c>
      <c r="CT6" s="51">
        <f t="shared" si="31"/>
        <v>54000</v>
      </c>
      <c r="CU6" s="33"/>
      <c r="CV6" s="30"/>
      <c r="CW6" s="2">
        <f t="shared" si="32"/>
        <v>0</v>
      </c>
      <c r="CX6" s="33">
        <v>10000</v>
      </c>
      <c r="CY6" s="30"/>
      <c r="CZ6" s="2">
        <f t="shared" si="33"/>
        <v>0</v>
      </c>
      <c r="DA6" s="33"/>
      <c r="DB6" s="30"/>
      <c r="DC6" s="2">
        <f t="shared" si="34"/>
        <v>0</v>
      </c>
      <c r="DD6" s="33"/>
      <c r="DE6" s="30"/>
      <c r="DF6" s="2">
        <f t="shared" si="35"/>
        <v>0</v>
      </c>
      <c r="DG6" s="33"/>
      <c r="DH6" s="30"/>
      <c r="DI6" s="2">
        <f t="shared" si="36"/>
        <v>0</v>
      </c>
      <c r="DJ6" s="33"/>
      <c r="DK6" s="30"/>
      <c r="DL6" s="2">
        <f t="shared" si="37"/>
        <v>0</v>
      </c>
      <c r="DM6" s="33"/>
      <c r="DN6" s="30"/>
      <c r="DO6" s="2">
        <f t="shared" si="38"/>
        <v>0</v>
      </c>
      <c r="DP6" s="70">
        <f t="shared" si="39"/>
        <v>10000</v>
      </c>
      <c r="DQ6" s="67">
        <f t="shared" si="39"/>
        <v>0</v>
      </c>
      <c r="DR6" s="51">
        <f t="shared" si="39"/>
        <v>0</v>
      </c>
      <c r="DS6" s="33"/>
      <c r="DT6" s="30"/>
      <c r="DU6" s="2">
        <f t="shared" si="40"/>
        <v>0</v>
      </c>
      <c r="DV6" s="52">
        <v>40000</v>
      </c>
      <c r="DW6" s="53">
        <f t="shared" si="42"/>
        <v>10</v>
      </c>
      <c r="DX6" s="54">
        <f t="shared" si="42"/>
        <v>60000</v>
      </c>
    </row>
    <row r="7" spans="1:128" s="26" customFormat="1" ht="17.100000000000001" customHeight="1" thickBot="1" x14ac:dyDescent="0.25">
      <c r="A7" s="27" t="s">
        <v>25</v>
      </c>
      <c r="B7" s="19">
        <v>6000</v>
      </c>
      <c r="C7" s="29"/>
      <c r="D7" s="30"/>
      <c r="E7" s="2">
        <f t="shared" si="0"/>
        <v>0</v>
      </c>
      <c r="F7" s="29"/>
      <c r="G7" s="30"/>
      <c r="H7" s="2">
        <f t="shared" si="1"/>
        <v>0</v>
      </c>
      <c r="I7" s="29"/>
      <c r="J7" s="30"/>
      <c r="K7" s="2">
        <f t="shared" si="2"/>
        <v>0</v>
      </c>
      <c r="L7" s="31"/>
      <c r="M7" s="30"/>
      <c r="N7" s="2">
        <f t="shared" si="3"/>
        <v>0</v>
      </c>
      <c r="O7" s="31"/>
      <c r="P7" s="30"/>
      <c r="Q7" s="2">
        <f t="shared" si="4"/>
        <v>0</v>
      </c>
      <c r="R7" s="32"/>
      <c r="S7" s="30"/>
      <c r="T7" s="2">
        <f t="shared" si="5"/>
        <v>0</v>
      </c>
      <c r="U7" s="33"/>
      <c r="V7" s="30"/>
      <c r="W7" s="64">
        <f t="shared" si="6"/>
        <v>0</v>
      </c>
      <c r="X7" s="70">
        <f t="shared" si="7"/>
        <v>0</v>
      </c>
      <c r="Y7" s="67">
        <f t="shared" si="7"/>
        <v>0</v>
      </c>
      <c r="Z7" s="73">
        <f t="shared" si="7"/>
        <v>0</v>
      </c>
      <c r="AA7" s="35"/>
      <c r="AB7" s="30"/>
      <c r="AC7" s="2">
        <f t="shared" si="8"/>
        <v>0</v>
      </c>
      <c r="AD7" s="33"/>
      <c r="AE7" s="30">
        <v>2</v>
      </c>
      <c r="AF7" s="2">
        <f t="shared" si="9"/>
        <v>12000</v>
      </c>
      <c r="AG7" s="33"/>
      <c r="AH7" s="30"/>
      <c r="AI7" s="2">
        <f t="shared" si="10"/>
        <v>0</v>
      </c>
      <c r="AJ7" s="33"/>
      <c r="AK7" s="30"/>
      <c r="AL7" s="2">
        <f t="shared" si="11"/>
        <v>0</v>
      </c>
      <c r="AM7" s="33"/>
      <c r="AN7" s="30"/>
      <c r="AO7" s="2">
        <f t="shared" si="12"/>
        <v>0</v>
      </c>
      <c r="AP7" s="33"/>
      <c r="AQ7" s="30"/>
      <c r="AR7" s="2">
        <f t="shared" si="13"/>
        <v>0</v>
      </c>
      <c r="AS7" s="33"/>
      <c r="AT7" s="30"/>
      <c r="AU7" s="2">
        <f t="shared" si="14"/>
        <v>0</v>
      </c>
      <c r="AV7" s="70">
        <f t="shared" si="15"/>
        <v>0</v>
      </c>
      <c r="AW7" s="67">
        <f t="shared" si="15"/>
        <v>2</v>
      </c>
      <c r="AX7" s="51">
        <f t="shared" si="15"/>
        <v>12000</v>
      </c>
      <c r="AY7" s="33"/>
      <c r="AZ7" s="30"/>
      <c r="BA7" s="2">
        <f t="shared" si="16"/>
        <v>0</v>
      </c>
      <c r="BB7" s="33"/>
      <c r="BC7" s="30"/>
      <c r="BD7" s="2">
        <f t="shared" si="17"/>
        <v>0</v>
      </c>
      <c r="BE7" s="33"/>
      <c r="BF7" s="30"/>
      <c r="BG7" s="2">
        <f t="shared" si="18"/>
        <v>0</v>
      </c>
      <c r="BH7" s="33"/>
      <c r="BI7" s="30"/>
      <c r="BJ7" s="2">
        <f t="shared" si="19"/>
        <v>0</v>
      </c>
      <c r="BK7" s="33"/>
      <c r="BL7" s="30"/>
      <c r="BM7" s="2">
        <f t="shared" si="20"/>
        <v>0</v>
      </c>
      <c r="BN7" s="33"/>
      <c r="BO7" s="30"/>
      <c r="BP7" s="2">
        <f t="shared" si="21"/>
        <v>0</v>
      </c>
      <c r="BQ7" s="33"/>
      <c r="BR7" s="30"/>
      <c r="BS7" s="2">
        <f t="shared" si="22"/>
        <v>0</v>
      </c>
      <c r="BT7" s="70">
        <f t="shared" si="23"/>
        <v>0</v>
      </c>
      <c r="BU7" s="67">
        <f t="shared" si="23"/>
        <v>0</v>
      </c>
      <c r="BV7" s="51">
        <f t="shared" si="23"/>
        <v>0</v>
      </c>
      <c r="BW7" s="33"/>
      <c r="BX7" s="30"/>
      <c r="BY7" s="2">
        <f t="shared" si="24"/>
        <v>0</v>
      </c>
      <c r="BZ7" s="33"/>
      <c r="CA7" s="30"/>
      <c r="CB7" s="2">
        <f t="shared" si="25"/>
        <v>0</v>
      </c>
      <c r="CC7" s="33"/>
      <c r="CD7" s="30"/>
      <c r="CE7" s="2">
        <f t="shared" si="26"/>
        <v>0</v>
      </c>
      <c r="CF7" s="33"/>
      <c r="CG7" s="30"/>
      <c r="CH7" s="2">
        <f t="shared" si="27"/>
        <v>0</v>
      </c>
      <c r="CI7" s="33"/>
      <c r="CJ7" s="30"/>
      <c r="CK7" s="2">
        <f t="shared" si="28"/>
        <v>0</v>
      </c>
      <c r="CL7" s="33"/>
      <c r="CM7" s="30"/>
      <c r="CN7" s="2">
        <f t="shared" si="29"/>
        <v>0</v>
      </c>
      <c r="CO7" s="33"/>
      <c r="CP7" s="30"/>
      <c r="CQ7" s="2">
        <f t="shared" si="30"/>
        <v>0</v>
      </c>
      <c r="CR7" s="70">
        <f t="shared" si="31"/>
        <v>0</v>
      </c>
      <c r="CS7" s="67">
        <f t="shared" si="31"/>
        <v>0</v>
      </c>
      <c r="CT7" s="51">
        <f t="shared" si="31"/>
        <v>0</v>
      </c>
      <c r="CU7" s="33"/>
      <c r="CV7" s="30"/>
      <c r="CW7" s="2">
        <f t="shared" si="32"/>
        <v>0</v>
      </c>
      <c r="CX7" s="33"/>
      <c r="CY7" s="30"/>
      <c r="CZ7" s="2">
        <f t="shared" si="33"/>
        <v>0</v>
      </c>
      <c r="DA7" s="33"/>
      <c r="DB7" s="30"/>
      <c r="DC7" s="2">
        <f t="shared" si="34"/>
        <v>0</v>
      </c>
      <c r="DD7" s="33"/>
      <c r="DE7" s="30"/>
      <c r="DF7" s="2">
        <f t="shared" si="35"/>
        <v>0</v>
      </c>
      <c r="DG7" s="33"/>
      <c r="DH7" s="30"/>
      <c r="DI7" s="2">
        <f t="shared" si="36"/>
        <v>0</v>
      </c>
      <c r="DJ7" s="33"/>
      <c r="DK7" s="30"/>
      <c r="DL7" s="2">
        <f t="shared" si="37"/>
        <v>0</v>
      </c>
      <c r="DM7" s="33"/>
      <c r="DN7" s="30"/>
      <c r="DO7" s="2">
        <f t="shared" si="38"/>
        <v>0</v>
      </c>
      <c r="DP7" s="70">
        <f t="shared" si="39"/>
        <v>0</v>
      </c>
      <c r="DQ7" s="67">
        <f t="shared" si="39"/>
        <v>0</v>
      </c>
      <c r="DR7" s="51">
        <f t="shared" si="39"/>
        <v>0</v>
      </c>
      <c r="DS7" s="33"/>
      <c r="DT7" s="30"/>
      <c r="DU7" s="2">
        <f t="shared" si="40"/>
        <v>0</v>
      </c>
      <c r="DV7" s="52">
        <f t="shared" si="41"/>
        <v>0</v>
      </c>
      <c r="DW7" s="53">
        <f t="shared" si="42"/>
        <v>2</v>
      </c>
      <c r="DX7" s="54">
        <f t="shared" si="42"/>
        <v>12000</v>
      </c>
    </row>
    <row r="8" spans="1:128" s="26" customFormat="1" ht="17.100000000000001" customHeight="1" thickBot="1" x14ac:dyDescent="0.25">
      <c r="A8" s="27" t="s">
        <v>26</v>
      </c>
      <c r="B8" s="19">
        <v>6000</v>
      </c>
      <c r="C8" s="29"/>
      <c r="D8" s="30"/>
      <c r="E8" s="2">
        <f t="shared" si="0"/>
        <v>0</v>
      </c>
      <c r="F8" s="29"/>
      <c r="G8" s="30"/>
      <c r="H8" s="2">
        <f t="shared" si="1"/>
        <v>0</v>
      </c>
      <c r="I8" s="29"/>
      <c r="J8" s="30"/>
      <c r="K8" s="2">
        <f t="shared" si="2"/>
        <v>0</v>
      </c>
      <c r="L8" s="31"/>
      <c r="M8" s="30"/>
      <c r="N8" s="2">
        <f t="shared" si="3"/>
        <v>0</v>
      </c>
      <c r="O8" s="33"/>
      <c r="P8" s="30"/>
      <c r="Q8" s="2">
        <f t="shared" si="4"/>
        <v>0</v>
      </c>
      <c r="R8" s="32"/>
      <c r="S8" s="30"/>
      <c r="T8" s="2">
        <f t="shared" si="5"/>
        <v>0</v>
      </c>
      <c r="U8" s="33"/>
      <c r="V8" s="30"/>
      <c r="W8" s="64">
        <f t="shared" si="6"/>
        <v>0</v>
      </c>
      <c r="X8" s="70">
        <f t="shared" si="7"/>
        <v>0</v>
      </c>
      <c r="Y8" s="67">
        <f t="shared" si="7"/>
        <v>0</v>
      </c>
      <c r="Z8" s="73">
        <f t="shared" si="7"/>
        <v>0</v>
      </c>
      <c r="AA8" s="35"/>
      <c r="AB8" s="30"/>
      <c r="AC8" s="2">
        <f t="shared" si="8"/>
        <v>0</v>
      </c>
      <c r="AD8" s="33"/>
      <c r="AE8" s="30">
        <v>1</v>
      </c>
      <c r="AF8" s="2">
        <f t="shared" si="9"/>
        <v>6000</v>
      </c>
      <c r="AG8" s="33">
        <v>6000</v>
      </c>
      <c r="AH8" s="30"/>
      <c r="AI8" s="2">
        <f t="shared" si="10"/>
        <v>0</v>
      </c>
      <c r="AJ8" s="33"/>
      <c r="AK8" s="30"/>
      <c r="AL8" s="2">
        <f t="shared" si="11"/>
        <v>0</v>
      </c>
      <c r="AM8" s="33"/>
      <c r="AN8" s="30"/>
      <c r="AO8" s="2">
        <f t="shared" si="12"/>
        <v>0</v>
      </c>
      <c r="AP8" s="33"/>
      <c r="AQ8" s="30"/>
      <c r="AR8" s="2">
        <f t="shared" si="13"/>
        <v>0</v>
      </c>
      <c r="AS8" s="33"/>
      <c r="AT8" s="30"/>
      <c r="AU8" s="2">
        <f t="shared" si="14"/>
        <v>0</v>
      </c>
      <c r="AV8" s="70">
        <f t="shared" si="15"/>
        <v>6000</v>
      </c>
      <c r="AW8" s="67">
        <f t="shared" si="15"/>
        <v>1</v>
      </c>
      <c r="AX8" s="51">
        <f t="shared" si="15"/>
        <v>6000</v>
      </c>
      <c r="AY8" s="33"/>
      <c r="AZ8" s="30"/>
      <c r="BA8" s="2">
        <f t="shared" si="16"/>
        <v>0</v>
      </c>
      <c r="BB8" s="33">
        <v>5000</v>
      </c>
      <c r="BC8" s="30"/>
      <c r="BD8" s="2">
        <f t="shared" si="17"/>
        <v>0</v>
      </c>
      <c r="BE8" s="33"/>
      <c r="BF8" s="30"/>
      <c r="BG8" s="2">
        <f t="shared" si="18"/>
        <v>0</v>
      </c>
      <c r="BH8" s="33"/>
      <c r="BI8" s="30"/>
      <c r="BJ8" s="2">
        <f t="shared" si="19"/>
        <v>0</v>
      </c>
      <c r="BK8" s="33"/>
      <c r="BL8" s="30"/>
      <c r="BM8" s="2">
        <f t="shared" si="20"/>
        <v>0</v>
      </c>
      <c r="BN8" s="33">
        <v>6000</v>
      </c>
      <c r="BO8" s="30"/>
      <c r="BP8" s="2">
        <f t="shared" si="21"/>
        <v>0</v>
      </c>
      <c r="BQ8" s="33"/>
      <c r="BR8" s="30"/>
      <c r="BS8" s="2">
        <f t="shared" si="22"/>
        <v>0</v>
      </c>
      <c r="BT8" s="70">
        <f t="shared" si="23"/>
        <v>11000</v>
      </c>
      <c r="BU8" s="67">
        <f t="shared" si="23"/>
        <v>0</v>
      </c>
      <c r="BV8" s="51">
        <f t="shared" si="23"/>
        <v>0</v>
      </c>
      <c r="BW8" s="33"/>
      <c r="BX8" s="30">
        <v>1</v>
      </c>
      <c r="BY8" s="2">
        <f t="shared" si="24"/>
        <v>6000</v>
      </c>
      <c r="BZ8" s="33"/>
      <c r="CA8" s="30">
        <v>3</v>
      </c>
      <c r="CB8" s="2">
        <f t="shared" si="25"/>
        <v>18000</v>
      </c>
      <c r="CC8" s="33"/>
      <c r="CD8" s="30">
        <v>3</v>
      </c>
      <c r="CE8" s="2">
        <f t="shared" si="26"/>
        <v>18000</v>
      </c>
      <c r="CF8" s="33">
        <v>5000</v>
      </c>
      <c r="CG8" s="30">
        <v>2</v>
      </c>
      <c r="CH8" s="2">
        <f t="shared" si="27"/>
        <v>12000</v>
      </c>
      <c r="CI8" s="33"/>
      <c r="CJ8" s="30">
        <v>2</v>
      </c>
      <c r="CK8" s="2">
        <f t="shared" si="28"/>
        <v>12000</v>
      </c>
      <c r="CL8" s="33">
        <v>10000</v>
      </c>
      <c r="CM8" s="30"/>
      <c r="CN8" s="2">
        <f t="shared" si="29"/>
        <v>0</v>
      </c>
      <c r="CO8" s="33"/>
      <c r="CP8" s="30"/>
      <c r="CQ8" s="2">
        <f t="shared" si="30"/>
        <v>0</v>
      </c>
      <c r="CR8" s="70">
        <f t="shared" si="31"/>
        <v>15000</v>
      </c>
      <c r="CS8" s="67">
        <f t="shared" si="31"/>
        <v>11</v>
      </c>
      <c r="CT8" s="51">
        <f t="shared" si="31"/>
        <v>66000</v>
      </c>
      <c r="CU8" s="33"/>
      <c r="CV8" s="30"/>
      <c r="CW8" s="2">
        <f t="shared" si="32"/>
        <v>0</v>
      </c>
      <c r="CX8" s="33"/>
      <c r="CY8" s="30"/>
      <c r="CZ8" s="2">
        <f t="shared" si="33"/>
        <v>0</v>
      </c>
      <c r="DA8" s="33"/>
      <c r="DB8" s="30"/>
      <c r="DC8" s="2">
        <f t="shared" si="34"/>
        <v>0</v>
      </c>
      <c r="DD8" s="33"/>
      <c r="DE8" s="30"/>
      <c r="DF8" s="2">
        <f t="shared" si="35"/>
        <v>0</v>
      </c>
      <c r="DG8" s="33"/>
      <c r="DH8" s="30"/>
      <c r="DI8" s="2">
        <f t="shared" si="36"/>
        <v>0</v>
      </c>
      <c r="DJ8" s="33"/>
      <c r="DK8" s="30"/>
      <c r="DL8" s="2">
        <f t="shared" si="37"/>
        <v>0</v>
      </c>
      <c r="DM8" s="33"/>
      <c r="DN8" s="30"/>
      <c r="DO8" s="2">
        <f t="shared" si="38"/>
        <v>0</v>
      </c>
      <c r="DP8" s="70">
        <f t="shared" si="39"/>
        <v>0</v>
      </c>
      <c r="DQ8" s="67">
        <f t="shared" si="39"/>
        <v>0</v>
      </c>
      <c r="DR8" s="51">
        <f t="shared" si="39"/>
        <v>0</v>
      </c>
      <c r="DS8" s="33"/>
      <c r="DT8" s="30"/>
      <c r="DU8" s="2">
        <f t="shared" si="40"/>
        <v>0</v>
      </c>
      <c r="DV8" s="52">
        <v>32000</v>
      </c>
      <c r="DW8" s="53">
        <f t="shared" si="42"/>
        <v>12</v>
      </c>
      <c r="DX8" s="54">
        <f t="shared" si="42"/>
        <v>72000</v>
      </c>
    </row>
    <row r="9" spans="1:128" s="26" customFormat="1" ht="17.100000000000001" customHeight="1" thickBot="1" x14ac:dyDescent="0.25">
      <c r="A9" s="27" t="s">
        <v>27</v>
      </c>
      <c r="B9" s="19">
        <v>6000</v>
      </c>
      <c r="C9" s="29"/>
      <c r="D9" s="30"/>
      <c r="E9" s="2">
        <f t="shared" si="0"/>
        <v>0</v>
      </c>
      <c r="F9" s="29"/>
      <c r="G9" s="30"/>
      <c r="H9" s="2">
        <f t="shared" si="1"/>
        <v>0</v>
      </c>
      <c r="I9" s="29"/>
      <c r="J9" s="30"/>
      <c r="K9" s="2">
        <f t="shared" si="2"/>
        <v>0</v>
      </c>
      <c r="L9" s="31"/>
      <c r="M9" s="30"/>
      <c r="N9" s="2">
        <f t="shared" si="3"/>
        <v>0</v>
      </c>
      <c r="O9" s="31"/>
      <c r="P9" s="30"/>
      <c r="Q9" s="2">
        <f t="shared" si="4"/>
        <v>0</v>
      </c>
      <c r="R9" s="31"/>
      <c r="S9" s="30"/>
      <c r="T9" s="2">
        <f t="shared" si="5"/>
        <v>0</v>
      </c>
      <c r="U9" s="33"/>
      <c r="V9" s="30"/>
      <c r="W9" s="64">
        <f t="shared" si="6"/>
        <v>0</v>
      </c>
      <c r="X9" s="70">
        <f t="shared" si="7"/>
        <v>0</v>
      </c>
      <c r="Y9" s="67">
        <f t="shared" si="7"/>
        <v>0</v>
      </c>
      <c r="Z9" s="73">
        <f t="shared" si="7"/>
        <v>0</v>
      </c>
      <c r="AA9" s="35"/>
      <c r="AB9" s="30"/>
      <c r="AC9" s="2">
        <f t="shared" si="8"/>
        <v>0</v>
      </c>
      <c r="AD9" s="33"/>
      <c r="AE9" s="30">
        <v>2</v>
      </c>
      <c r="AF9" s="2">
        <f t="shared" si="9"/>
        <v>12000</v>
      </c>
      <c r="AG9" s="33"/>
      <c r="AH9" s="30"/>
      <c r="AI9" s="2">
        <f t="shared" si="10"/>
        <v>0</v>
      </c>
      <c r="AJ9" s="33"/>
      <c r="AK9" s="30"/>
      <c r="AL9" s="2">
        <f t="shared" si="11"/>
        <v>0</v>
      </c>
      <c r="AM9" s="33"/>
      <c r="AN9" s="30"/>
      <c r="AO9" s="2">
        <f t="shared" si="12"/>
        <v>0</v>
      </c>
      <c r="AP9" s="33"/>
      <c r="AQ9" s="30"/>
      <c r="AR9" s="2">
        <f t="shared" si="13"/>
        <v>0</v>
      </c>
      <c r="AS9" s="33"/>
      <c r="AT9" s="30"/>
      <c r="AU9" s="2">
        <f t="shared" si="14"/>
        <v>0</v>
      </c>
      <c r="AV9" s="70">
        <f t="shared" si="15"/>
        <v>0</v>
      </c>
      <c r="AW9" s="67">
        <f t="shared" si="15"/>
        <v>2</v>
      </c>
      <c r="AX9" s="51">
        <f t="shared" si="15"/>
        <v>12000</v>
      </c>
      <c r="AY9" s="33"/>
      <c r="AZ9" s="30"/>
      <c r="BA9" s="2">
        <f t="shared" si="16"/>
        <v>0</v>
      </c>
      <c r="BB9" s="33"/>
      <c r="BC9" s="30"/>
      <c r="BD9" s="2">
        <f t="shared" si="17"/>
        <v>0</v>
      </c>
      <c r="BE9" s="33"/>
      <c r="BF9" s="30"/>
      <c r="BG9" s="2">
        <f t="shared" si="18"/>
        <v>0</v>
      </c>
      <c r="BH9" s="33"/>
      <c r="BI9" s="30"/>
      <c r="BJ9" s="2">
        <f t="shared" si="19"/>
        <v>0</v>
      </c>
      <c r="BK9" s="33"/>
      <c r="BL9" s="30"/>
      <c r="BM9" s="2">
        <f t="shared" si="20"/>
        <v>0</v>
      </c>
      <c r="BN9" s="33"/>
      <c r="BO9" s="30"/>
      <c r="BP9" s="2">
        <f t="shared" si="21"/>
        <v>0</v>
      </c>
      <c r="BQ9" s="33"/>
      <c r="BR9" s="30"/>
      <c r="BS9" s="2">
        <f t="shared" si="22"/>
        <v>0</v>
      </c>
      <c r="BT9" s="70">
        <f t="shared" si="23"/>
        <v>0</v>
      </c>
      <c r="BU9" s="67">
        <f t="shared" si="23"/>
        <v>0</v>
      </c>
      <c r="BV9" s="51">
        <f t="shared" si="23"/>
        <v>0</v>
      </c>
      <c r="BW9" s="33"/>
      <c r="BX9" s="30">
        <v>1</v>
      </c>
      <c r="BY9" s="2">
        <f t="shared" si="24"/>
        <v>6000</v>
      </c>
      <c r="BZ9" s="33"/>
      <c r="CA9" s="30">
        <v>3</v>
      </c>
      <c r="CB9" s="2">
        <f t="shared" si="25"/>
        <v>18000</v>
      </c>
      <c r="CC9" s="33"/>
      <c r="CD9" s="30">
        <v>3</v>
      </c>
      <c r="CE9" s="2">
        <f t="shared" si="26"/>
        <v>18000</v>
      </c>
      <c r="CF9" s="33"/>
      <c r="CG9" s="30">
        <v>2</v>
      </c>
      <c r="CH9" s="2">
        <f t="shared" si="27"/>
        <v>12000</v>
      </c>
      <c r="CI9" s="33"/>
      <c r="CJ9" s="30">
        <v>2</v>
      </c>
      <c r="CK9" s="2">
        <f t="shared" si="28"/>
        <v>12000</v>
      </c>
      <c r="CL9" s="33"/>
      <c r="CM9" s="30"/>
      <c r="CN9" s="2">
        <f t="shared" si="29"/>
        <v>0</v>
      </c>
      <c r="CO9" s="33"/>
      <c r="CP9" s="30"/>
      <c r="CQ9" s="2">
        <f t="shared" si="30"/>
        <v>0</v>
      </c>
      <c r="CR9" s="70">
        <f t="shared" si="31"/>
        <v>0</v>
      </c>
      <c r="CS9" s="67">
        <f t="shared" si="31"/>
        <v>11</v>
      </c>
      <c r="CT9" s="51">
        <f t="shared" si="31"/>
        <v>66000</v>
      </c>
      <c r="CU9" s="33"/>
      <c r="CV9" s="30"/>
      <c r="CW9" s="2">
        <f t="shared" si="32"/>
        <v>0</v>
      </c>
      <c r="CX9" s="33"/>
      <c r="CY9" s="30"/>
      <c r="CZ9" s="2">
        <f t="shared" si="33"/>
        <v>0</v>
      </c>
      <c r="DA9" s="33"/>
      <c r="DB9" s="30"/>
      <c r="DC9" s="2">
        <f t="shared" si="34"/>
        <v>0</v>
      </c>
      <c r="DD9" s="33"/>
      <c r="DE9" s="30"/>
      <c r="DF9" s="2">
        <f t="shared" si="35"/>
        <v>0</v>
      </c>
      <c r="DG9" s="33"/>
      <c r="DH9" s="30"/>
      <c r="DI9" s="2">
        <f t="shared" si="36"/>
        <v>0</v>
      </c>
      <c r="DJ9" s="33"/>
      <c r="DK9" s="30"/>
      <c r="DL9" s="2">
        <f t="shared" si="37"/>
        <v>0</v>
      </c>
      <c r="DM9" s="33"/>
      <c r="DN9" s="30"/>
      <c r="DO9" s="2">
        <f t="shared" si="38"/>
        <v>0</v>
      </c>
      <c r="DP9" s="70">
        <f t="shared" si="39"/>
        <v>0</v>
      </c>
      <c r="DQ9" s="67">
        <f t="shared" si="39"/>
        <v>0</v>
      </c>
      <c r="DR9" s="51">
        <f t="shared" si="39"/>
        <v>0</v>
      </c>
      <c r="DS9" s="33"/>
      <c r="DT9" s="30"/>
      <c r="DU9" s="2">
        <f t="shared" si="40"/>
        <v>0</v>
      </c>
      <c r="DV9" s="52">
        <f t="shared" si="41"/>
        <v>0</v>
      </c>
      <c r="DW9" s="53">
        <f t="shared" si="42"/>
        <v>13</v>
      </c>
      <c r="DX9" s="54">
        <f t="shared" si="42"/>
        <v>78000</v>
      </c>
    </row>
    <row r="10" spans="1:128" s="26" customFormat="1" ht="17.100000000000001" customHeight="1" thickBot="1" x14ac:dyDescent="0.25">
      <c r="A10" s="27" t="s">
        <v>52</v>
      </c>
      <c r="B10" s="19">
        <v>6000</v>
      </c>
      <c r="C10" s="29"/>
      <c r="D10" s="30"/>
      <c r="E10" s="2">
        <f t="shared" si="0"/>
        <v>0</v>
      </c>
      <c r="F10" s="29"/>
      <c r="G10" s="30"/>
      <c r="H10" s="2">
        <f t="shared" si="1"/>
        <v>0</v>
      </c>
      <c r="I10" s="29"/>
      <c r="J10" s="30"/>
      <c r="K10" s="2">
        <f t="shared" si="2"/>
        <v>0</v>
      </c>
      <c r="L10" s="31"/>
      <c r="M10" s="30"/>
      <c r="N10" s="2">
        <f t="shared" si="3"/>
        <v>0</v>
      </c>
      <c r="O10" s="31"/>
      <c r="P10" s="30"/>
      <c r="Q10" s="2">
        <f t="shared" si="4"/>
        <v>0</v>
      </c>
      <c r="R10" s="31"/>
      <c r="S10" s="30"/>
      <c r="T10" s="2">
        <f t="shared" si="5"/>
        <v>0</v>
      </c>
      <c r="U10" s="33"/>
      <c r="V10" s="30"/>
      <c r="W10" s="64">
        <f t="shared" si="6"/>
        <v>0</v>
      </c>
      <c r="X10" s="70">
        <f t="shared" si="7"/>
        <v>0</v>
      </c>
      <c r="Y10" s="67">
        <f t="shared" si="7"/>
        <v>0</v>
      </c>
      <c r="Z10" s="73">
        <f t="shared" si="7"/>
        <v>0</v>
      </c>
      <c r="AA10" s="35"/>
      <c r="AB10" s="30"/>
      <c r="AC10" s="2">
        <f t="shared" si="8"/>
        <v>0</v>
      </c>
      <c r="AD10" s="33"/>
      <c r="AE10" s="30">
        <v>1</v>
      </c>
      <c r="AF10" s="2">
        <f t="shared" si="9"/>
        <v>6000</v>
      </c>
      <c r="AG10" s="33"/>
      <c r="AH10" s="30"/>
      <c r="AI10" s="2">
        <f t="shared" si="10"/>
        <v>0</v>
      </c>
      <c r="AJ10" s="33"/>
      <c r="AK10" s="30"/>
      <c r="AL10" s="2">
        <f t="shared" si="11"/>
        <v>0</v>
      </c>
      <c r="AM10" s="33"/>
      <c r="AN10" s="30"/>
      <c r="AO10" s="2">
        <f t="shared" si="12"/>
        <v>0</v>
      </c>
      <c r="AP10" s="33"/>
      <c r="AQ10" s="30"/>
      <c r="AR10" s="2">
        <f t="shared" si="13"/>
        <v>0</v>
      </c>
      <c r="AS10" s="33"/>
      <c r="AT10" s="30"/>
      <c r="AU10" s="2">
        <f t="shared" si="14"/>
        <v>0</v>
      </c>
      <c r="AV10" s="70">
        <f t="shared" si="15"/>
        <v>0</v>
      </c>
      <c r="AW10" s="67">
        <f t="shared" si="15"/>
        <v>1</v>
      </c>
      <c r="AX10" s="51">
        <f t="shared" si="15"/>
        <v>6000</v>
      </c>
      <c r="AY10" s="33"/>
      <c r="AZ10" s="30"/>
      <c r="BA10" s="2">
        <f t="shared" si="16"/>
        <v>0</v>
      </c>
      <c r="BB10" s="33"/>
      <c r="BC10" s="30"/>
      <c r="BD10" s="2">
        <f t="shared" si="17"/>
        <v>0</v>
      </c>
      <c r="BE10" s="33"/>
      <c r="BF10" s="30"/>
      <c r="BG10" s="2">
        <f t="shared" si="18"/>
        <v>0</v>
      </c>
      <c r="BH10" s="33"/>
      <c r="BI10" s="30"/>
      <c r="BJ10" s="2">
        <f t="shared" si="19"/>
        <v>0</v>
      </c>
      <c r="BK10" s="33"/>
      <c r="BL10" s="30"/>
      <c r="BM10" s="2">
        <f t="shared" si="20"/>
        <v>0</v>
      </c>
      <c r="BN10" s="33"/>
      <c r="BO10" s="30"/>
      <c r="BP10" s="2">
        <f t="shared" si="21"/>
        <v>0</v>
      </c>
      <c r="BQ10" s="33"/>
      <c r="BR10" s="30"/>
      <c r="BS10" s="2">
        <f t="shared" si="22"/>
        <v>0</v>
      </c>
      <c r="BT10" s="70">
        <f t="shared" si="23"/>
        <v>0</v>
      </c>
      <c r="BU10" s="67">
        <f t="shared" si="23"/>
        <v>0</v>
      </c>
      <c r="BV10" s="51">
        <f t="shared" si="23"/>
        <v>0</v>
      </c>
      <c r="BW10" s="33"/>
      <c r="BX10" s="30">
        <v>1</v>
      </c>
      <c r="BY10" s="2">
        <f t="shared" si="24"/>
        <v>6000</v>
      </c>
      <c r="BZ10" s="33"/>
      <c r="CA10" s="30">
        <v>3</v>
      </c>
      <c r="CB10" s="2">
        <f t="shared" si="25"/>
        <v>18000</v>
      </c>
      <c r="CC10" s="33"/>
      <c r="CD10" s="30">
        <v>3</v>
      </c>
      <c r="CE10" s="2">
        <f t="shared" si="26"/>
        <v>18000</v>
      </c>
      <c r="CF10" s="33"/>
      <c r="CG10" s="30">
        <v>2</v>
      </c>
      <c r="CH10" s="2">
        <f t="shared" si="27"/>
        <v>12000</v>
      </c>
      <c r="CI10" s="33"/>
      <c r="CJ10" s="30"/>
      <c r="CK10" s="2">
        <f t="shared" si="28"/>
        <v>0</v>
      </c>
      <c r="CL10" s="33"/>
      <c r="CM10" s="30"/>
      <c r="CN10" s="2">
        <f t="shared" si="29"/>
        <v>0</v>
      </c>
      <c r="CO10" s="33"/>
      <c r="CP10" s="30"/>
      <c r="CQ10" s="2">
        <f t="shared" si="30"/>
        <v>0</v>
      </c>
      <c r="CR10" s="70">
        <f t="shared" si="31"/>
        <v>0</v>
      </c>
      <c r="CS10" s="67">
        <f t="shared" si="31"/>
        <v>9</v>
      </c>
      <c r="CT10" s="51">
        <f t="shared" si="31"/>
        <v>54000</v>
      </c>
      <c r="CU10" s="33"/>
      <c r="CV10" s="30"/>
      <c r="CW10" s="2">
        <f t="shared" si="32"/>
        <v>0</v>
      </c>
      <c r="CX10" s="33"/>
      <c r="CY10" s="30"/>
      <c r="CZ10" s="2">
        <f t="shared" si="33"/>
        <v>0</v>
      </c>
      <c r="DA10" s="33"/>
      <c r="DB10" s="30"/>
      <c r="DC10" s="2">
        <f t="shared" si="34"/>
        <v>0</v>
      </c>
      <c r="DD10" s="33"/>
      <c r="DE10" s="30"/>
      <c r="DF10" s="2">
        <f t="shared" si="35"/>
        <v>0</v>
      </c>
      <c r="DG10" s="33"/>
      <c r="DH10" s="30"/>
      <c r="DI10" s="2">
        <f t="shared" si="36"/>
        <v>0</v>
      </c>
      <c r="DJ10" s="33"/>
      <c r="DK10" s="30"/>
      <c r="DL10" s="2">
        <f t="shared" si="37"/>
        <v>0</v>
      </c>
      <c r="DM10" s="33"/>
      <c r="DN10" s="30"/>
      <c r="DO10" s="2">
        <f t="shared" si="38"/>
        <v>0</v>
      </c>
      <c r="DP10" s="70">
        <f t="shared" si="39"/>
        <v>0</v>
      </c>
      <c r="DQ10" s="67">
        <f t="shared" si="39"/>
        <v>0</v>
      </c>
      <c r="DR10" s="51">
        <f t="shared" si="39"/>
        <v>0</v>
      </c>
      <c r="DS10" s="33"/>
      <c r="DT10" s="30"/>
      <c r="DU10" s="2">
        <f t="shared" si="40"/>
        <v>0</v>
      </c>
      <c r="DV10" s="52">
        <f t="shared" si="41"/>
        <v>0</v>
      </c>
      <c r="DW10" s="53">
        <f t="shared" si="42"/>
        <v>10</v>
      </c>
      <c r="DX10" s="54">
        <f t="shared" si="42"/>
        <v>60000</v>
      </c>
    </row>
    <row r="11" spans="1:128" s="26" customFormat="1" ht="17.100000000000001" customHeight="1" thickBot="1" x14ac:dyDescent="0.25">
      <c r="A11" s="27" t="s">
        <v>29</v>
      </c>
      <c r="B11" s="19">
        <v>6000</v>
      </c>
      <c r="C11" s="29"/>
      <c r="D11" s="30"/>
      <c r="E11" s="2">
        <f t="shared" si="0"/>
        <v>0</v>
      </c>
      <c r="F11" s="29"/>
      <c r="G11" s="30"/>
      <c r="H11" s="2">
        <f t="shared" si="1"/>
        <v>0</v>
      </c>
      <c r="I11" s="29"/>
      <c r="J11" s="30"/>
      <c r="K11" s="2">
        <f t="shared" si="2"/>
        <v>0</v>
      </c>
      <c r="L11" s="31"/>
      <c r="M11" s="30"/>
      <c r="N11" s="2">
        <f t="shared" si="3"/>
        <v>0</v>
      </c>
      <c r="O11" s="31"/>
      <c r="P11" s="30"/>
      <c r="Q11" s="2">
        <f t="shared" si="4"/>
        <v>0</v>
      </c>
      <c r="R11" s="31"/>
      <c r="S11" s="30"/>
      <c r="T11" s="2">
        <f t="shared" si="5"/>
        <v>0</v>
      </c>
      <c r="U11" s="33"/>
      <c r="V11" s="30"/>
      <c r="W11" s="64">
        <f t="shared" si="6"/>
        <v>0</v>
      </c>
      <c r="X11" s="70">
        <f t="shared" si="7"/>
        <v>0</v>
      </c>
      <c r="Y11" s="67">
        <f t="shared" si="7"/>
        <v>0</v>
      </c>
      <c r="Z11" s="73">
        <f t="shared" si="7"/>
        <v>0</v>
      </c>
      <c r="AA11" s="35"/>
      <c r="AB11" s="30"/>
      <c r="AC11" s="2">
        <f t="shared" si="8"/>
        <v>0</v>
      </c>
      <c r="AD11" s="33"/>
      <c r="AE11" s="30">
        <v>1</v>
      </c>
      <c r="AF11" s="2">
        <f t="shared" si="9"/>
        <v>6000</v>
      </c>
      <c r="AG11" s="33"/>
      <c r="AH11" s="30"/>
      <c r="AI11" s="2">
        <f t="shared" si="10"/>
        <v>0</v>
      </c>
      <c r="AJ11" s="33"/>
      <c r="AK11" s="30"/>
      <c r="AL11" s="2">
        <f t="shared" si="11"/>
        <v>0</v>
      </c>
      <c r="AM11" s="33"/>
      <c r="AN11" s="30"/>
      <c r="AO11" s="2">
        <f t="shared" si="12"/>
        <v>0</v>
      </c>
      <c r="AP11" s="33"/>
      <c r="AQ11" s="30"/>
      <c r="AR11" s="2">
        <f t="shared" si="13"/>
        <v>0</v>
      </c>
      <c r="AS11" s="33"/>
      <c r="AT11" s="30"/>
      <c r="AU11" s="2">
        <f t="shared" si="14"/>
        <v>0</v>
      </c>
      <c r="AV11" s="70">
        <f t="shared" si="15"/>
        <v>0</v>
      </c>
      <c r="AW11" s="67">
        <f t="shared" si="15"/>
        <v>1</v>
      </c>
      <c r="AX11" s="51">
        <f t="shared" si="15"/>
        <v>6000</v>
      </c>
      <c r="AY11" s="33"/>
      <c r="AZ11" s="30"/>
      <c r="BA11" s="2">
        <f t="shared" si="16"/>
        <v>0</v>
      </c>
      <c r="BB11" s="33"/>
      <c r="BC11" s="30"/>
      <c r="BD11" s="2">
        <f t="shared" si="17"/>
        <v>0</v>
      </c>
      <c r="BE11" s="33"/>
      <c r="BF11" s="30"/>
      <c r="BG11" s="2">
        <f t="shared" si="18"/>
        <v>0</v>
      </c>
      <c r="BH11" s="33">
        <v>3000</v>
      </c>
      <c r="BI11" s="30"/>
      <c r="BJ11" s="2">
        <f t="shared" si="19"/>
        <v>0</v>
      </c>
      <c r="BK11" s="33"/>
      <c r="BL11" s="30"/>
      <c r="BM11" s="2">
        <f t="shared" si="20"/>
        <v>0</v>
      </c>
      <c r="BN11" s="33"/>
      <c r="BO11" s="30"/>
      <c r="BP11" s="2">
        <f t="shared" si="21"/>
        <v>0</v>
      </c>
      <c r="BQ11" s="33"/>
      <c r="BR11" s="30"/>
      <c r="BS11" s="2">
        <f t="shared" si="22"/>
        <v>0</v>
      </c>
      <c r="BT11" s="70">
        <f t="shared" si="23"/>
        <v>3000</v>
      </c>
      <c r="BU11" s="67">
        <f t="shared" si="23"/>
        <v>0</v>
      </c>
      <c r="BV11" s="51">
        <f t="shared" si="23"/>
        <v>0</v>
      </c>
      <c r="BW11" s="33"/>
      <c r="BX11" s="30">
        <v>1</v>
      </c>
      <c r="BY11" s="2">
        <f t="shared" si="24"/>
        <v>6000</v>
      </c>
      <c r="BZ11" s="33"/>
      <c r="CA11" s="30">
        <v>3</v>
      </c>
      <c r="CB11" s="2">
        <f t="shared" si="25"/>
        <v>18000</v>
      </c>
      <c r="CC11" s="33"/>
      <c r="CD11" s="30">
        <v>3</v>
      </c>
      <c r="CE11" s="2">
        <f t="shared" si="26"/>
        <v>18000</v>
      </c>
      <c r="CF11" s="33"/>
      <c r="CG11" s="30">
        <v>2</v>
      </c>
      <c r="CH11" s="2">
        <f t="shared" si="27"/>
        <v>12000</v>
      </c>
      <c r="CI11" s="33"/>
      <c r="CJ11" s="30">
        <v>2</v>
      </c>
      <c r="CK11" s="2">
        <f t="shared" si="28"/>
        <v>12000</v>
      </c>
      <c r="CL11" s="33"/>
      <c r="CM11" s="30"/>
      <c r="CN11" s="2">
        <f t="shared" si="29"/>
        <v>0</v>
      </c>
      <c r="CO11" s="33"/>
      <c r="CP11" s="30"/>
      <c r="CQ11" s="2">
        <f t="shared" si="30"/>
        <v>0</v>
      </c>
      <c r="CR11" s="70">
        <f t="shared" si="31"/>
        <v>0</v>
      </c>
      <c r="CS11" s="67">
        <f t="shared" si="31"/>
        <v>11</v>
      </c>
      <c r="CT11" s="51">
        <f t="shared" si="31"/>
        <v>66000</v>
      </c>
      <c r="CU11" s="33"/>
      <c r="CV11" s="30"/>
      <c r="CW11" s="2">
        <f t="shared" si="32"/>
        <v>0</v>
      </c>
      <c r="CX11" s="33"/>
      <c r="CY11" s="30"/>
      <c r="CZ11" s="2">
        <f t="shared" si="33"/>
        <v>0</v>
      </c>
      <c r="DA11" s="33"/>
      <c r="DB11" s="30"/>
      <c r="DC11" s="2">
        <f t="shared" si="34"/>
        <v>0</v>
      </c>
      <c r="DD11" s="33">
        <v>3000</v>
      </c>
      <c r="DE11" s="30"/>
      <c r="DF11" s="2">
        <f t="shared" si="35"/>
        <v>0</v>
      </c>
      <c r="DG11" s="33"/>
      <c r="DH11" s="30"/>
      <c r="DI11" s="2">
        <f t="shared" si="36"/>
        <v>0</v>
      </c>
      <c r="DJ11" s="33"/>
      <c r="DK11" s="30"/>
      <c r="DL11" s="2">
        <f t="shared" si="37"/>
        <v>0</v>
      </c>
      <c r="DM11" s="33"/>
      <c r="DN11" s="30"/>
      <c r="DO11" s="2">
        <f t="shared" si="38"/>
        <v>0</v>
      </c>
      <c r="DP11" s="70">
        <f t="shared" si="39"/>
        <v>3000</v>
      </c>
      <c r="DQ11" s="67">
        <f t="shared" si="39"/>
        <v>0</v>
      </c>
      <c r="DR11" s="51">
        <f t="shared" si="39"/>
        <v>0</v>
      </c>
      <c r="DS11" s="33"/>
      <c r="DT11" s="30"/>
      <c r="DU11" s="2">
        <f t="shared" si="40"/>
        <v>0</v>
      </c>
      <c r="DV11" s="52">
        <v>6000</v>
      </c>
      <c r="DW11" s="53">
        <f t="shared" si="42"/>
        <v>12</v>
      </c>
      <c r="DX11" s="54">
        <f t="shared" si="42"/>
        <v>72000</v>
      </c>
    </row>
    <row r="12" spans="1:128" s="26" customFormat="1" ht="17.100000000000001" customHeight="1" thickBot="1" x14ac:dyDescent="0.25">
      <c r="A12" s="27" t="s">
        <v>30</v>
      </c>
      <c r="B12" s="19">
        <v>6000</v>
      </c>
      <c r="C12" s="29"/>
      <c r="D12" s="30"/>
      <c r="E12" s="2">
        <f t="shared" si="0"/>
        <v>0</v>
      </c>
      <c r="F12" s="29"/>
      <c r="G12" s="30"/>
      <c r="H12" s="2">
        <f t="shared" si="1"/>
        <v>0</v>
      </c>
      <c r="I12" s="29"/>
      <c r="J12" s="30"/>
      <c r="K12" s="2">
        <f t="shared" si="2"/>
        <v>0</v>
      </c>
      <c r="L12" s="33"/>
      <c r="M12" s="30"/>
      <c r="N12" s="2">
        <f t="shared" si="3"/>
        <v>0</v>
      </c>
      <c r="O12" s="31"/>
      <c r="P12" s="30"/>
      <c r="Q12" s="2">
        <f t="shared" si="4"/>
        <v>0</v>
      </c>
      <c r="R12" s="31"/>
      <c r="S12" s="30"/>
      <c r="T12" s="2">
        <f t="shared" si="5"/>
        <v>0</v>
      </c>
      <c r="U12" s="33"/>
      <c r="V12" s="30"/>
      <c r="W12" s="64">
        <f t="shared" si="6"/>
        <v>0</v>
      </c>
      <c r="X12" s="70">
        <f t="shared" si="7"/>
        <v>0</v>
      </c>
      <c r="Y12" s="67">
        <f t="shared" si="7"/>
        <v>0</v>
      </c>
      <c r="Z12" s="73">
        <f t="shared" si="7"/>
        <v>0</v>
      </c>
      <c r="AA12" s="35"/>
      <c r="AB12" s="30"/>
      <c r="AC12" s="2">
        <f t="shared" si="8"/>
        <v>0</v>
      </c>
      <c r="AD12" s="33"/>
      <c r="AE12" s="30"/>
      <c r="AF12" s="2">
        <f t="shared" si="9"/>
        <v>0</v>
      </c>
      <c r="AG12" s="33"/>
      <c r="AH12" s="30"/>
      <c r="AI12" s="2">
        <f t="shared" si="10"/>
        <v>0</v>
      </c>
      <c r="AJ12" s="33"/>
      <c r="AK12" s="30"/>
      <c r="AL12" s="2">
        <f t="shared" si="11"/>
        <v>0</v>
      </c>
      <c r="AM12" s="33"/>
      <c r="AN12" s="30"/>
      <c r="AO12" s="2">
        <f t="shared" si="12"/>
        <v>0</v>
      </c>
      <c r="AP12" s="33"/>
      <c r="AQ12" s="30"/>
      <c r="AR12" s="2">
        <f t="shared" si="13"/>
        <v>0</v>
      </c>
      <c r="AS12" s="33"/>
      <c r="AT12" s="30"/>
      <c r="AU12" s="2">
        <f t="shared" si="14"/>
        <v>0</v>
      </c>
      <c r="AV12" s="70">
        <f t="shared" si="15"/>
        <v>0</v>
      </c>
      <c r="AW12" s="67">
        <f t="shared" si="15"/>
        <v>0</v>
      </c>
      <c r="AX12" s="51">
        <f t="shared" si="15"/>
        <v>0</v>
      </c>
      <c r="AY12" s="33"/>
      <c r="AZ12" s="30"/>
      <c r="BA12" s="2">
        <f t="shared" si="16"/>
        <v>0</v>
      </c>
      <c r="BB12" s="33"/>
      <c r="BC12" s="30"/>
      <c r="BD12" s="2">
        <f t="shared" si="17"/>
        <v>0</v>
      </c>
      <c r="BE12" s="33"/>
      <c r="BF12" s="30"/>
      <c r="BG12" s="2">
        <f t="shared" si="18"/>
        <v>0</v>
      </c>
      <c r="BH12" s="33"/>
      <c r="BI12" s="30"/>
      <c r="BJ12" s="2">
        <f t="shared" si="19"/>
        <v>0</v>
      </c>
      <c r="BK12" s="33"/>
      <c r="BL12" s="30"/>
      <c r="BM12" s="2">
        <f t="shared" si="20"/>
        <v>0</v>
      </c>
      <c r="BN12" s="33"/>
      <c r="BO12" s="30"/>
      <c r="BP12" s="2">
        <f t="shared" si="21"/>
        <v>0</v>
      </c>
      <c r="BQ12" s="33"/>
      <c r="BR12" s="30"/>
      <c r="BS12" s="2">
        <f t="shared" si="22"/>
        <v>0</v>
      </c>
      <c r="BT12" s="70">
        <f t="shared" si="23"/>
        <v>0</v>
      </c>
      <c r="BU12" s="67">
        <f t="shared" si="23"/>
        <v>0</v>
      </c>
      <c r="BV12" s="51">
        <f t="shared" si="23"/>
        <v>0</v>
      </c>
      <c r="BW12" s="33"/>
      <c r="BX12" s="30"/>
      <c r="BY12" s="2">
        <f t="shared" si="24"/>
        <v>0</v>
      </c>
      <c r="BZ12" s="33"/>
      <c r="CA12" s="30"/>
      <c r="CB12" s="2">
        <f t="shared" si="25"/>
        <v>0</v>
      </c>
      <c r="CC12" s="33"/>
      <c r="CD12" s="30"/>
      <c r="CE12" s="2">
        <f t="shared" si="26"/>
        <v>0</v>
      </c>
      <c r="CF12" s="33"/>
      <c r="CG12" s="30"/>
      <c r="CH12" s="2">
        <f t="shared" si="27"/>
        <v>0</v>
      </c>
      <c r="CI12" s="33"/>
      <c r="CJ12" s="30"/>
      <c r="CK12" s="2">
        <f t="shared" si="28"/>
        <v>0</v>
      </c>
      <c r="CL12" s="33"/>
      <c r="CM12" s="30"/>
      <c r="CN12" s="2">
        <f t="shared" si="29"/>
        <v>0</v>
      </c>
      <c r="CO12" s="33"/>
      <c r="CP12" s="30"/>
      <c r="CQ12" s="2">
        <f t="shared" si="30"/>
        <v>0</v>
      </c>
      <c r="CR12" s="70">
        <f t="shared" si="31"/>
        <v>0</v>
      </c>
      <c r="CS12" s="67">
        <f t="shared" si="31"/>
        <v>0</v>
      </c>
      <c r="CT12" s="51">
        <f t="shared" si="31"/>
        <v>0</v>
      </c>
      <c r="CU12" s="33"/>
      <c r="CV12" s="30"/>
      <c r="CW12" s="2">
        <f t="shared" si="32"/>
        <v>0</v>
      </c>
      <c r="CX12" s="33"/>
      <c r="CY12" s="30"/>
      <c r="CZ12" s="2">
        <f t="shared" si="33"/>
        <v>0</v>
      </c>
      <c r="DA12" s="33"/>
      <c r="DB12" s="30"/>
      <c r="DC12" s="2">
        <f t="shared" si="34"/>
        <v>0</v>
      </c>
      <c r="DD12" s="33"/>
      <c r="DE12" s="30"/>
      <c r="DF12" s="2">
        <f t="shared" si="35"/>
        <v>0</v>
      </c>
      <c r="DG12" s="33"/>
      <c r="DH12" s="30"/>
      <c r="DI12" s="2">
        <f t="shared" si="36"/>
        <v>0</v>
      </c>
      <c r="DJ12" s="33"/>
      <c r="DK12" s="30"/>
      <c r="DL12" s="2">
        <f t="shared" si="37"/>
        <v>0</v>
      </c>
      <c r="DM12" s="33"/>
      <c r="DN12" s="30"/>
      <c r="DO12" s="2">
        <f t="shared" si="38"/>
        <v>0</v>
      </c>
      <c r="DP12" s="70">
        <f t="shared" si="39"/>
        <v>0</v>
      </c>
      <c r="DQ12" s="67">
        <f t="shared" si="39"/>
        <v>0</v>
      </c>
      <c r="DR12" s="51">
        <f t="shared" si="39"/>
        <v>0</v>
      </c>
      <c r="DS12" s="33"/>
      <c r="DT12" s="30"/>
      <c r="DU12" s="2">
        <f t="shared" si="40"/>
        <v>0</v>
      </c>
      <c r="DV12" s="52">
        <f t="shared" si="41"/>
        <v>0</v>
      </c>
      <c r="DW12" s="53">
        <f t="shared" si="42"/>
        <v>0</v>
      </c>
      <c r="DX12" s="54">
        <f t="shared" si="42"/>
        <v>0</v>
      </c>
    </row>
    <row r="13" spans="1:128" s="26" customFormat="1" ht="17.100000000000001" customHeight="1" thickBot="1" x14ac:dyDescent="0.25">
      <c r="A13" s="27" t="s">
        <v>31</v>
      </c>
      <c r="B13" s="19">
        <v>6000</v>
      </c>
      <c r="C13" s="29"/>
      <c r="D13" s="30"/>
      <c r="E13" s="2">
        <f t="shared" si="0"/>
        <v>0</v>
      </c>
      <c r="F13" s="29"/>
      <c r="G13" s="30"/>
      <c r="H13" s="2">
        <f t="shared" si="1"/>
        <v>0</v>
      </c>
      <c r="I13" s="29"/>
      <c r="J13" s="30"/>
      <c r="K13" s="2">
        <f t="shared" si="2"/>
        <v>0</v>
      </c>
      <c r="L13" s="31"/>
      <c r="M13" s="30"/>
      <c r="N13" s="2">
        <f t="shared" si="3"/>
        <v>0</v>
      </c>
      <c r="O13" s="31"/>
      <c r="P13" s="30"/>
      <c r="Q13" s="2">
        <f t="shared" si="4"/>
        <v>0</v>
      </c>
      <c r="R13" s="31"/>
      <c r="S13" s="30"/>
      <c r="T13" s="2">
        <f t="shared" si="5"/>
        <v>0</v>
      </c>
      <c r="U13" s="33"/>
      <c r="V13" s="30"/>
      <c r="W13" s="64">
        <f t="shared" si="6"/>
        <v>0</v>
      </c>
      <c r="X13" s="70">
        <f t="shared" si="7"/>
        <v>0</v>
      </c>
      <c r="Y13" s="67">
        <f t="shared" si="7"/>
        <v>0</v>
      </c>
      <c r="Z13" s="73">
        <f t="shared" si="7"/>
        <v>0</v>
      </c>
      <c r="AA13" s="35"/>
      <c r="AB13" s="30"/>
      <c r="AC13" s="2">
        <f t="shared" si="8"/>
        <v>0</v>
      </c>
      <c r="AD13" s="33"/>
      <c r="AE13" s="30"/>
      <c r="AF13" s="2">
        <f t="shared" si="9"/>
        <v>0</v>
      </c>
      <c r="AG13" s="33"/>
      <c r="AH13" s="30"/>
      <c r="AI13" s="2">
        <f t="shared" si="10"/>
        <v>0</v>
      </c>
      <c r="AJ13" s="33"/>
      <c r="AK13" s="30"/>
      <c r="AL13" s="2">
        <f t="shared" si="11"/>
        <v>0</v>
      </c>
      <c r="AM13" s="33"/>
      <c r="AN13" s="30"/>
      <c r="AO13" s="2">
        <f t="shared" si="12"/>
        <v>0</v>
      </c>
      <c r="AP13" s="33"/>
      <c r="AQ13" s="30"/>
      <c r="AR13" s="2">
        <f t="shared" si="13"/>
        <v>0</v>
      </c>
      <c r="AS13" s="33"/>
      <c r="AT13" s="30"/>
      <c r="AU13" s="2">
        <f t="shared" si="14"/>
        <v>0</v>
      </c>
      <c r="AV13" s="70">
        <f t="shared" si="15"/>
        <v>0</v>
      </c>
      <c r="AW13" s="67">
        <f t="shared" si="15"/>
        <v>0</v>
      </c>
      <c r="AX13" s="51">
        <f t="shared" si="15"/>
        <v>0</v>
      </c>
      <c r="AY13" s="33"/>
      <c r="AZ13" s="30"/>
      <c r="BA13" s="2">
        <f t="shared" si="16"/>
        <v>0</v>
      </c>
      <c r="BB13" s="33"/>
      <c r="BC13" s="30"/>
      <c r="BD13" s="2">
        <f t="shared" si="17"/>
        <v>0</v>
      </c>
      <c r="BE13" s="33"/>
      <c r="BF13" s="30"/>
      <c r="BG13" s="2">
        <f t="shared" si="18"/>
        <v>0</v>
      </c>
      <c r="BH13" s="33"/>
      <c r="BI13" s="30"/>
      <c r="BJ13" s="2">
        <f t="shared" si="19"/>
        <v>0</v>
      </c>
      <c r="BK13" s="33"/>
      <c r="BL13" s="30"/>
      <c r="BM13" s="2">
        <f t="shared" si="20"/>
        <v>0</v>
      </c>
      <c r="BN13" s="33"/>
      <c r="BO13" s="30"/>
      <c r="BP13" s="2">
        <f t="shared" si="21"/>
        <v>0</v>
      </c>
      <c r="BQ13" s="33"/>
      <c r="BR13" s="30"/>
      <c r="BS13" s="2">
        <f t="shared" si="22"/>
        <v>0</v>
      </c>
      <c r="BT13" s="70">
        <f t="shared" si="23"/>
        <v>0</v>
      </c>
      <c r="BU13" s="67">
        <f t="shared" si="23"/>
        <v>0</v>
      </c>
      <c r="BV13" s="51">
        <f t="shared" si="23"/>
        <v>0</v>
      </c>
      <c r="BW13" s="33"/>
      <c r="BX13" s="30"/>
      <c r="BY13" s="2">
        <f t="shared" si="24"/>
        <v>0</v>
      </c>
      <c r="BZ13" s="33"/>
      <c r="CA13" s="30"/>
      <c r="CB13" s="2">
        <f t="shared" si="25"/>
        <v>0</v>
      </c>
      <c r="CC13" s="33"/>
      <c r="CD13" s="30"/>
      <c r="CE13" s="2">
        <f t="shared" si="26"/>
        <v>0</v>
      </c>
      <c r="CF13" s="33"/>
      <c r="CG13" s="30"/>
      <c r="CH13" s="2">
        <f t="shared" si="27"/>
        <v>0</v>
      </c>
      <c r="CI13" s="33"/>
      <c r="CJ13" s="30"/>
      <c r="CK13" s="2">
        <f t="shared" si="28"/>
        <v>0</v>
      </c>
      <c r="CL13" s="33"/>
      <c r="CM13" s="30"/>
      <c r="CN13" s="2">
        <f t="shared" si="29"/>
        <v>0</v>
      </c>
      <c r="CO13" s="33"/>
      <c r="CP13" s="30"/>
      <c r="CQ13" s="2">
        <f t="shared" si="30"/>
        <v>0</v>
      </c>
      <c r="CR13" s="70">
        <f t="shared" si="31"/>
        <v>0</v>
      </c>
      <c r="CS13" s="67">
        <f t="shared" si="31"/>
        <v>0</v>
      </c>
      <c r="CT13" s="51">
        <f t="shared" si="31"/>
        <v>0</v>
      </c>
      <c r="CU13" s="33"/>
      <c r="CV13" s="30"/>
      <c r="CW13" s="2">
        <f t="shared" si="32"/>
        <v>0</v>
      </c>
      <c r="CX13" s="33"/>
      <c r="CY13" s="30"/>
      <c r="CZ13" s="2">
        <f t="shared" si="33"/>
        <v>0</v>
      </c>
      <c r="DA13" s="33"/>
      <c r="DB13" s="30"/>
      <c r="DC13" s="2">
        <f t="shared" si="34"/>
        <v>0</v>
      </c>
      <c r="DD13" s="33"/>
      <c r="DE13" s="30"/>
      <c r="DF13" s="2">
        <f t="shared" si="35"/>
        <v>0</v>
      </c>
      <c r="DG13" s="33"/>
      <c r="DH13" s="30"/>
      <c r="DI13" s="2">
        <f t="shared" si="36"/>
        <v>0</v>
      </c>
      <c r="DJ13" s="33"/>
      <c r="DK13" s="30"/>
      <c r="DL13" s="2">
        <f t="shared" si="37"/>
        <v>0</v>
      </c>
      <c r="DM13" s="33"/>
      <c r="DN13" s="30"/>
      <c r="DO13" s="2">
        <f t="shared" si="38"/>
        <v>0</v>
      </c>
      <c r="DP13" s="70">
        <f t="shared" si="39"/>
        <v>0</v>
      </c>
      <c r="DQ13" s="67">
        <f t="shared" si="39"/>
        <v>0</v>
      </c>
      <c r="DR13" s="51">
        <f t="shared" si="39"/>
        <v>0</v>
      </c>
      <c r="DS13" s="33"/>
      <c r="DT13" s="30"/>
      <c r="DU13" s="2">
        <f t="shared" si="40"/>
        <v>0</v>
      </c>
      <c r="DV13" s="52">
        <f t="shared" si="41"/>
        <v>0</v>
      </c>
      <c r="DW13" s="53">
        <f t="shared" si="42"/>
        <v>0</v>
      </c>
      <c r="DX13" s="54">
        <f t="shared" si="42"/>
        <v>0</v>
      </c>
    </row>
    <row r="14" spans="1:128" s="26" customFormat="1" ht="17.100000000000001" customHeight="1" thickBot="1" x14ac:dyDescent="0.25">
      <c r="A14" s="27" t="s">
        <v>32</v>
      </c>
      <c r="B14" s="19">
        <v>6000</v>
      </c>
      <c r="C14" s="29"/>
      <c r="D14" s="30"/>
      <c r="E14" s="2">
        <f t="shared" si="0"/>
        <v>0</v>
      </c>
      <c r="F14" s="29"/>
      <c r="G14" s="30"/>
      <c r="H14" s="2">
        <f t="shared" si="1"/>
        <v>0</v>
      </c>
      <c r="I14" s="29"/>
      <c r="J14" s="30"/>
      <c r="K14" s="2">
        <f t="shared" si="2"/>
        <v>0</v>
      </c>
      <c r="L14" s="31"/>
      <c r="M14" s="30"/>
      <c r="N14" s="2">
        <f t="shared" si="3"/>
        <v>0</v>
      </c>
      <c r="O14" s="31"/>
      <c r="P14" s="30"/>
      <c r="Q14" s="2">
        <f t="shared" si="4"/>
        <v>0</v>
      </c>
      <c r="R14" s="31"/>
      <c r="S14" s="30"/>
      <c r="T14" s="2">
        <f t="shared" si="5"/>
        <v>0</v>
      </c>
      <c r="U14" s="33"/>
      <c r="V14" s="30"/>
      <c r="W14" s="64">
        <f t="shared" si="6"/>
        <v>0</v>
      </c>
      <c r="X14" s="70">
        <f t="shared" si="7"/>
        <v>0</v>
      </c>
      <c r="Y14" s="67">
        <f t="shared" si="7"/>
        <v>0</v>
      </c>
      <c r="Z14" s="73">
        <f t="shared" si="7"/>
        <v>0</v>
      </c>
      <c r="AA14" s="35"/>
      <c r="AB14" s="30"/>
      <c r="AC14" s="2">
        <f t="shared" si="8"/>
        <v>0</v>
      </c>
      <c r="AD14" s="33"/>
      <c r="AE14" s="30">
        <v>1</v>
      </c>
      <c r="AF14" s="2">
        <f t="shared" si="9"/>
        <v>6000</v>
      </c>
      <c r="AG14" s="33"/>
      <c r="AH14" s="30"/>
      <c r="AI14" s="2">
        <f t="shared" si="10"/>
        <v>0</v>
      </c>
      <c r="AJ14" s="33"/>
      <c r="AK14" s="30"/>
      <c r="AL14" s="2">
        <f t="shared" si="11"/>
        <v>0</v>
      </c>
      <c r="AM14" s="33"/>
      <c r="AN14" s="30"/>
      <c r="AO14" s="2">
        <f t="shared" si="12"/>
        <v>0</v>
      </c>
      <c r="AP14" s="33"/>
      <c r="AQ14" s="30"/>
      <c r="AR14" s="2">
        <f t="shared" si="13"/>
        <v>0</v>
      </c>
      <c r="AS14" s="33"/>
      <c r="AT14" s="30"/>
      <c r="AU14" s="2">
        <f t="shared" si="14"/>
        <v>0</v>
      </c>
      <c r="AV14" s="70">
        <f t="shared" si="15"/>
        <v>0</v>
      </c>
      <c r="AW14" s="67">
        <f t="shared" si="15"/>
        <v>1</v>
      </c>
      <c r="AX14" s="51">
        <f t="shared" si="15"/>
        <v>6000</v>
      </c>
      <c r="AY14" s="33"/>
      <c r="AZ14" s="30"/>
      <c r="BA14" s="2">
        <f t="shared" si="16"/>
        <v>0</v>
      </c>
      <c r="BB14" s="33"/>
      <c r="BC14" s="30"/>
      <c r="BD14" s="2">
        <f t="shared" si="17"/>
        <v>0</v>
      </c>
      <c r="BE14" s="33"/>
      <c r="BF14" s="30"/>
      <c r="BG14" s="2">
        <f t="shared" si="18"/>
        <v>0</v>
      </c>
      <c r="BH14" s="33"/>
      <c r="BI14" s="30"/>
      <c r="BJ14" s="2">
        <f t="shared" si="19"/>
        <v>0</v>
      </c>
      <c r="BK14" s="33"/>
      <c r="BL14" s="30"/>
      <c r="BM14" s="2">
        <f t="shared" si="20"/>
        <v>0</v>
      </c>
      <c r="BN14" s="33"/>
      <c r="BO14" s="30"/>
      <c r="BP14" s="2">
        <f t="shared" si="21"/>
        <v>0</v>
      </c>
      <c r="BQ14" s="33"/>
      <c r="BR14" s="30"/>
      <c r="BS14" s="2">
        <f t="shared" si="22"/>
        <v>0</v>
      </c>
      <c r="BT14" s="70">
        <f t="shared" si="23"/>
        <v>0</v>
      </c>
      <c r="BU14" s="67">
        <f t="shared" si="23"/>
        <v>0</v>
      </c>
      <c r="BV14" s="51">
        <f t="shared" si="23"/>
        <v>0</v>
      </c>
      <c r="BW14" s="33"/>
      <c r="BX14" s="30">
        <v>1</v>
      </c>
      <c r="BY14" s="2">
        <f t="shared" si="24"/>
        <v>6000</v>
      </c>
      <c r="BZ14" s="33"/>
      <c r="CA14" s="30"/>
      <c r="CB14" s="2">
        <f t="shared" si="25"/>
        <v>0</v>
      </c>
      <c r="CC14" s="33"/>
      <c r="CD14" s="30"/>
      <c r="CE14" s="2">
        <f t="shared" si="26"/>
        <v>0</v>
      </c>
      <c r="CF14" s="33"/>
      <c r="CG14" s="30"/>
      <c r="CH14" s="2">
        <f t="shared" si="27"/>
        <v>0</v>
      </c>
      <c r="CI14" s="33"/>
      <c r="CJ14" s="30">
        <v>2</v>
      </c>
      <c r="CK14" s="2">
        <f t="shared" si="28"/>
        <v>12000</v>
      </c>
      <c r="CL14" s="33"/>
      <c r="CM14" s="30"/>
      <c r="CN14" s="2">
        <f t="shared" si="29"/>
        <v>0</v>
      </c>
      <c r="CO14" s="33"/>
      <c r="CP14" s="30"/>
      <c r="CQ14" s="2">
        <f t="shared" si="30"/>
        <v>0</v>
      </c>
      <c r="CR14" s="70">
        <f t="shared" si="31"/>
        <v>0</v>
      </c>
      <c r="CS14" s="67">
        <f t="shared" si="31"/>
        <v>3</v>
      </c>
      <c r="CT14" s="51">
        <f t="shared" si="31"/>
        <v>18000</v>
      </c>
      <c r="CU14" s="33"/>
      <c r="CV14" s="30"/>
      <c r="CW14" s="2">
        <f t="shared" si="32"/>
        <v>0</v>
      </c>
      <c r="CX14" s="33"/>
      <c r="CY14" s="30"/>
      <c r="CZ14" s="2">
        <f t="shared" si="33"/>
        <v>0</v>
      </c>
      <c r="DA14" s="33"/>
      <c r="DB14" s="30"/>
      <c r="DC14" s="2">
        <f t="shared" si="34"/>
        <v>0</v>
      </c>
      <c r="DD14" s="33"/>
      <c r="DE14" s="30"/>
      <c r="DF14" s="2">
        <f t="shared" si="35"/>
        <v>0</v>
      </c>
      <c r="DG14" s="33"/>
      <c r="DH14" s="30"/>
      <c r="DI14" s="2">
        <f t="shared" si="36"/>
        <v>0</v>
      </c>
      <c r="DJ14" s="33">
        <v>20000</v>
      </c>
      <c r="DK14" s="30"/>
      <c r="DL14" s="2">
        <f t="shared" si="37"/>
        <v>0</v>
      </c>
      <c r="DM14" s="33"/>
      <c r="DN14" s="30"/>
      <c r="DO14" s="2">
        <f t="shared" si="38"/>
        <v>0</v>
      </c>
      <c r="DP14" s="70">
        <f t="shared" si="39"/>
        <v>20000</v>
      </c>
      <c r="DQ14" s="67">
        <f t="shared" si="39"/>
        <v>0</v>
      </c>
      <c r="DR14" s="51">
        <f t="shared" si="39"/>
        <v>0</v>
      </c>
      <c r="DS14" s="33"/>
      <c r="DT14" s="30"/>
      <c r="DU14" s="2">
        <f t="shared" si="40"/>
        <v>0</v>
      </c>
      <c r="DV14" s="52">
        <f t="shared" si="41"/>
        <v>20000</v>
      </c>
      <c r="DW14" s="53">
        <f t="shared" si="42"/>
        <v>4</v>
      </c>
      <c r="DX14" s="54">
        <f t="shared" si="42"/>
        <v>24000</v>
      </c>
    </row>
    <row r="15" spans="1:128" s="26" customFormat="1" ht="17.100000000000001" customHeight="1" thickBot="1" x14ac:dyDescent="0.25">
      <c r="A15" s="27" t="s">
        <v>36</v>
      </c>
      <c r="B15" s="19">
        <v>6000</v>
      </c>
      <c r="C15" s="29"/>
      <c r="D15" s="30"/>
      <c r="E15" s="2">
        <f t="shared" si="0"/>
        <v>0</v>
      </c>
      <c r="F15" s="29"/>
      <c r="G15" s="30"/>
      <c r="H15" s="2">
        <f t="shared" si="1"/>
        <v>0</v>
      </c>
      <c r="I15" s="29"/>
      <c r="J15" s="30"/>
      <c r="K15" s="2">
        <f t="shared" si="2"/>
        <v>0</v>
      </c>
      <c r="L15" s="31"/>
      <c r="M15" s="30"/>
      <c r="N15" s="2">
        <f t="shared" si="3"/>
        <v>0</v>
      </c>
      <c r="O15" s="31"/>
      <c r="P15" s="30"/>
      <c r="Q15" s="2">
        <f t="shared" si="4"/>
        <v>0</v>
      </c>
      <c r="R15" s="31"/>
      <c r="S15" s="30"/>
      <c r="T15" s="2">
        <f t="shared" si="5"/>
        <v>0</v>
      </c>
      <c r="U15" s="33"/>
      <c r="V15" s="30"/>
      <c r="W15" s="64">
        <f t="shared" si="6"/>
        <v>0</v>
      </c>
      <c r="X15" s="70">
        <f t="shared" si="7"/>
        <v>0</v>
      </c>
      <c r="Y15" s="67">
        <f t="shared" si="7"/>
        <v>0</v>
      </c>
      <c r="Z15" s="73">
        <f t="shared" si="7"/>
        <v>0</v>
      </c>
      <c r="AA15" s="35"/>
      <c r="AB15" s="30"/>
      <c r="AC15" s="2">
        <f t="shared" si="8"/>
        <v>0</v>
      </c>
      <c r="AD15" s="33"/>
      <c r="AE15" s="30"/>
      <c r="AF15" s="2">
        <f t="shared" si="9"/>
        <v>0</v>
      </c>
      <c r="AG15" s="33"/>
      <c r="AH15" s="30"/>
      <c r="AI15" s="2">
        <f t="shared" si="10"/>
        <v>0</v>
      </c>
      <c r="AJ15" s="33"/>
      <c r="AK15" s="30"/>
      <c r="AL15" s="2">
        <f t="shared" si="11"/>
        <v>0</v>
      </c>
      <c r="AM15" s="33"/>
      <c r="AN15" s="30"/>
      <c r="AO15" s="2">
        <f t="shared" si="12"/>
        <v>0</v>
      </c>
      <c r="AP15" s="33"/>
      <c r="AQ15" s="30"/>
      <c r="AR15" s="2">
        <f t="shared" si="13"/>
        <v>0</v>
      </c>
      <c r="AS15" s="33"/>
      <c r="AT15" s="30"/>
      <c r="AU15" s="2">
        <f t="shared" si="14"/>
        <v>0</v>
      </c>
      <c r="AV15" s="70">
        <f t="shared" si="15"/>
        <v>0</v>
      </c>
      <c r="AW15" s="67">
        <f t="shared" si="15"/>
        <v>0</v>
      </c>
      <c r="AX15" s="51">
        <f t="shared" si="15"/>
        <v>0</v>
      </c>
      <c r="AY15" s="33"/>
      <c r="AZ15" s="30"/>
      <c r="BA15" s="2">
        <f t="shared" si="16"/>
        <v>0</v>
      </c>
      <c r="BB15" s="33"/>
      <c r="BC15" s="30"/>
      <c r="BD15" s="2">
        <f t="shared" si="17"/>
        <v>0</v>
      </c>
      <c r="BE15" s="33"/>
      <c r="BF15" s="30"/>
      <c r="BG15" s="2">
        <f t="shared" si="18"/>
        <v>0</v>
      </c>
      <c r="BH15" s="33"/>
      <c r="BI15" s="30"/>
      <c r="BJ15" s="2">
        <f t="shared" si="19"/>
        <v>0</v>
      </c>
      <c r="BK15" s="33"/>
      <c r="BL15" s="30"/>
      <c r="BM15" s="2">
        <f t="shared" si="20"/>
        <v>0</v>
      </c>
      <c r="BN15" s="33"/>
      <c r="BO15" s="30"/>
      <c r="BP15" s="2">
        <f t="shared" si="21"/>
        <v>0</v>
      </c>
      <c r="BQ15" s="33"/>
      <c r="BR15" s="30"/>
      <c r="BS15" s="2">
        <f t="shared" si="22"/>
        <v>0</v>
      </c>
      <c r="BT15" s="70">
        <f t="shared" si="23"/>
        <v>0</v>
      </c>
      <c r="BU15" s="67">
        <f t="shared" si="23"/>
        <v>0</v>
      </c>
      <c r="BV15" s="51">
        <f t="shared" si="23"/>
        <v>0</v>
      </c>
      <c r="BW15" s="33"/>
      <c r="BX15" s="30"/>
      <c r="BY15" s="2">
        <f t="shared" si="24"/>
        <v>0</v>
      </c>
      <c r="BZ15" s="33"/>
      <c r="CA15" s="30"/>
      <c r="CB15" s="2">
        <f t="shared" si="25"/>
        <v>0</v>
      </c>
      <c r="CC15" s="33"/>
      <c r="CD15" s="30"/>
      <c r="CE15" s="2">
        <f t="shared" si="26"/>
        <v>0</v>
      </c>
      <c r="CF15" s="33"/>
      <c r="CG15" s="30"/>
      <c r="CH15" s="2">
        <f t="shared" si="27"/>
        <v>0</v>
      </c>
      <c r="CI15" s="33"/>
      <c r="CJ15" s="30"/>
      <c r="CK15" s="2">
        <f t="shared" si="28"/>
        <v>0</v>
      </c>
      <c r="CL15" s="33"/>
      <c r="CM15" s="30"/>
      <c r="CN15" s="2">
        <f t="shared" si="29"/>
        <v>0</v>
      </c>
      <c r="CO15" s="33"/>
      <c r="CP15" s="30"/>
      <c r="CQ15" s="2">
        <f t="shared" si="30"/>
        <v>0</v>
      </c>
      <c r="CR15" s="70">
        <f t="shared" si="31"/>
        <v>0</v>
      </c>
      <c r="CS15" s="67">
        <f t="shared" si="31"/>
        <v>0</v>
      </c>
      <c r="CT15" s="51">
        <f t="shared" si="31"/>
        <v>0</v>
      </c>
      <c r="CU15" s="33"/>
      <c r="CV15" s="30"/>
      <c r="CW15" s="2">
        <f t="shared" si="32"/>
        <v>0</v>
      </c>
      <c r="CX15" s="33"/>
      <c r="CY15" s="30"/>
      <c r="CZ15" s="2">
        <f t="shared" si="33"/>
        <v>0</v>
      </c>
      <c r="DA15" s="33"/>
      <c r="DB15" s="30"/>
      <c r="DC15" s="2">
        <f t="shared" si="34"/>
        <v>0</v>
      </c>
      <c r="DD15" s="33"/>
      <c r="DE15" s="30"/>
      <c r="DF15" s="2">
        <f t="shared" si="35"/>
        <v>0</v>
      </c>
      <c r="DG15" s="33"/>
      <c r="DH15" s="30"/>
      <c r="DI15" s="2">
        <f t="shared" si="36"/>
        <v>0</v>
      </c>
      <c r="DJ15" s="33"/>
      <c r="DK15" s="30"/>
      <c r="DL15" s="2">
        <f t="shared" si="37"/>
        <v>0</v>
      </c>
      <c r="DM15" s="33"/>
      <c r="DN15" s="30"/>
      <c r="DO15" s="2">
        <f t="shared" si="38"/>
        <v>0</v>
      </c>
      <c r="DP15" s="70">
        <f t="shared" si="39"/>
        <v>0</v>
      </c>
      <c r="DQ15" s="67">
        <f t="shared" si="39"/>
        <v>0</v>
      </c>
      <c r="DR15" s="51">
        <f t="shared" si="39"/>
        <v>0</v>
      </c>
      <c r="DS15" s="33"/>
      <c r="DT15" s="30"/>
      <c r="DU15" s="2">
        <f t="shared" si="40"/>
        <v>0</v>
      </c>
      <c r="DV15" s="52">
        <f t="shared" si="41"/>
        <v>0</v>
      </c>
      <c r="DW15" s="53">
        <f t="shared" si="42"/>
        <v>0</v>
      </c>
      <c r="DX15" s="54">
        <f t="shared" si="42"/>
        <v>0</v>
      </c>
    </row>
    <row r="16" spans="1:128" s="26" customFormat="1" ht="17.100000000000001" customHeight="1" thickBot="1" x14ac:dyDescent="0.25">
      <c r="A16" s="27" t="s">
        <v>33</v>
      </c>
      <c r="B16" s="19">
        <v>6000</v>
      </c>
      <c r="C16" s="29"/>
      <c r="D16" s="30"/>
      <c r="E16" s="2">
        <f t="shared" si="0"/>
        <v>0</v>
      </c>
      <c r="F16" s="29"/>
      <c r="G16" s="30"/>
      <c r="H16" s="2">
        <f t="shared" si="1"/>
        <v>0</v>
      </c>
      <c r="I16" s="29"/>
      <c r="J16" s="30"/>
      <c r="K16" s="2">
        <f t="shared" si="2"/>
        <v>0</v>
      </c>
      <c r="L16" s="31"/>
      <c r="M16" s="30"/>
      <c r="N16" s="2">
        <f t="shared" si="3"/>
        <v>0</v>
      </c>
      <c r="O16" s="31"/>
      <c r="P16" s="30"/>
      <c r="Q16" s="2">
        <f t="shared" si="4"/>
        <v>0</v>
      </c>
      <c r="R16" s="31"/>
      <c r="S16" s="30"/>
      <c r="T16" s="2">
        <f t="shared" si="5"/>
        <v>0</v>
      </c>
      <c r="U16" s="33"/>
      <c r="V16" s="30"/>
      <c r="W16" s="64">
        <f t="shared" si="6"/>
        <v>0</v>
      </c>
      <c r="X16" s="70">
        <f t="shared" si="7"/>
        <v>0</v>
      </c>
      <c r="Y16" s="67">
        <f t="shared" si="7"/>
        <v>0</v>
      </c>
      <c r="Z16" s="73">
        <f t="shared" si="7"/>
        <v>0</v>
      </c>
      <c r="AA16" s="35"/>
      <c r="AB16" s="30"/>
      <c r="AC16" s="2">
        <f t="shared" si="8"/>
        <v>0</v>
      </c>
      <c r="AD16" s="33"/>
      <c r="AE16" s="30">
        <v>2</v>
      </c>
      <c r="AF16" s="2">
        <f t="shared" si="9"/>
        <v>12000</v>
      </c>
      <c r="AG16" s="33"/>
      <c r="AH16" s="30"/>
      <c r="AI16" s="2">
        <f t="shared" si="10"/>
        <v>0</v>
      </c>
      <c r="AJ16" s="33"/>
      <c r="AK16" s="30"/>
      <c r="AL16" s="2">
        <f t="shared" si="11"/>
        <v>0</v>
      </c>
      <c r="AM16" s="33"/>
      <c r="AN16" s="30"/>
      <c r="AO16" s="2">
        <f t="shared" si="12"/>
        <v>0</v>
      </c>
      <c r="AP16" s="33"/>
      <c r="AQ16" s="30"/>
      <c r="AR16" s="2">
        <f t="shared" si="13"/>
        <v>0</v>
      </c>
      <c r="AS16" s="33"/>
      <c r="AT16" s="30"/>
      <c r="AU16" s="2">
        <f t="shared" si="14"/>
        <v>0</v>
      </c>
      <c r="AV16" s="70">
        <f t="shared" si="15"/>
        <v>0</v>
      </c>
      <c r="AW16" s="67">
        <f t="shared" si="15"/>
        <v>2</v>
      </c>
      <c r="AX16" s="51">
        <f t="shared" si="15"/>
        <v>12000</v>
      </c>
      <c r="AY16" s="33"/>
      <c r="AZ16" s="30"/>
      <c r="BA16" s="2">
        <f t="shared" si="16"/>
        <v>0</v>
      </c>
      <c r="BB16" s="33"/>
      <c r="BC16" s="30"/>
      <c r="BD16" s="2">
        <f t="shared" si="17"/>
        <v>0</v>
      </c>
      <c r="BE16" s="33"/>
      <c r="BF16" s="30"/>
      <c r="BG16" s="2">
        <f t="shared" si="18"/>
        <v>0</v>
      </c>
      <c r="BH16" s="33"/>
      <c r="BI16" s="30"/>
      <c r="BJ16" s="2">
        <f t="shared" si="19"/>
        <v>0</v>
      </c>
      <c r="BK16" s="33"/>
      <c r="BL16" s="30"/>
      <c r="BM16" s="2">
        <f t="shared" si="20"/>
        <v>0</v>
      </c>
      <c r="BN16" s="33"/>
      <c r="BO16" s="30"/>
      <c r="BP16" s="2">
        <f t="shared" si="21"/>
        <v>0</v>
      </c>
      <c r="BQ16" s="33"/>
      <c r="BR16" s="30"/>
      <c r="BS16" s="2">
        <f t="shared" si="22"/>
        <v>0</v>
      </c>
      <c r="BT16" s="70">
        <f t="shared" si="23"/>
        <v>0</v>
      </c>
      <c r="BU16" s="67">
        <f t="shared" si="23"/>
        <v>0</v>
      </c>
      <c r="BV16" s="51">
        <f t="shared" si="23"/>
        <v>0</v>
      </c>
      <c r="BW16" s="33"/>
      <c r="BX16" s="30">
        <v>1</v>
      </c>
      <c r="BY16" s="2">
        <f t="shared" si="24"/>
        <v>6000</v>
      </c>
      <c r="BZ16" s="33"/>
      <c r="CA16" s="30"/>
      <c r="CB16" s="2">
        <f t="shared" si="25"/>
        <v>0</v>
      </c>
      <c r="CC16" s="33"/>
      <c r="CD16" s="30">
        <v>3</v>
      </c>
      <c r="CE16" s="2">
        <f t="shared" si="26"/>
        <v>18000</v>
      </c>
      <c r="CF16" s="33"/>
      <c r="CG16" s="30">
        <v>2</v>
      </c>
      <c r="CH16" s="2">
        <f t="shared" si="27"/>
        <v>12000</v>
      </c>
      <c r="CI16" s="33"/>
      <c r="CJ16" s="30">
        <v>2</v>
      </c>
      <c r="CK16" s="2">
        <f t="shared" si="28"/>
        <v>12000</v>
      </c>
      <c r="CL16" s="33"/>
      <c r="CM16" s="30"/>
      <c r="CN16" s="2">
        <f t="shared" si="29"/>
        <v>0</v>
      </c>
      <c r="CO16" s="33"/>
      <c r="CP16" s="30">
        <v>1</v>
      </c>
      <c r="CQ16" s="2">
        <f t="shared" si="30"/>
        <v>6000</v>
      </c>
      <c r="CR16" s="70">
        <f t="shared" si="31"/>
        <v>0</v>
      </c>
      <c r="CS16" s="67">
        <f t="shared" si="31"/>
        <v>9</v>
      </c>
      <c r="CT16" s="51">
        <f t="shared" si="31"/>
        <v>54000</v>
      </c>
      <c r="CU16" s="33"/>
      <c r="CV16" s="30"/>
      <c r="CW16" s="2">
        <f t="shared" si="32"/>
        <v>0</v>
      </c>
      <c r="CX16" s="33"/>
      <c r="CY16" s="30"/>
      <c r="CZ16" s="2">
        <f t="shared" si="33"/>
        <v>0</v>
      </c>
      <c r="DA16" s="33"/>
      <c r="DB16" s="30"/>
      <c r="DC16" s="2">
        <f t="shared" si="34"/>
        <v>0</v>
      </c>
      <c r="DD16" s="33"/>
      <c r="DE16" s="30"/>
      <c r="DF16" s="2">
        <f t="shared" si="35"/>
        <v>0</v>
      </c>
      <c r="DG16" s="33"/>
      <c r="DH16" s="30"/>
      <c r="DI16" s="2">
        <f t="shared" si="36"/>
        <v>0</v>
      </c>
      <c r="DJ16" s="33"/>
      <c r="DK16" s="30"/>
      <c r="DL16" s="2">
        <f t="shared" si="37"/>
        <v>0</v>
      </c>
      <c r="DM16" s="33"/>
      <c r="DN16" s="30"/>
      <c r="DO16" s="2">
        <f t="shared" si="38"/>
        <v>0</v>
      </c>
      <c r="DP16" s="70">
        <f t="shared" si="39"/>
        <v>0</v>
      </c>
      <c r="DQ16" s="67">
        <f t="shared" si="39"/>
        <v>0</v>
      </c>
      <c r="DR16" s="51">
        <f t="shared" si="39"/>
        <v>0</v>
      </c>
      <c r="DS16" s="33"/>
      <c r="DT16" s="30"/>
      <c r="DU16" s="2">
        <f t="shared" si="40"/>
        <v>0</v>
      </c>
      <c r="DV16" s="52">
        <f t="shared" si="41"/>
        <v>0</v>
      </c>
      <c r="DW16" s="53">
        <f t="shared" si="42"/>
        <v>11</v>
      </c>
      <c r="DX16" s="54">
        <f t="shared" si="42"/>
        <v>66000</v>
      </c>
    </row>
    <row r="17" spans="1:128" s="26" customFormat="1" ht="17.100000000000001" customHeight="1" thickBot="1" x14ac:dyDescent="0.25">
      <c r="A17" s="27" t="s">
        <v>39</v>
      </c>
      <c r="B17" s="19">
        <v>6000</v>
      </c>
      <c r="C17" s="29"/>
      <c r="D17" s="30"/>
      <c r="E17" s="2">
        <f t="shared" si="0"/>
        <v>0</v>
      </c>
      <c r="F17" s="29"/>
      <c r="G17" s="30"/>
      <c r="H17" s="2">
        <f t="shared" si="1"/>
        <v>0</v>
      </c>
      <c r="I17" s="29"/>
      <c r="J17" s="30"/>
      <c r="K17" s="2">
        <f t="shared" si="2"/>
        <v>0</v>
      </c>
      <c r="L17" s="31"/>
      <c r="M17" s="30"/>
      <c r="N17" s="2">
        <f t="shared" si="3"/>
        <v>0</v>
      </c>
      <c r="O17" s="31"/>
      <c r="P17" s="30"/>
      <c r="Q17" s="2">
        <f t="shared" si="4"/>
        <v>0</v>
      </c>
      <c r="R17" s="31"/>
      <c r="S17" s="30"/>
      <c r="T17" s="2">
        <f t="shared" si="5"/>
        <v>0</v>
      </c>
      <c r="U17" s="33">
        <v>15000</v>
      </c>
      <c r="V17" s="30"/>
      <c r="W17" s="64">
        <f t="shared" si="6"/>
        <v>0</v>
      </c>
      <c r="X17" s="70">
        <f t="shared" si="7"/>
        <v>15000</v>
      </c>
      <c r="Y17" s="67">
        <f t="shared" si="7"/>
        <v>0</v>
      </c>
      <c r="Z17" s="73">
        <f t="shared" si="7"/>
        <v>0</v>
      </c>
      <c r="AA17" s="35"/>
      <c r="AB17" s="30"/>
      <c r="AC17" s="2">
        <f t="shared" si="8"/>
        <v>0</v>
      </c>
      <c r="AD17" s="33"/>
      <c r="AE17" s="30">
        <v>1</v>
      </c>
      <c r="AF17" s="2">
        <f t="shared" si="9"/>
        <v>6000</v>
      </c>
      <c r="AG17" s="33"/>
      <c r="AH17" s="30"/>
      <c r="AI17" s="2">
        <f t="shared" si="10"/>
        <v>0</v>
      </c>
      <c r="AJ17" s="33"/>
      <c r="AK17" s="30"/>
      <c r="AL17" s="2">
        <f t="shared" si="11"/>
        <v>0</v>
      </c>
      <c r="AM17" s="33"/>
      <c r="AN17" s="30"/>
      <c r="AO17" s="2">
        <f t="shared" si="12"/>
        <v>0</v>
      </c>
      <c r="AP17" s="33"/>
      <c r="AQ17" s="30"/>
      <c r="AR17" s="2">
        <f t="shared" si="13"/>
        <v>0</v>
      </c>
      <c r="AS17" s="33"/>
      <c r="AT17" s="30"/>
      <c r="AU17" s="2">
        <f t="shared" si="14"/>
        <v>0</v>
      </c>
      <c r="AV17" s="70">
        <f t="shared" si="15"/>
        <v>0</v>
      </c>
      <c r="AW17" s="67">
        <f t="shared" si="15"/>
        <v>1</v>
      </c>
      <c r="AX17" s="51">
        <f t="shared" si="15"/>
        <v>6000</v>
      </c>
      <c r="AY17" s="33"/>
      <c r="AZ17" s="30"/>
      <c r="BA17" s="2">
        <f t="shared" si="16"/>
        <v>0</v>
      </c>
      <c r="BB17" s="33"/>
      <c r="BC17" s="30"/>
      <c r="BD17" s="2">
        <f t="shared" si="17"/>
        <v>0</v>
      </c>
      <c r="BE17" s="33"/>
      <c r="BF17" s="30"/>
      <c r="BG17" s="2">
        <f t="shared" si="18"/>
        <v>0</v>
      </c>
      <c r="BH17" s="33"/>
      <c r="BI17" s="30"/>
      <c r="BJ17" s="2">
        <f t="shared" si="19"/>
        <v>0</v>
      </c>
      <c r="BK17" s="33"/>
      <c r="BL17" s="30"/>
      <c r="BM17" s="2">
        <f t="shared" si="20"/>
        <v>0</v>
      </c>
      <c r="BN17" s="33"/>
      <c r="BO17" s="30"/>
      <c r="BP17" s="2">
        <f t="shared" si="21"/>
        <v>0</v>
      </c>
      <c r="BQ17" s="33"/>
      <c r="BR17" s="30"/>
      <c r="BS17" s="2">
        <f t="shared" si="22"/>
        <v>0</v>
      </c>
      <c r="BT17" s="70">
        <f t="shared" si="23"/>
        <v>0</v>
      </c>
      <c r="BU17" s="67">
        <f t="shared" si="23"/>
        <v>0</v>
      </c>
      <c r="BV17" s="51">
        <f t="shared" si="23"/>
        <v>0</v>
      </c>
      <c r="BW17" s="33"/>
      <c r="BX17" s="30">
        <v>1</v>
      </c>
      <c r="BY17" s="2">
        <f t="shared" si="24"/>
        <v>6000</v>
      </c>
      <c r="BZ17" s="33"/>
      <c r="CA17" s="30">
        <v>3</v>
      </c>
      <c r="CB17" s="2">
        <f t="shared" si="25"/>
        <v>18000</v>
      </c>
      <c r="CC17" s="33"/>
      <c r="CD17" s="30">
        <v>3</v>
      </c>
      <c r="CE17" s="2">
        <f t="shared" si="26"/>
        <v>18000</v>
      </c>
      <c r="CF17" s="33"/>
      <c r="CG17" s="30">
        <v>2</v>
      </c>
      <c r="CH17" s="2">
        <f t="shared" si="27"/>
        <v>12000</v>
      </c>
      <c r="CI17" s="33"/>
      <c r="CJ17" s="30">
        <v>2</v>
      </c>
      <c r="CK17" s="2">
        <f t="shared" si="28"/>
        <v>12000</v>
      </c>
      <c r="CL17" s="33"/>
      <c r="CM17" s="30"/>
      <c r="CN17" s="2">
        <f t="shared" si="29"/>
        <v>0</v>
      </c>
      <c r="CO17" s="33"/>
      <c r="CP17" s="30"/>
      <c r="CQ17" s="2">
        <f t="shared" si="30"/>
        <v>0</v>
      </c>
      <c r="CR17" s="70">
        <f t="shared" si="31"/>
        <v>0</v>
      </c>
      <c r="CS17" s="67">
        <f t="shared" si="31"/>
        <v>11</v>
      </c>
      <c r="CT17" s="51">
        <f t="shared" si="31"/>
        <v>66000</v>
      </c>
      <c r="CU17" s="33"/>
      <c r="CV17" s="30"/>
      <c r="CW17" s="2">
        <f t="shared" si="32"/>
        <v>0</v>
      </c>
      <c r="CX17" s="33"/>
      <c r="CY17" s="30"/>
      <c r="CZ17" s="2">
        <f t="shared" si="33"/>
        <v>0</v>
      </c>
      <c r="DA17" s="33"/>
      <c r="DB17" s="30"/>
      <c r="DC17" s="2">
        <f t="shared" si="34"/>
        <v>0</v>
      </c>
      <c r="DD17" s="33">
        <v>20000</v>
      </c>
      <c r="DE17" s="30"/>
      <c r="DF17" s="2">
        <f t="shared" si="35"/>
        <v>0</v>
      </c>
      <c r="DG17" s="33"/>
      <c r="DH17" s="30"/>
      <c r="DI17" s="2">
        <f t="shared" si="36"/>
        <v>0</v>
      </c>
      <c r="DJ17" s="33">
        <v>10000</v>
      </c>
      <c r="DK17" s="30"/>
      <c r="DL17" s="2">
        <f t="shared" si="37"/>
        <v>0</v>
      </c>
      <c r="DM17" s="33"/>
      <c r="DN17" s="30"/>
      <c r="DO17" s="2">
        <f t="shared" si="38"/>
        <v>0</v>
      </c>
      <c r="DP17" s="70">
        <f t="shared" si="39"/>
        <v>30000</v>
      </c>
      <c r="DQ17" s="67">
        <f t="shared" si="39"/>
        <v>0</v>
      </c>
      <c r="DR17" s="51">
        <f t="shared" si="39"/>
        <v>0</v>
      </c>
      <c r="DS17" s="33"/>
      <c r="DT17" s="30"/>
      <c r="DU17" s="2">
        <f t="shared" si="40"/>
        <v>0</v>
      </c>
      <c r="DV17" s="52">
        <f t="shared" si="41"/>
        <v>45000</v>
      </c>
      <c r="DW17" s="53">
        <f t="shared" si="42"/>
        <v>12</v>
      </c>
      <c r="DX17" s="54">
        <f t="shared" si="42"/>
        <v>72000</v>
      </c>
    </row>
    <row r="18" spans="1:128" s="26" customFormat="1" ht="17.100000000000001" customHeight="1" thickBot="1" x14ac:dyDescent="0.25">
      <c r="A18" s="27" t="s">
        <v>38</v>
      </c>
      <c r="B18" s="19">
        <v>6000</v>
      </c>
      <c r="C18" s="29"/>
      <c r="D18" s="30"/>
      <c r="E18" s="2">
        <f t="shared" si="0"/>
        <v>0</v>
      </c>
      <c r="F18" s="29"/>
      <c r="G18" s="30"/>
      <c r="H18" s="2">
        <f t="shared" si="1"/>
        <v>0</v>
      </c>
      <c r="I18" s="29"/>
      <c r="J18" s="30"/>
      <c r="K18" s="2">
        <f t="shared" si="2"/>
        <v>0</v>
      </c>
      <c r="L18" s="31"/>
      <c r="M18" s="30"/>
      <c r="N18" s="2">
        <f t="shared" si="3"/>
        <v>0</v>
      </c>
      <c r="O18" s="31"/>
      <c r="P18" s="30"/>
      <c r="Q18" s="2">
        <f t="shared" si="4"/>
        <v>0</v>
      </c>
      <c r="R18" s="31"/>
      <c r="S18" s="30"/>
      <c r="T18" s="2">
        <f t="shared" si="5"/>
        <v>0</v>
      </c>
      <c r="U18" s="33">
        <v>19000</v>
      </c>
      <c r="V18" s="30"/>
      <c r="W18" s="64">
        <f t="shared" si="6"/>
        <v>0</v>
      </c>
      <c r="X18" s="70">
        <f t="shared" si="7"/>
        <v>19000</v>
      </c>
      <c r="Y18" s="67">
        <f t="shared" si="7"/>
        <v>0</v>
      </c>
      <c r="Z18" s="73">
        <f t="shared" si="7"/>
        <v>0</v>
      </c>
      <c r="AA18" s="35"/>
      <c r="AB18" s="30"/>
      <c r="AC18" s="2">
        <f t="shared" si="8"/>
        <v>0</v>
      </c>
      <c r="AD18" s="33"/>
      <c r="AE18" s="30"/>
      <c r="AF18" s="2">
        <f t="shared" si="9"/>
        <v>0</v>
      </c>
      <c r="AG18" s="33"/>
      <c r="AH18" s="30"/>
      <c r="AI18" s="2">
        <f t="shared" si="10"/>
        <v>0</v>
      </c>
      <c r="AJ18" s="33"/>
      <c r="AK18" s="30"/>
      <c r="AL18" s="2">
        <f t="shared" si="11"/>
        <v>0</v>
      </c>
      <c r="AM18" s="33"/>
      <c r="AN18" s="30"/>
      <c r="AO18" s="2">
        <f t="shared" si="12"/>
        <v>0</v>
      </c>
      <c r="AP18" s="33"/>
      <c r="AQ18" s="30"/>
      <c r="AR18" s="2">
        <f t="shared" si="13"/>
        <v>0</v>
      </c>
      <c r="AS18" s="33"/>
      <c r="AT18" s="30"/>
      <c r="AU18" s="2">
        <f t="shared" si="14"/>
        <v>0</v>
      </c>
      <c r="AV18" s="70">
        <f t="shared" si="15"/>
        <v>0</v>
      </c>
      <c r="AW18" s="67">
        <f t="shared" si="15"/>
        <v>0</v>
      </c>
      <c r="AX18" s="51">
        <f t="shared" si="15"/>
        <v>0</v>
      </c>
      <c r="AY18" s="33"/>
      <c r="AZ18" s="30"/>
      <c r="BA18" s="2">
        <f t="shared" si="16"/>
        <v>0</v>
      </c>
      <c r="BB18" s="33"/>
      <c r="BC18" s="30"/>
      <c r="BD18" s="2">
        <f t="shared" si="17"/>
        <v>0</v>
      </c>
      <c r="BE18" s="33"/>
      <c r="BF18" s="30"/>
      <c r="BG18" s="2">
        <f t="shared" si="18"/>
        <v>0</v>
      </c>
      <c r="BH18" s="33"/>
      <c r="BI18" s="30"/>
      <c r="BJ18" s="2">
        <f t="shared" si="19"/>
        <v>0</v>
      </c>
      <c r="BK18" s="33"/>
      <c r="BL18" s="30"/>
      <c r="BM18" s="2">
        <f t="shared" si="20"/>
        <v>0</v>
      </c>
      <c r="BN18" s="33"/>
      <c r="BO18" s="30"/>
      <c r="BP18" s="2">
        <f t="shared" si="21"/>
        <v>0</v>
      </c>
      <c r="BQ18" s="33"/>
      <c r="BR18" s="30"/>
      <c r="BS18" s="2">
        <f t="shared" si="22"/>
        <v>0</v>
      </c>
      <c r="BT18" s="70">
        <f t="shared" si="23"/>
        <v>0</v>
      </c>
      <c r="BU18" s="67">
        <f t="shared" si="23"/>
        <v>0</v>
      </c>
      <c r="BV18" s="51">
        <f t="shared" si="23"/>
        <v>0</v>
      </c>
      <c r="BW18" s="33"/>
      <c r="BX18" s="30"/>
      <c r="BY18" s="2">
        <f t="shared" si="24"/>
        <v>0</v>
      </c>
      <c r="BZ18" s="33"/>
      <c r="CA18" s="30"/>
      <c r="CB18" s="2">
        <f t="shared" si="25"/>
        <v>0</v>
      </c>
      <c r="CC18" s="33"/>
      <c r="CD18" s="30"/>
      <c r="CE18" s="2">
        <f t="shared" si="26"/>
        <v>0</v>
      </c>
      <c r="CF18" s="33"/>
      <c r="CG18" s="30"/>
      <c r="CH18" s="2">
        <f t="shared" si="27"/>
        <v>0</v>
      </c>
      <c r="CI18" s="33"/>
      <c r="CJ18" s="30">
        <v>1</v>
      </c>
      <c r="CK18" s="2">
        <f t="shared" si="28"/>
        <v>6000</v>
      </c>
      <c r="CL18" s="33"/>
      <c r="CM18" s="30"/>
      <c r="CN18" s="2">
        <f t="shared" si="29"/>
        <v>0</v>
      </c>
      <c r="CO18" s="33"/>
      <c r="CP18" s="30"/>
      <c r="CQ18" s="2">
        <f t="shared" si="30"/>
        <v>0</v>
      </c>
      <c r="CR18" s="70">
        <f t="shared" si="31"/>
        <v>0</v>
      </c>
      <c r="CS18" s="67">
        <f t="shared" si="31"/>
        <v>1</v>
      </c>
      <c r="CT18" s="51">
        <f t="shared" si="31"/>
        <v>6000</v>
      </c>
      <c r="CU18" s="33"/>
      <c r="CV18" s="30"/>
      <c r="CW18" s="2">
        <f t="shared" si="32"/>
        <v>0</v>
      </c>
      <c r="CX18" s="33"/>
      <c r="CY18" s="30"/>
      <c r="CZ18" s="2">
        <f t="shared" si="33"/>
        <v>0</v>
      </c>
      <c r="DA18" s="33"/>
      <c r="DB18" s="30"/>
      <c r="DC18" s="2">
        <f t="shared" si="34"/>
        <v>0</v>
      </c>
      <c r="DD18" s="33"/>
      <c r="DE18" s="30"/>
      <c r="DF18" s="2">
        <f t="shared" si="35"/>
        <v>0</v>
      </c>
      <c r="DG18" s="33"/>
      <c r="DH18" s="30"/>
      <c r="DI18" s="2">
        <f t="shared" si="36"/>
        <v>0</v>
      </c>
      <c r="DJ18" s="33"/>
      <c r="DK18" s="30"/>
      <c r="DL18" s="2">
        <f t="shared" si="37"/>
        <v>0</v>
      </c>
      <c r="DM18" s="33"/>
      <c r="DN18" s="30"/>
      <c r="DO18" s="2">
        <f t="shared" si="38"/>
        <v>0</v>
      </c>
      <c r="DP18" s="70">
        <f t="shared" si="39"/>
        <v>0</v>
      </c>
      <c r="DQ18" s="67">
        <f t="shared" si="39"/>
        <v>0</v>
      </c>
      <c r="DR18" s="51">
        <f t="shared" si="39"/>
        <v>0</v>
      </c>
      <c r="DS18" s="33"/>
      <c r="DT18" s="30"/>
      <c r="DU18" s="2">
        <f t="shared" si="40"/>
        <v>0</v>
      </c>
      <c r="DV18" s="52">
        <f t="shared" si="41"/>
        <v>19000</v>
      </c>
      <c r="DW18" s="53">
        <f t="shared" si="42"/>
        <v>1</v>
      </c>
      <c r="DX18" s="54">
        <f t="shared" si="42"/>
        <v>6000</v>
      </c>
    </row>
    <row r="19" spans="1:128" s="26" customFormat="1" ht="17.100000000000001" customHeight="1" x14ac:dyDescent="0.2">
      <c r="A19" s="27" t="s">
        <v>40</v>
      </c>
      <c r="B19" s="19">
        <v>6000</v>
      </c>
      <c r="C19" s="29"/>
      <c r="D19" s="30"/>
      <c r="E19" s="2">
        <f t="shared" si="0"/>
        <v>0</v>
      </c>
      <c r="F19" s="29"/>
      <c r="G19" s="30"/>
      <c r="H19" s="2">
        <f t="shared" si="1"/>
        <v>0</v>
      </c>
      <c r="I19" s="29"/>
      <c r="J19" s="30"/>
      <c r="K19" s="2">
        <f t="shared" si="2"/>
        <v>0</v>
      </c>
      <c r="L19" s="31"/>
      <c r="M19" s="30"/>
      <c r="N19" s="2">
        <f t="shared" si="3"/>
        <v>0</v>
      </c>
      <c r="O19" s="31"/>
      <c r="P19" s="30"/>
      <c r="Q19" s="2">
        <f t="shared" si="4"/>
        <v>0</v>
      </c>
      <c r="R19" s="31"/>
      <c r="S19" s="30"/>
      <c r="T19" s="2">
        <f t="shared" si="5"/>
        <v>0</v>
      </c>
      <c r="U19" s="33"/>
      <c r="V19" s="30"/>
      <c r="W19" s="64">
        <f t="shared" si="6"/>
        <v>0</v>
      </c>
      <c r="X19" s="70">
        <f t="shared" si="7"/>
        <v>0</v>
      </c>
      <c r="Y19" s="67">
        <f t="shared" si="7"/>
        <v>0</v>
      </c>
      <c r="Z19" s="73">
        <f t="shared" si="7"/>
        <v>0</v>
      </c>
      <c r="AA19" s="35"/>
      <c r="AB19" s="30"/>
      <c r="AC19" s="2">
        <f t="shared" si="8"/>
        <v>0</v>
      </c>
      <c r="AD19" s="33"/>
      <c r="AE19" s="30">
        <v>1</v>
      </c>
      <c r="AF19" s="2">
        <f t="shared" si="9"/>
        <v>6000</v>
      </c>
      <c r="AG19" s="33"/>
      <c r="AH19" s="30"/>
      <c r="AI19" s="2">
        <f t="shared" si="10"/>
        <v>0</v>
      </c>
      <c r="AJ19" s="33"/>
      <c r="AK19" s="30"/>
      <c r="AL19" s="2">
        <f t="shared" si="11"/>
        <v>0</v>
      </c>
      <c r="AM19" s="33"/>
      <c r="AN19" s="30"/>
      <c r="AO19" s="2">
        <f t="shared" si="12"/>
        <v>0</v>
      </c>
      <c r="AP19" s="33"/>
      <c r="AQ19" s="30"/>
      <c r="AR19" s="2">
        <f t="shared" si="13"/>
        <v>0</v>
      </c>
      <c r="AS19" s="33">
        <v>3000</v>
      </c>
      <c r="AT19" s="30"/>
      <c r="AU19" s="2">
        <f t="shared" si="14"/>
        <v>0</v>
      </c>
      <c r="AV19" s="70">
        <f t="shared" si="15"/>
        <v>3000</v>
      </c>
      <c r="AW19" s="67">
        <f t="shared" si="15"/>
        <v>1</v>
      </c>
      <c r="AX19" s="51">
        <f>AC19+AF19+AI19+AL19+AO19+AR19+AU19</f>
        <v>6000</v>
      </c>
      <c r="AY19" s="33"/>
      <c r="AZ19" s="30"/>
      <c r="BA19" s="2">
        <f t="shared" si="16"/>
        <v>0</v>
      </c>
      <c r="BB19" s="33"/>
      <c r="BC19" s="30"/>
      <c r="BD19" s="2">
        <f t="shared" si="17"/>
        <v>0</v>
      </c>
      <c r="BE19" s="33"/>
      <c r="BF19" s="30"/>
      <c r="BG19" s="2">
        <f t="shared" si="18"/>
        <v>0</v>
      </c>
      <c r="BH19" s="33"/>
      <c r="BI19" s="30"/>
      <c r="BJ19" s="2">
        <f t="shared" si="19"/>
        <v>0</v>
      </c>
      <c r="BK19" s="33"/>
      <c r="BL19" s="30"/>
      <c r="BM19" s="2">
        <f t="shared" si="20"/>
        <v>0</v>
      </c>
      <c r="BN19" s="33"/>
      <c r="BO19" s="30"/>
      <c r="BP19" s="2">
        <f t="shared" si="21"/>
        <v>0</v>
      </c>
      <c r="BQ19" s="33"/>
      <c r="BR19" s="30"/>
      <c r="BS19" s="2">
        <f t="shared" si="22"/>
        <v>0</v>
      </c>
      <c r="BT19" s="70">
        <f t="shared" si="23"/>
        <v>0</v>
      </c>
      <c r="BU19" s="67">
        <f t="shared" si="23"/>
        <v>0</v>
      </c>
      <c r="BV19" s="51">
        <f t="shared" si="23"/>
        <v>0</v>
      </c>
      <c r="BW19" s="33"/>
      <c r="BX19" s="30"/>
      <c r="BY19" s="2">
        <f t="shared" si="24"/>
        <v>0</v>
      </c>
      <c r="BZ19" s="33"/>
      <c r="CA19" s="30">
        <v>3</v>
      </c>
      <c r="CB19" s="2">
        <f t="shared" si="25"/>
        <v>18000</v>
      </c>
      <c r="CC19" s="33"/>
      <c r="CD19" s="30">
        <v>3</v>
      </c>
      <c r="CE19" s="2">
        <f t="shared" si="26"/>
        <v>18000</v>
      </c>
      <c r="CF19" s="33"/>
      <c r="CG19" s="30">
        <v>2</v>
      </c>
      <c r="CH19" s="2">
        <f t="shared" si="27"/>
        <v>12000</v>
      </c>
      <c r="CI19" s="33"/>
      <c r="CJ19" s="30">
        <v>2</v>
      </c>
      <c r="CK19" s="2">
        <f t="shared" si="28"/>
        <v>12000</v>
      </c>
      <c r="CL19" s="33"/>
      <c r="CM19" s="30"/>
      <c r="CN19" s="2">
        <f t="shared" si="29"/>
        <v>0</v>
      </c>
      <c r="CO19" s="33"/>
      <c r="CP19" s="30"/>
      <c r="CQ19" s="2">
        <f t="shared" si="30"/>
        <v>0</v>
      </c>
      <c r="CR19" s="70">
        <f t="shared" si="31"/>
        <v>0</v>
      </c>
      <c r="CS19" s="67">
        <f t="shared" si="31"/>
        <v>10</v>
      </c>
      <c r="CT19" s="51">
        <f t="shared" si="31"/>
        <v>60000</v>
      </c>
      <c r="CU19" s="33"/>
      <c r="CV19" s="30"/>
      <c r="CW19" s="2">
        <f t="shared" si="32"/>
        <v>0</v>
      </c>
      <c r="CX19" s="33"/>
      <c r="CY19" s="30"/>
      <c r="CZ19" s="2">
        <f t="shared" si="33"/>
        <v>0</v>
      </c>
      <c r="DA19" s="33"/>
      <c r="DB19" s="30"/>
      <c r="DC19" s="2">
        <f t="shared" si="34"/>
        <v>0</v>
      </c>
      <c r="DD19" s="33"/>
      <c r="DE19" s="30"/>
      <c r="DF19" s="2">
        <f t="shared" si="35"/>
        <v>0</v>
      </c>
      <c r="DG19" s="33"/>
      <c r="DH19" s="30"/>
      <c r="DI19" s="2">
        <f t="shared" si="36"/>
        <v>0</v>
      </c>
      <c r="DJ19" s="33"/>
      <c r="DK19" s="30"/>
      <c r="DL19" s="2">
        <f t="shared" si="37"/>
        <v>0</v>
      </c>
      <c r="DM19" s="33"/>
      <c r="DN19" s="30"/>
      <c r="DO19" s="2">
        <f t="shared" si="38"/>
        <v>0</v>
      </c>
      <c r="DP19" s="70">
        <f t="shared" si="39"/>
        <v>0</v>
      </c>
      <c r="DQ19" s="67">
        <f t="shared" si="39"/>
        <v>0</v>
      </c>
      <c r="DR19" s="51">
        <f t="shared" si="39"/>
        <v>0</v>
      </c>
      <c r="DS19" s="33"/>
      <c r="DT19" s="30"/>
      <c r="DU19" s="2">
        <f t="shared" si="40"/>
        <v>0</v>
      </c>
      <c r="DV19" s="52">
        <f t="shared" si="41"/>
        <v>3000</v>
      </c>
      <c r="DW19" s="53">
        <f t="shared" si="42"/>
        <v>11</v>
      </c>
      <c r="DX19" s="54">
        <f>Z19+AX19+BV19+CT19+DR19</f>
        <v>66000</v>
      </c>
    </row>
    <row r="20" spans="1:128" s="26" customFormat="1" ht="17.100000000000001" customHeight="1" x14ac:dyDescent="0.2">
      <c r="A20" s="79" t="s">
        <v>35</v>
      </c>
      <c r="B20" s="80"/>
      <c r="C20" s="81"/>
      <c r="D20" s="82"/>
      <c r="E20" s="83">
        <f t="shared" si="0"/>
        <v>0</v>
      </c>
      <c r="F20" s="81"/>
      <c r="G20" s="82"/>
      <c r="H20" s="83">
        <f t="shared" si="1"/>
        <v>0</v>
      </c>
      <c r="I20" s="81"/>
      <c r="J20" s="82"/>
      <c r="K20" s="83">
        <f t="shared" si="2"/>
        <v>0</v>
      </c>
      <c r="L20" s="84"/>
      <c r="M20" s="82"/>
      <c r="N20" s="83">
        <f t="shared" si="3"/>
        <v>0</v>
      </c>
      <c r="O20" s="84"/>
      <c r="P20" s="82"/>
      <c r="Q20" s="83">
        <f t="shared" si="4"/>
        <v>0</v>
      </c>
      <c r="R20" s="84"/>
      <c r="S20" s="82"/>
      <c r="T20" s="83">
        <f t="shared" si="5"/>
        <v>0</v>
      </c>
      <c r="U20" s="84"/>
      <c r="V20" s="82"/>
      <c r="W20" s="85">
        <f t="shared" si="6"/>
        <v>0</v>
      </c>
      <c r="X20" s="86">
        <f t="shared" si="7"/>
        <v>0</v>
      </c>
      <c r="Y20" s="87">
        <f t="shared" si="7"/>
        <v>0</v>
      </c>
      <c r="Z20" s="88">
        <f t="shared" si="7"/>
        <v>0</v>
      </c>
      <c r="AA20" s="89"/>
      <c r="AB20" s="82"/>
      <c r="AC20" s="83">
        <f t="shared" si="8"/>
        <v>0</v>
      </c>
      <c r="AD20" s="84"/>
      <c r="AE20" s="82"/>
      <c r="AF20" s="83">
        <f t="shared" si="9"/>
        <v>0</v>
      </c>
      <c r="AG20" s="84"/>
      <c r="AH20" s="82"/>
      <c r="AI20" s="83">
        <f t="shared" si="10"/>
        <v>0</v>
      </c>
      <c r="AJ20" s="84"/>
      <c r="AK20" s="82"/>
      <c r="AL20" s="83">
        <f t="shared" si="11"/>
        <v>0</v>
      </c>
      <c r="AM20" s="84"/>
      <c r="AN20" s="82"/>
      <c r="AO20" s="83">
        <f t="shared" si="12"/>
        <v>0</v>
      </c>
      <c r="AP20" s="84"/>
      <c r="AQ20" s="82"/>
      <c r="AR20" s="83">
        <f t="shared" si="13"/>
        <v>0</v>
      </c>
      <c r="AS20" s="84"/>
      <c r="AT20" s="82"/>
      <c r="AU20" s="83">
        <f t="shared" si="14"/>
        <v>0</v>
      </c>
      <c r="AV20" s="86">
        <f t="shared" si="15"/>
        <v>0</v>
      </c>
      <c r="AW20" s="87">
        <f t="shared" si="15"/>
        <v>0</v>
      </c>
      <c r="AX20" s="90">
        <f t="shared" si="15"/>
        <v>0</v>
      </c>
      <c r="AY20" s="84"/>
      <c r="AZ20" s="82"/>
      <c r="BA20" s="83">
        <f t="shared" si="16"/>
        <v>0</v>
      </c>
      <c r="BB20" s="84"/>
      <c r="BC20" s="82"/>
      <c r="BD20" s="83">
        <f t="shared" si="17"/>
        <v>0</v>
      </c>
      <c r="BE20" s="84"/>
      <c r="BF20" s="82"/>
      <c r="BG20" s="83">
        <f t="shared" si="18"/>
        <v>0</v>
      </c>
      <c r="BH20" s="84"/>
      <c r="BI20" s="82"/>
      <c r="BJ20" s="83">
        <f t="shared" si="19"/>
        <v>0</v>
      </c>
      <c r="BK20" s="84"/>
      <c r="BL20" s="82"/>
      <c r="BM20" s="83">
        <f t="shared" si="20"/>
        <v>0</v>
      </c>
      <c r="BN20" s="84"/>
      <c r="BO20" s="82"/>
      <c r="BP20" s="83">
        <f t="shared" si="21"/>
        <v>0</v>
      </c>
      <c r="BQ20" s="84"/>
      <c r="BR20" s="82"/>
      <c r="BS20" s="83">
        <f t="shared" si="22"/>
        <v>0</v>
      </c>
      <c r="BT20" s="86">
        <f t="shared" si="23"/>
        <v>0</v>
      </c>
      <c r="BU20" s="87">
        <f t="shared" si="23"/>
        <v>0</v>
      </c>
      <c r="BV20" s="90">
        <f t="shared" si="23"/>
        <v>0</v>
      </c>
      <c r="BW20" s="84"/>
      <c r="BX20" s="82"/>
      <c r="BY20" s="83">
        <f t="shared" si="24"/>
        <v>0</v>
      </c>
      <c r="BZ20" s="84"/>
      <c r="CA20" s="82"/>
      <c r="CB20" s="83">
        <f t="shared" si="25"/>
        <v>0</v>
      </c>
      <c r="CC20" s="84"/>
      <c r="CD20" s="82"/>
      <c r="CE20" s="83">
        <f t="shared" si="26"/>
        <v>0</v>
      </c>
      <c r="CF20" s="84"/>
      <c r="CG20" s="82"/>
      <c r="CH20" s="83">
        <f t="shared" si="27"/>
        <v>0</v>
      </c>
      <c r="CI20" s="84"/>
      <c r="CJ20" s="82"/>
      <c r="CK20" s="83">
        <f t="shared" si="28"/>
        <v>0</v>
      </c>
      <c r="CL20" s="84"/>
      <c r="CM20" s="82"/>
      <c r="CN20" s="83">
        <f t="shared" si="29"/>
        <v>0</v>
      </c>
      <c r="CO20" s="84"/>
      <c r="CP20" s="82"/>
      <c r="CQ20" s="83">
        <f t="shared" si="30"/>
        <v>0</v>
      </c>
      <c r="CR20" s="86">
        <f t="shared" si="31"/>
        <v>0</v>
      </c>
      <c r="CS20" s="87">
        <f t="shared" si="31"/>
        <v>0</v>
      </c>
      <c r="CT20" s="51">
        <f t="shared" si="31"/>
        <v>0</v>
      </c>
      <c r="CU20" s="84"/>
      <c r="CV20" s="82"/>
      <c r="CW20" s="83">
        <f t="shared" si="32"/>
        <v>0</v>
      </c>
      <c r="CX20" s="84"/>
      <c r="CY20" s="82"/>
      <c r="CZ20" s="83">
        <f t="shared" si="33"/>
        <v>0</v>
      </c>
      <c r="DA20" s="84"/>
      <c r="DB20" s="82"/>
      <c r="DC20" s="83">
        <f t="shared" si="34"/>
        <v>0</v>
      </c>
      <c r="DD20" s="84"/>
      <c r="DE20" s="82"/>
      <c r="DF20" s="83">
        <f t="shared" si="35"/>
        <v>0</v>
      </c>
      <c r="DG20" s="84"/>
      <c r="DH20" s="82"/>
      <c r="DI20" s="83">
        <f t="shared" si="36"/>
        <v>0</v>
      </c>
      <c r="DJ20" s="84"/>
      <c r="DK20" s="82"/>
      <c r="DL20" s="83">
        <f t="shared" si="37"/>
        <v>0</v>
      </c>
      <c r="DM20" s="84"/>
      <c r="DN20" s="82"/>
      <c r="DO20" s="83">
        <f t="shared" si="38"/>
        <v>0</v>
      </c>
      <c r="DP20" s="86">
        <f t="shared" si="39"/>
        <v>0</v>
      </c>
      <c r="DQ20" s="87">
        <f t="shared" si="39"/>
        <v>0</v>
      </c>
      <c r="DR20" s="90">
        <f t="shared" si="39"/>
        <v>0</v>
      </c>
      <c r="DS20" s="84"/>
      <c r="DT20" s="82"/>
      <c r="DU20" s="83">
        <f t="shared" si="40"/>
        <v>0</v>
      </c>
      <c r="DV20" s="91">
        <f t="shared" si="41"/>
        <v>0</v>
      </c>
      <c r="DW20" s="92">
        <f t="shared" si="42"/>
        <v>0</v>
      </c>
      <c r="DX20" s="88">
        <f t="shared" si="42"/>
        <v>0</v>
      </c>
    </row>
    <row r="21" spans="1:128" s="26" customFormat="1" ht="17.100000000000001" customHeight="1" thickBot="1" x14ac:dyDescent="0.25">
      <c r="A21" s="36" t="s">
        <v>34</v>
      </c>
      <c r="B21" s="37">
        <v>5000</v>
      </c>
      <c r="C21" s="38"/>
      <c r="D21" s="39"/>
      <c r="E21" s="3">
        <f t="shared" si="0"/>
        <v>0</v>
      </c>
      <c r="F21" s="38"/>
      <c r="G21" s="39"/>
      <c r="H21" s="3">
        <f t="shared" si="1"/>
        <v>0</v>
      </c>
      <c r="I21" s="38"/>
      <c r="J21" s="39"/>
      <c r="K21" s="3">
        <f t="shared" si="2"/>
        <v>0</v>
      </c>
      <c r="L21" s="40"/>
      <c r="M21" s="39"/>
      <c r="N21" s="3">
        <f t="shared" si="3"/>
        <v>0</v>
      </c>
      <c r="O21" s="40"/>
      <c r="P21" s="39"/>
      <c r="Q21" s="3">
        <f t="shared" si="4"/>
        <v>0</v>
      </c>
      <c r="R21" s="108">
        <v>25000</v>
      </c>
      <c r="S21" s="39"/>
      <c r="T21" s="3">
        <f t="shared" si="5"/>
        <v>0</v>
      </c>
      <c r="U21" s="41"/>
      <c r="V21" s="39"/>
      <c r="W21" s="65">
        <f t="shared" si="6"/>
        <v>0</v>
      </c>
      <c r="X21" s="71">
        <f t="shared" si="7"/>
        <v>25000</v>
      </c>
      <c r="Y21" s="68">
        <f t="shared" si="7"/>
        <v>0</v>
      </c>
      <c r="Z21" s="74">
        <f t="shared" si="7"/>
        <v>0</v>
      </c>
      <c r="AA21" s="42"/>
      <c r="AB21" s="39"/>
      <c r="AC21" s="3">
        <f t="shared" si="8"/>
        <v>0</v>
      </c>
      <c r="AD21" s="108">
        <v>25000</v>
      </c>
      <c r="AE21" s="39"/>
      <c r="AF21" s="3">
        <f t="shared" si="9"/>
        <v>0</v>
      </c>
      <c r="AG21" s="41"/>
      <c r="AH21" s="39"/>
      <c r="AI21" s="3">
        <f t="shared" si="10"/>
        <v>0</v>
      </c>
      <c r="AJ21" s="108">
        <v>25000</v>
      </c>
      <c r="AK21" s="39"/>
      <c r="AL21" s="3">
        <f t="shared" si="11"/>
        <v>0</v>
      </c>
      <c r="AM21" s="41"/>
      <c r="AN21" s="39"/>
      <c r="AO21" s="3">
        <f t="shared" si="12"/>
        <v>0</v>
      </c>
      <c r="AP21" s="108">
        <v>10000</v>
      </c>
      <c r="AQ21" s="39"/>
      <c r="AR21" s="3">
        <f t="shared" si="13"/>
        <v>0</v>
      </c>
      <c r="AS21" s="41"/>
      <c r="AT21" s="39"/>
      <c r="AU21" s="3">
        <f t="shared" si="14"/>
        <v>0</v>
      </c>
      <c r="AV21" s="71">
        <f t="shared" si="15"/>
        <v>60000</v>
      </c>
      <c r="AW21" s="68">
        <f t="shared" si="15"/>
        <v>0</v>
      </c>
      <c r="AX21" s="55">
        <f t="shared" si="15"/>
        <v>0</v>
      </c>
      <c r="AY21" s="41"/>
      <c r="AZ21" s="39"/>
      <c r="BA21" s="3">
        <f t="shared" si="16"/>
        <v>0</v>
      </c>
      <c r="BB21" s="108">
        <v>40000</v>
      </c>
      <c r="BC21" s="39"/>
      <c r="BD21" s="3">
        <f t="shared" si="17"/>
        <v>0</v>
      </c>
      <c r="BE21" s="41"/>
      <c r="BF21" s="39"/>
      <c r="BG21" s="3">
        <f t="shared" si="18"/>
        <v>0</v>
      </c>
      <c r="BH21" s="108">
        <v>10000</v>
      </c>
      <c r="BI21" s="39"/>
      <c r="BJ21" s="3">
        <f t="shared" si="19"/>
        <v>0</v>
      </c>
      <c r="BK21" s="41"/>
      <c r="BL21" s="39"/>
      <c r="BM21" s="3">
        <f t="shared" si="20"/>
        <v>0</v>
      </c>
      <c r="BN21" s="108">
        <v>15000</v>
      </c>
      <c r="BO21" s="39"/>
      <c r="BP21" s="3">
        <f t="shared" si="21"/>
        <v>0</v>
      </c>
      <c r="BQ21" s="41"/>
      <c r="BR21" s="39"/>
      <c r="BS21" s="3">
        <f t="shared" si="22"/>
        <v>0</v>
      </c>
      <c r="BT21" s="71">
        <f t="shared" si="23"/>
        <v>65000</v>
      </c>
      <c r="BU21" s="68">
        <f t="shared" si="23"/>
        <v>0</v>
      </c>
      <c r="BV21" s="55">
        <f t="shared" si="23"/>
        <v>0</v>
      </c>
      <c r="BW21" s="41"/>
      <c r="BX21" s="39"/>
      <c r="BY21" s="3">
        <f t="shared" si="24"/>
        <v>0</v>
      </c>
      <c r="BZ21" s="108">
        <v>25000</v>
      </c>
      <c r="CA21" s="39"/>
      <c r="CB21" s="3">
        <f t="shared" si="25"/>
        <v>0</v>
      </c>
      <c r="CC21" s="41"/>
      <c r="CD21" s="39"/>
      <c r="CE21" s="3">
        <f t="shared" si="26"/>
        <v>0</v>
      </c>
      <c r="CF21" s="108">
        <v>30000</v>
      </c>
      <c r="CG21" s="39"/>
      <c r="CH21" s="3">
        <f t="shared" si="27"/>
        <v>0</v>
      </c>
      <c r="CI21" s="41"/>
      <c r="CJ21" s="39"/>
      <c r="CK21" s="3">
        <f t="shared" si="28"/>
        <v>0</v>
      </c>
      <c r="CL21" s="108">
        <v>25000</v>
      </c>
      <c r="CM21" s="39"/>
      <c r="CN21" s="3">
        <f t="shared" si="29"/>
        <v>0</v>
      </c>
      <c r="CO21" s="41"/>
      <c r="CP21" s="39"/>
      <c r="CQ21" s="3">
        <f t="shared" si="30"/>
        <v>0</v>
      </c>
      <c r="CR21" s="71">
        <f t="shared" si="31"/>
        <v>80000</v>
      </c>
      <c r="CS21" s="68">
        <f t="shared" si="31"/>
        <v>0</v>
      </c>
      <c r="CT21" s="51">
        <f t="shared" si="31"/>
        <v>0</v>
      </c>
      <c r="CU21" s="41"/>
      <c r="CV21" s="39"/>
      <c r="CW21" s="3">
        <f t="shared" si="32"/>
        <v>0</v>
      </c>
      <c r="CX21" s="108">
        <v>20000</v>
      </c>
      <c r="CY21" s="39"/>
      <c r="CZ21" s="3">
        <f t="shared" si="33"/>
        <v>0</v>
      </c>
      <c r="DA21" s="41"/>
      <c r="DB21" s="39"/>
      <c r="DC21" s="3">
        <f t="shared" si="34"/>
        <v>0</v>
      </c>
      <c r="DD21" s="108">
        <v>25000</v>
      </c>
      <c r="DE21" s="39"/>
      <c r="DF21" s="3">
        <f t="shared" si="35"/>
        <v>0</v>
      </c>
      <c r="DG21" s="41"/>
      <c r="DH21" s="39"/>
      <c r="DI21" s="3">
        <f t="shared" si="36"/>
        <v>0</v>
      </c>
      <c r="DJ21" s="108">
        <v>25000</v>
      </c>
      <c r="DK21" s="39"/>
      <c r="DL21" s="3">
        <f t="shared" si="37"/>
        <v>0</v>
      </c>
      <c r="DM21" s="41"/>
      <c r="DN21" s="39"/>
      <c r="DO21" s="3">
        <f t="shared" si="38"/>
        <v>0</v>
      </c>
      <c r="DP21" s="71">
        <f t="shared" si="39"/>
        <v>70000</v>
      </c>
      <c r="DQ21" s="68">
        <f t="shared" si="39"/>
        <v>0</v>
      </c>
      <c r="DR21" s="55">
        <f t="shared" si="39"/>
        <v>0</v>
      </c>
      <c r="DS21" s="41"/>
      <c r="DT21" s="39"/>
      <c r="DU21" s="3">
        <f t="shared" si="40"/>
        <v>0</v>
      </c>
      <c r="DV21" s="56">
        <f t="shared" si="41"/>
        <v>235000</v>
      </c>
      <c r="DW21" s="57">
        <f t="shared" si="42"/>
        <v>0</v>
      </c>
      <c r="DX21" s="58">
        <f t="shared" si="42"/>
        <v>0</v>
      </c>
    </row>
    <row r="22" spans="1:128" ht="17.100000000000001" customHeight="1" thickBot="1" x14ac:dyDescent="0.3">
      <c r="X22" s="59">
        <f>SUM(X4:X21)</f>
        <v>69000</v>
      </c>
      <c r="Z22" s="75">
        <f>SUM(Z4:Z21)</f>
        <v>0</v>
      </c>
      <c r="AV22" s="59">
        <f>SUM(AV4:AV21)</f>
        <v>69000</v>
      </c>
      <c r="AX22" s="59">
        <f>SUM(AX4:AX21)</f>
        <v>84000</v>
      </c>
      <c r="BT22" s="59">
        <f>SUM(BT4:BT21)</f>
        <v>89000</v>
      </c>
      <c r="BV22" s="59">
        <f>SUM(BV4:BV21)</f>
        <v>0</v>
      </c>
      <c r="CR22" s="59">
        <f>SUM(CR4:CR21)</f>
        <v>120000</v>
      </c>
      <c r="CT22" s="59">
        <f>SUM(CT4:CT21)</f>
        <v>564000</v>
      </c>
      <c r="DP22" s="59">
        <f>SUM(DP4:DP21)</f>
        <v>133000</v>
      </c>
      <c r="DR22" s="59">
        <f>SUM(DR4:DR21)</f>
        <v>0</v>
      </c>
      <c r="DS22" s="60">
        <f>SUM(DV4:DV21)</f>
        <v>415000</v>
      </c>
      <c r="DT22" s="61">
        <f>SUM(DW4:DW21)</f>
        <v>108</v>
      </c>
      <c r="DU22" s="62">
        <f>SUM(DX4:DX21)</f>
        <v>648000</v>
      </c>
    </row>
    <row r="23" spans="1:128" ht="17.100000000000001" customHeight="1" x14ac:dyDescent="0.25">
      <c r="DS23" s="44"/>
      <c r="DT23" s="46"/>
      <c r="DU23" s="44"/>
    </row>
    <row r="24" spans="1:128" ht="17.100000000000001" customHeight="1" x14ac:dyDescent="0.25"/>
    <row r="25" spans="1:128" ht="17.100000000000001" customHeight="1" x14ac:dyDescent="0.25"/>
    <row r="26" spans="1:128" ht="17.100000000000001" customHeight="1" x14ac:dyDescent="0.25"/>
    <row r="27" spans="1:128" ht="17.100000000000001" customHeight="1" x14ac:dyDescent="0.25"/>
    <row r="28" spans="1:128" ht="17.100000000000001" customHeight="1" x14ac:dyDescent="0.25"/>
    <row r="29" spans="1:128" ht="17.100000000000001" customHeight="1" x14ac:dyDescent="0.25"/>
  </sheetData>
  <sheetProtection formatCells="0" formatColumns="0" formatRows="0" insertColumns="0" insertRows="0" insertHyperlinks="0" deleteColumns="0" deleteRows="0" sort="0" autoFilter="0" pivotTables="0"/>
  <mergeCells count="84">
    <mergeCell ref="AJ1:AL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BT1:BV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DD1:DF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C2:E2"/>
    <mergeCell ref="F2:H2"/>
    <mergeCell ref="I2:K2"/>
    <mergeCell ref="L2:N2"/>
    <mergeCell ref="O2:Q2"/>
    <mergeCell ref="DG1:DI1"/>
    <mergeCell ref="DJ1:DL1"/>
    <mergeCell ref="DM1:DO1"/>
    <mergeCell ref="DP1:DR1"/>
    <mergeCell ref="DV1:DX1"/>
    <mergeCell ref="DS1:DU1"/>
    <mergeCell ref="AY2:BA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CI2:CK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DV2:DX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  <mergeCell ref="DS2:DU2"/>
  </mergeCells>
  <printOptions horizontalCentered="1"/>
  <pageMargins left="0.19685039370078741" right="0.19685039370078741" top="0.19685039370078741" bottom="0.19685039370078741" header="0" footer="0"/>
  <pageSetup paperSize="9" scale="7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00AE-C35E-4386-93D0-1FE56D831B51}">
  <sheetPr>
    <pageSetUpPr fitToPage="1"/>
  </sheetPr>
  <dimension ref="A1:DU29"/>
  <sheetViews>
    <sheetView zoomScaleNormal="100" workbookViewId="0">
      <pane xSplit="1" topLeftCell="CJ1" activePane="topRight" state="frozen"/>
      <selection pane="topRight" activeCell="CS12" sqref="CS12"/>
    </sheetView>
  </sheetViews>
  <sheetFormatPr baseColWidth="10" defaultRowHeight="15" x14ac:dyDescent="0.25"/>
  <cols>
    <col min="1" max="1" width="30.7109375" style="5" bestFit="1" customWidth="1"/>
    <col min="2" max="2" width="8" style="43" bestFit="1" customWidth="1"/>
    <col min="3" max="3" width="8.7109375" style="5" hidden="1" customWidth="1"/>
    <col min="4" max="4" width="2.7109375" style="5" hidden="1" customWidth="1"/>
    <col min="5" max="5" width="8.7109375" style="5" hidden="1" customWidth="1"/>
    <col min="6" max="6" width="8.7109375" style="5" customWidth="1"/>
    <col min="7" max="7" width="2.7109375" style="5" customWidth="1"/>
    <col min="8" max="9" width="8.7109375" style="5" customWidth="1"/>
    <col min="10" max="10" width="2.7109375" style="5" customWidth="1"/>
    <col min="11" max="12" width="8.7109375" style="5" customWidth="1"/>
    <col min="13" max="13" width="2.7109375" style="5" customWidth="1"/>
    <col min="14" max="15" width="8.7109375" style="5" customWidth="1"/>
    <col min="16" max="16" width="2.7109375" style="5" customWidth="1"/>
    <col min="17" max="18" width="8.7109375" style="5" customWidth="1"/>
    <col min="19" max="19" width="2.7109375" style="5" customWidth="1"/>
    <col min="20" max="21" width="8.7109375" style="5" customWidth="1"/>
    <col min="22" max="22" width="2.7109375" style="5" customWidth="1"/>
    <col min="23" max="23" width="8.7109375" style="5" customWidth="1"/>
    <col min="24" max="24" width="12.140625" style="5" customWidth="1"/>
    <col min="25" max="25" width="2.7109375" style="5" customWidth="1"/>
    <col min="26" max="26" width="10.42578125" style="45" bestFit="1" customWidth="1"/>
    <col min="27" max="27" width="8.7109375" style="5" customWidth="1"/>
    <col min="28" max="28" width="2.7109375" style="5" customWidth="1"/>
    <col min="29" max="30" width="8.7109375" style="5" customWidth="1"/>
    <col min="31" max="31" width="2.7109375" style="5" customWidth="1"/>
    <col min="32" max="33" width="8.7109375" style="5" customWidth="1"/>
    <col min="34" max="34" width="2.7109375" style="5" customWidth="1"/>
    <col min="35" max="36" width="8.7109375" style="5" customWidth="1"/>
    <col min="37" max="37" width="2.7109375" style="5" customWidth="1"/>
    <col min="38" max="39" width="8.7109375" style="5" customWidth="1"/>
    <col min="40" max="40" width="2.7109375" style="5" customWidth="1"/>
    <col min="41" max="42" width="8.7109375" style="5" customWidth="1"/>
    <col min="43" max="43" width="2.7109375" style="5" customWidth="1"/>
    <col min="44" max="45" width="8.7109375" style="5" customWidth="1"/>
    <col min="46" max="46" width="2.7109375" style="5" customWidth="1"/>
    <col min="47" max="47" width="8.7109375" style="5" customWidth="1"/>
    <col min="48" max="48" width="9.42578125" style="5" bestFit="1" customWidth="1"/>
    <col min="49" max="49" width="2.7109375" style="5" customWidth="1"/>
    <col min="50" max="50" width="10.42578125" style="5" bestFit="1" customWidth="1"/>
    <col min="51" max="51" width="8.7109375" style="5" customWidth="1"/>
    <col min="52" max="52" width="2.7109375" style="5" customWidth="1"/>
    <col min="53" max="54" width="8.7109375" style="5" customWidth="1"/>
    <col min="55" max="55" width="2.7109375" style="5" customWidth="1"/>
    <col min="56" max="57" width="8.7109375" style="5" customWidth="1"/>
    <col min="58" max="58" width="2.7109375" style="5" customWidth="1"/>
    <col min="59" max="60" width="8.7109375" style="5" customWidth="1"/>
    <col min="61" max="61" width="2.7109375" style="5" customWidth="1"/>
    <col min="62" max="63" width="8.7109375" style="5" customWidth="1"/>
    <col min="64" max="64" width="2.7109375" style="5" customWidth="1"/>
    <col min="65" max="66" width="8.7109375" style="5" customWidth="1"/>
    <col min="67" max="67" width="2.7109375" style="5" customWidth="1"/>
    <col min="68" max="69" width="8.7109375" style="5" customWidth="1"/>
    <col min="70" max="70" width="2.7109375" style="5" customWidth="1"/>
    <col min="71" max="71" width="8.7109375" style="5" customWidth="1"/>
    <col min="72" max="72" width="10.42578125" style="5" bestFit="1" customWidth="1"/>
    <col min="73" max="73" width="2.7109375" style="5" customWidth="1"/>
    <col min="74" max="74" width="10.42578125" style="5" bestFit="1" customWidth="1"/>
    <col min="75" max="75" width="8.7109375" style="5" customWidth="1"/>
    <col min="76" max="76" width="2.7109375" style="5" customWidth="1"/>
    <col min="77" max="78" width="8.7109375" style="5" customWidth="1"/>
    <col min="79" max="79" width="4.42578125" style="5" customWidth="1"/>
    <col min="80" max="81" width="8.7109375" style="5" customWidth="1"/>
    <col min="82" max="82" width="2.7109375" style="5" customWidth="1"/>
    <col min="83" max="84" width="8.7109375" style="5" customWidth="1"/>
    <col min="85" max="85" width="2.7109375" style="5" customWidth="1"/>
    <col min="86" max="87" width="8.7109375" style="5" customWidth="1"/>
    <col min="88" max="88" width="2.7109375" style="5" customWidth="1"/>
    <col min="89" max="90" width="8.7109375" style="5" customWidth="1"/>
    <col min="91" max="91" width="2.7109375" style="5" customWidth="1"/>
    <col min="92" max="93" width="8.7109375" style="5" customWidth="1"/>
    <col min="94" max="94" width="2.7109375" style="5" customWidth="1"/>
    <col min="95" max="95" width="8.7109375" style="5" customWidth="1"/>
    <col min="96" max="96" width="10.42578125" style="5" bestFit="1" customWidth="1"/>
    <col min="97" max="97" width="4.5703125" style="5" customWidth="1"/>
    <col min="98" max="98" width="10.42578125" style="5" bestFit="1" customWidth="1"/>
    <col min="99" max="99" width="8.7109375" style="5" customWidth="1"/>
    <col min="100" max="100" width="2.7109375" style="5" customWidth="1"/>
    <col min="101" max="102" width="8.7109375" style="5" customWidth="1"/>
    <col min="103" max="103" width="2.7109375" style="5" customWidth="1"/>
    <col min="104" max="105" width="8.7109375" style="5" customWidth="1"/>
    <col min="106" max="106" width="2.7109375" style="5" customWidth="1"/>
    <col min="107" max="107" width="8.7109375" style="5" customWidth="1"/>
    <col min="108" max="108" width="8.7109375" style="5" hidden="1" customWidth="1"/>
    <col min="109" max="109" width="2.7109375" style="5" hidden="1" customWidth="1"/>
    <col min="110" max="111" width="8.7109375" style="5" hidden="1" customWidth="1"/>
    <col min="112" max="112" width="2.7109375" style="5" hidden="1" customWidth="1"/>
    <col min="113" max="114" width="8.7109375" style="5" hidden="1" customWidth="1"/>
    <col min="115" max="115" width="2.7109375" style="5" hidden="1" customWidth="1"/>
    <col min="116" max="117" width="8.7109375" style="5" hidden="1" customWidth="1"/>
    <col min="118" max="118" width="2.7109375" style="5" hidden="1" customWidth="1"/>
    <col min="119" max="119" width="8.7109375" style="5" hidden="1" customWidth="1"/>
    <col min="120" max="120" width="10.42578125" style="5" bestFit="1" customWidth="1"/>
    <col min="121" max="121" width="2.7109375" style="5" customWidth="1"/>
    <col min="122" max="122" width="10.42578125" style="5" bestFit="1" customWidth="1"/>
    <col min="123" max="123" width="11.5703125" style="5" bestFit="1" customWidth="1"/>
    <col min="124" max="124" width="4.42578125" style="5" bestFit="1" customWidth="1"/>
    <col min="125" max="125" width="13.28515625" style="5" bestFit="1" customWidth="1"/>
    <col min="126" max="16384" width="11.42578125" style="5"/>
  </cols>
  <sheetData>
    <row r="1" spans="1:125" ht="26.25" x14ac:dyDescent="0.4">
      <c r="A1" s="4" t="s">
        <v>54</v>
      </c>
      <c r="B1" s="76" t="s">
        <v>0</v>
      </c>
      <c r="C1" s="232">
        <v>1</v>
      </c>
      <c r="D1" s="233"/>
      <c r="E1" s="233"/>
      <c r="F1" s="232">
        <v>1</v>
      </c>
      <c r="G1" s="233"/>
      <c r="H1" s="233"/>
      <c r="I1" s="232">
        <v>2</v>
      </c>
      <c r="J1" s="233"/>
      <c r="K1" s="233"/>
      <c r="L1" s="233">
        <v>3</v>
      </c>
      <c r="M1" s="233"/>
      <c r="N1" s="233"/>
      <c r="O1" s="233">
        <v>4</v>
      </c>
      <c r="P1" s="233"/>
      <c r="Q1" s="233"/>
      <c r="R1" s="233">
        <v>5</v>
      </c>
      <c r="S1" s="233"/>
      <c r="T1" s="233"/>
      <c r="U1" s="233">
        <v>6</v>
      </c>
      <c r="V1" s="233"/>
      <c r="W1" s="300"/>
      <c r="X1" s="216" t="s">
        <v>1</v>
      </c>
      <c r="Y1" s="217"/>
      <c r="Z1" s="218"/>
      <c r="AA1" s="234">
        <v>7</v>
      </c>
      <c r="AB1" s="227"/>
      <c r="AC1" s="227"/>
      <c r="AD1" s="227">
        <v>8</v>
      </c>
      <c r="AE1" s="227"/>
      <c r="AF1" s="227"/>
      <c r="AG1" s="227">
        <v>9</v>
      </c>
      <c r="AH1" s="227"/>
      <c r="AI1" s="227"/>
      <c r="AJ1" s="227">
        <v>10</v>
      </c>
      <c r="AK1" s="227"/>
      <c r="AL1" s="227"/>
      <c r="AM1" s="227">
        <v>11</v>
      </c>
      <c r="AN1" s="227"/>
      <c r="AO1" s="227"/>
      <c r="AP1" s="227">
        <v>12</v>
      </c>
      <c r="AQ1" s="227"/>
      <c r="AR1" s="227"/>
      <c r="AS1" s="227">
        <v>13</v>
      </c>
      <c r="AT1" s="227"/>
      <c r="AU1" s="228"/>
      <c r="AV1" s="216" t="s">
        <v>1</v>
      </c>
      <c r="AW1" s="217"/>
      <c r="AX1" s="218"/>
      <c r="AY1" s="229">
        <v>14</v>
      </c>
      <c r="AZ1" s="230"/>
      <c r="BA1" s="230"/>
      <c r="BB1" s="230">
        <v>15</v>
      </c>
      <c r="BC1" s="230"/>
      <c r="BD1" s="230"/>
      <c r="BE1" s="230">
        <v>16</v>
      </c>
      <c r="BF1" s="230"/>
      <c r="BG1" s="230"/>
      <c r="BH1" s="230">
        <v>17</v>
      </c>
      <c r="BI1" s="230"/>
      <c r="BJ1" s="230"/>
      <c r="BK1" s="230">
        <v>18</v>
      </c>
      <c r="BL1" s="230"/>
      <c r="BM1" s="230"/>
      <c r="BN1" s="230">
        <v>19</v>
      </c>
      <c r="BO1" s="230"/>
      <c r="BP1" s="230"/>
      <c r="BQ1" s="230">
        <v>20</v>
      </c>
      <c r="BR1" s="230"/>
      <c r="BS1" s="231"/>
      <c r="BT1" s="216" t="s">
        <v>1</v>
      </c>
      <c r="BU1" s="217"/>
      <c r="BV1" s="218"/>
      <c r="BW1" s="223">
        <v>21</v>
      </c>
      <c r="BX1" s="224"/>
      <c r="BY1" s="224"/>
      <c r="BZ1" s="224">
        <v>22</v>
      </c>
      <c r="CA1" s="224"/>
      <c r="CB1" s="224"/>
      <c r="CC1" s="224">
        <v>23</v>
      </c>
      <c r="CD1" s="224"/>
      <c r="CE1" s="224"/>
      <c r="CF1" s="224">
        <v>24</v>
      </c>
      <c r="CG1" s="224"/>
      <c r="CH1" s="224"/>
      <c r="CI1" s="224">
        <v>25</v>
      </c>
      <c r="CJ1" s="224"/>
      <c r="CK1" s="224"/>
      <c r="CL1" s="224">
        <v>26</v>
      </c>
      <c r="CM1" s="224"/>
      <c r="CN1" s="224"/>
      <c r="CO1" s="224">
        <v>27</v>
      </c>
      <c r="CP1" s="224"/>
      <c r="CQ1" s="225"/>
      <c r="CR1" s="216" t="s">
        <v>1</v>
      </c>
      <c r="CS1" s="217"/>
      <c r="CT1" s="218"/>
      <c r="CU1" s="234">
        <v>28</v>
      </c>
      <c r="CV1" s="227"/>
      <c r="CW1" s="227"/>
      <c r="CX1" s="227">
        <v>29</v>
      </c>
      <c r="CY1" s="227"/>
      <c r="CZ1" s="227"/>
      <c r="DA1" s="227">
        <v>30</v>
      </c>
      <c r="DB1" s="227"/>
      <c r="DC1" s="227"/>
      <c r="DD1" s="303">
        <v>1</v>
      </c>
      <c r="DE1" s="303"/>
      <c r="DF1" s="303"/>
      <c r="DG1" s="303">
        <v>2</v>
      </c>
      <c r="DH1" s="303"/>
      <c r="DI1" s="303"/>
      <c r="DJ1" s="303">
        <v>3</v>
      </c>
      <c r="DK1" s="303"/>
      <c r="DL1" s="303"/>
      <c r="DM1" s="303">
        <v>4</v>
      </c>
      <c r="DN1" s="303"/>
      <c r="DO1" s="304"/>
      <c r="DP1" s="216" t="s">
        <v>1</v>
      </c>
      <c r="DQ1" s="217"/>
      <c r="DR1" s="218"/>
      <c r="DS1" s="219" t="s">
        <v>1</v>
      </c>
      <c r="DT1" s="220"/>
      <c r="DU1" s="221"/>
    </row>
    <row r="2" spans="1:125" ht="19.5" thickBot="1" x14ac:dyDescent="0.3">
      <c r="A2" s="6" t="s">
        <v>2</v>
      </c>
      <c r="B2" s="77" t="s">
        <v>3</v>
      </c>
      <c r="C2" s="222" t="s">
        <v>10</v>
      </c>
      <c r="D2" s="207"/>
      <c r="E2" s="207"/>
      <c r="F2" s="222" t="s">
        <v>11</v>
      </c>
      <c r="G2" s="207"/>
      <c r="H2" s="207"/>
      <c r="I2" s="222" t="s">
        <v>4</v>
      </c>
      <c r="J2" s="207"/>
      <c r="K2" s="207"/>
      <c r="L2" s="207" t="s">
        <v>5</v>
      </c>
      <c r="M2" s="207"/>
      <c r="N2" s="207"/>
      <c r="O2" s="207" t="s">
        <v>6</v>
      </c>
      <c r="P2" s="207"/>
      <c r="Q2" s="207"/>
      <c r="R2" s="207" t="s">
        <v>7</v>
      </c>
      <c r="S2" s="207"/>
      <c r="T2" s="207"/>
      <c r="U2" s="207" t="s">
        <v>8</v>
      </c>
      <c r="V2" s="207"/>
      <c r="W2" s="299"/>
      <c r="X2" s="197" t="s">
        <v>9</v>
      </c>
      <c r="Y2" s="198"/>
      <c r="Z2" s="199"/>
      <c r="AA2" s="211" t="s">
        <v>10</v>
      </c>
      <c r="AB2" s="212"/>
      <c r="AC2" s="212"/>
      <c r="AD2" s="212" t="s">
        <v>11</v>
      </c>
      <c r="AE2" s="212"/>
      <c r="AF2" s="212"/>
      <c r="AG2" s="212" t="s">
        <v>4</v>
      </c>
      <c r="AH2" s="212"/>
      <c r="AI2" s="212"/>
      <c r="AJ2" s="212" t="s">
        <v>5</v>
      </c>
      <c r="AK2" s="212"/>
      <c r="AL2" s="212"/>
      <c r="AM2" s="212" t="s">
        <v>6</v>
      </c>
      <c r="AN2" s="212"/>
      <c r="AO2" s="212"/>
      <c r="AP2" s="212" t="s">
        <v>7</v>
      </c>
      <c r="AQ2" s="212"/>
      <c r="AR2" s="212"/>
      <c r="AS2" s="212" t="s">
        <v>8</v>
      </c>
      <c r="AT2" s="212"/>
      <c r="AU2" s="213"/>
      <c r="AV2" s="197" t="s">
        <v>12</v>
      </c>
      <c r="AW2" s="198"/>
      <c r="AX2" s="199"/>
      <c r="AY2" s="206" t="s">
        <v>10</v>
      </c>
      <c r="AZ2" s="203"/>
      <c r="BA2" s="203"/>
      <c r="BB2" s="203" t="s">
        <v>11</v>
      </c>
      <c r="BC2" s="203"/>
      <c r="BD2" s="203"/>
      <c r="BE2" s="203" t="s">
        <v>4</v>
      </c>
      <c r="BF2" s="203"/>
      <c r="BG2" s="203"/>
      <c r="BH2" s="203" t="s">
        <v>5</v>
      </c>
      <c r="BI2" s="203"/>
      <c r="BJ2" s="203"/>
      <c r="BK2" s="203" t="s">
        <v>6</v>
      </c>
      <c r="BL2" s="203"/>
      <c r="BM2" s="203"/>
      <c r="BN2" s="203" t="s">
        <v>7</v>
      </c>
      <c r="BO2" s="203"/>
      <c r="BP2" s="203"/>
      <c r="BQ2" s="203" t="s">
        <v>8</v>
      </c>
      <c r="BR2" s="203"/>
      <c r="BS2" s="204"/>
      <c r="BT2" s="197" t="s">
        <v>13</v>
      </c>
      <c r="BU2" s="198"/>
      <c r="BV2" s="199"/>
      <c r="BW2" s="205" t="s">
        <v>10</v>
      </c>
      <c r="BX2" s="195"/>
      <c r="BY2" s="195"/>
      <c r="BZ2" s="195" t="s">
        <v>11</v>
      </c>
      <c r="CA2" s="195"/>
      <c r="CB2" s="195"/>
      <c r="CC2" s="195" t="s">
        <v>4</v>
      </c>
      <c r="CD2" s="195"/>
      <c r="CE2" s="195"/>
      <c r="CF2" s="195" t="s">
        <v>5</v>
      </c>
      <c r="CG2" s="195"/>
      <c r="CH2" s="195"/>
      <c r="CI2" s="195" t="s">
        <v>6</v>
      </c>
      <c r="CJ2" s="195"/>
      <c r="CK2" s="195"/>
      <c r="CL2" s="195" t="s">
        <v>7</v>
      </c>
      <c r="CM2" s="195"/>
      <c r="CN2" s="195"/>
      <c r="CO2" s="195" t="s">
        <v>8</v>
      </c>
      <c r="CP2" s="195"/>
      <c r="CQ2" s="196"/>
      <c r="CR2" s="197" t="s">
        <v>14</v>
      </c>
      <c r="CS2" s="198"/>
      <c r="CT2" s="199"/>
      <c r="CU2" s="211" t="s">
        <v>10</v>
      </c>
      <c r="CV2" s="212"/>
      <c r="CW2" s="212"/>
      <c r="CX2" s="212" t="s">
        <v>11</v>
      </c>
      <c r="CY2" s="212"/>
      <c r="CZ2" s="212"/>
      <c r="DA2" s="212" t="s">
        <v>4</v>
      </c>
      <c r="DB2" s="212"/>
      <c r="DC2" s="212"/>
      <c r="DD2" s="305" t="s">
        <v>5</v>
      </c>
      <c r="DE2" s="305"/>
      <c r="DF2" s="305"/>
      <c r="DG2" s="301" t="s">
        <v>6</v>
      </c>
      <c r="DH2" s="301"/>
      <c r="DI2" s="301"/>
      <c r="DJ2" s="301" t="s">
        <v>7</v>
      </c>
      <c r="DK2" s="301"/>
      <c r="DL2" s="301"/>
      <c r="DM2" s="301" t="s">
        <v>37</v>
      </c>
      <c r="DN2" s="301"/>
      <c r="DO2" s="302"/>
      <c r="DP2" s="197" t="s">
        <v>15</v>
      </c>
      <c r="DQ2" s="198"/>
      <c r="DR2" s="199"/>
      <c r="DS2" s="192" t="s">
        <v>16</v>
      </c>
      <c r="DT2" s="193"/>
      <c r="DU2" s="194"/>
    </row>
    <row r="3" spans="1:125" s="17" customFormat="1" ht="17.100000000000001" customHeight="1" thickBot="1" x14ac:dyDescent="0.2">
      <c r="A3" s="7" t="s">
        <v>17</v>
      </c>
      <c r="B3" s="78" t="s">
        <v>18</v>
      </c>
      <c r="C3" s="8" t="s">
        <v>19</v>
      </c>
      <c r="D3" s="9" t="s">
        <v>20</v>
      </c>
      <c r="E3" s="10" t="s">
        <v>21</v>
      </c>
      <c r="F3" s="8" t="s">
        <v>19</v>
      </c>
      <c r="G3" s="9" t="s">
        <v>20</v>
      </c>
      <c r="H3" s="10" t="s">
        <v>21</v>
      </c>
      <c r="I3" s="8" t="s">
        <v>19</v>
      </c>
      <c r="J3" s="9" t="s">
        <v>20</v>
      </c>
      <c r="K3" s="10" t="s">
        <v>21</v>
      </c>
      <c r="L3" s="11" t="s">
        <v>19</v>
      </c>
      <c r="M3" s="9" t="s">
        <v>20</v>
      </c>
      <c r="N3" s="10" t="s">
        <v>21</v>
      </c>
      <c r="O3" s="11" t="s">
        <v>19</v>
      </c>
      <c r="P3" s="9" t="s">
        <v>20</v>
      </c>
      <c r="Q3" s="10" t="s">
        <v>21</v>
      </c>
      <c r="R3" s="11" t="s">
        <v>19</v>
      </c>
      <c r="S3" s="9" t="s">
        <v>20</v>
      </c>
      <c r="T3" s="10" t="s">
        <v>21</v>
      </c>
      <c r="U3" s="11" t="s">
        <v>19</v>
      </c>
      <c r="V3" s="9" t="s">
        <v>20</v>
      </c>
      <c r="W3" s="12" t="s">
        <v>21</v>
      </c>
      <c r="X3" s="8" t="s">
        <v>19</v>
      </c>
      <c r="Y3" s="13" t="s">
        <v>20</v>
      </c>
      <c r="Z3" s="12" t="s">
        <v>21</v>
      </c>
      <c r="AA3" s="8" t="s">
        <v>19</v>
      </c>
      <c r="AB3" s="9" t="s">
        <v>20</v>
      </c>
      <c r="AC3" s="10" t="s">
        <v>21</v>
      </c>
      <c r="AD3" s="8" t="s">
        <v>19</v>
      </c>
      <c r="AE3" s="9" t="s">
        <v>20</v>
      </c>
      <c r="AF3" s="10" t="s">
        <v>21</v>
      </c>
      <c r="AG3" s="8" t="s">
        <v>19</v>
      </c>
      <c r="AH3" s="9" t="s">
        <v>20</v>
      </c>
      <c r="AI3" s="10" t="s">
        <v>21</v>
      </c>
      <c r="AJ3" s="11" t="s">
        <v>19</v>
      </c>
      <c r="AK3" s="9" t="s">
        <v>20</v>
      </c>
      <c r="AL3" s="10" t="s">
        <v>21</v>
      </c>
      <c r="AM3" s="11" t="s">
        <v>19</v>
      </c>
      <c r="AN3" s="9" t="s">
        <v>20</v>
      </c>
      <c r="AO3" s="10" t="s">
        <v>21</v>
      </c>
      <c r="AP3" s="11" t="s">
        <v>19</v>
      </c>
      <c r="AQ3" s="9" t="s">
        <v>20</v>
      </c>
      <c r="AR3" s="10" t="s">
        <v>21</v>
      </c>
      <c r="AS3" s="11" t="s">
        <v>19</v>
      </c>
      <c r="AT3" s="9" t="s">
        <v>20</v>
      </c>
      <c r="AU3" s="12" t="s">
        <v>21</v>
      </c>
      <c r="AV3" s="8" t="s">
        <v>19</v>
      </c>
      <c r="AW3" s="13" t="s">
        <v>20</v>
      </c>
      <c r="AX3" s="12" t="s">
        <v>21</v>
      </c>
      <c r="AY3" s="8" t="s">
        <v>19</v>
      </c>
      <c r="AZ3" s="9" t="s">
        <v>20</v>
      </c>
      <c r="BA3" s="10" t="s">
        <v>21</v>
      </c>
      <c r="BB3" s="11" t="s">
        <v>19</v>
      </c>
      <c r="BC3" s="9" t="s">
        <v>20</v>
      </c>
      <c r="BD3" s="10" t="s">
        <v>21</v>
      </c>
      <c r="BE3" s="11" t="s">
        <v>19</v>
      </c>
      <c r="BF3" s="9" t="s">
        <v>20</v>
      </c>
      <c r="BG3" s="10" t="s">
        <v>21</v>
      </c>
      <c r="BH3" s="11" t="s">
        <v>19</v>
      </c>
      <c r="BI3" s="9" t="s">
        <v>20</v>
      </c>
      <c r="BJ3" s="10" t="s">
        <v>21</v>
      </c>
      <c r="BK3" s="11" t="s">
        <v>19</v>
      </c>
      <c r="BL3" s="9" t="s">
        <v>20</v>
      </c>
      <c r="BM3" s="10" t="s">
        <v>21</v>
      </c>
      <c r="BN3" s="11" t="s">
        <v>19</v>
      </c>
      <c r="BO3" s="9" t="s">
        <v>20</v>
      </c>
      <c r="BP3" s="10" t="s">
        <v>21</v>
      </c>
      <c r="BQ3" s="11" t="s">
        <v>19</v>
      </c>
      <c r="BR3" s="9" t="s">
        <v>20</v>
      </c>
      <c r="BS3" s="12" t="s">
        <v>21</v>
      </c>
      <c r="BT3" s="8" t="s">
        <v>19</v>
      </c>
      <c r="BU3" s="13" t="s">
        <v>20</v>
      </c>
      <c r="BV3" s="12" t="s">
        <v>21</v>
      </c>
      <c r="BW3" s="8" t="s">
        <v>19</v>
      </c>
      <c r="BX3" s="9" t="s">
        <v>20</v>
      </c>
      <c r="BY3" s="10" t="s">
        <v>21</v>
      </c>
      <c r="BZ3" s="11" t="s">
        <v>19</v>
      </c>
      <c r="CA3" s="9" t="s">
        <v>20</v>
      </c>
      <c r="CB3" s="10" t="s">
        <v>21</v>
      </c>
      <c r="CC3" s="11" t="s">
        <v>19</v>
      </c>
      <c r="CD3" s="9" t="s">
        <v>20</v>
      </c>
      <c r="CE3" s="10" t="s">
        <v>21</v>
      </c>
      <c r="CF3" s="11" t="s">
        <v>19</v>
      </c>
      <c r="CG3" s="9" t="s">
        <v>20</v>
      </c>
      <c r="CH3" s="10" t="s">
        <v>21</v>
      </c>
      <c r="CI3" s="11" t="s">
        <v>19</v>
      </c>
      <c r="CJ3" s="9" t="s">
        <v>20</v>
      </c>
      <c r="CK3" s="10" t="s">
        <v>21</v>
      </c>
      <c r="CL3" s="11" t="s">
        <v>19</v>
      </c>
      <c r="CM3" s="9" t="s">
        <v>20</v>
      </c>
      <c r="CN3" s="10" t="s">
        <v>21</v>
      </c>
      <c r="CO3" s="11" t="s">
        <v>19</v>
      </c>
      <c r="CP3" s="9" t="s">
        <v>20</v>
      </c>
      <c r="CQ3" s="12" t="s">
        <v>21</v>
      </c>
      <c r="CR3" s="8" t="s">
        <v>19</v>
      </c>
      <c r="CS3" s="13" t="s">
        <v>20</v>
      </c>
      <c r="CT3" s="12" t="s">
        <v>21</v>
      </c>
      <c r="CU3" s="8" t="s">
        <v>19</v>
      </c>
      <c r="CV3" s="9" t="s">
        <v>20</v>
      </c>
      <c r="CW3" s="10" t="s">
        <v>21</v>
      </c>
      <c r="CX3" s="11" t="s">
        <v>19</v>
      </c>
      <c r="CY3" s="9" t="s">
        <v>20</v>
      </c>
      <c r="CZ3" s="10" t="s">
        <v>21</v>
      </c>
      <c r="DA3" s="11" t="s">
        <v>19</v>
      </c>
      <c r="DB3" s="9" t="s">
        <v>20</v>
      </c>
      <c r="DC3" s="10" t="s">
        <v>21</v>
      </c>
      <c r="DD3" s="11" t="s">
        <v>19</v>
      </c>
      <c r="DE3" s="9" t="s">
        <v>20</v>
      </c>
      <c r="DF3" s="10" t="s">
        <v>21</v>
      </c>
      <c r="DG3" s="11" t="s">
        <v>19</v>
      </c>
      <c r="DH3" s="9" t="s">
        <v>20</v>
      </c>
      <c r="DI3" s="12" t="s">
        <v>21</v>
      </c>
      <c r="DJ3" s="11" t="s">
        <v>19</v>
      </c>
      <c r="DK3" s="9" t="s">
        <v>20</v>
      </c>
      <c r="DL3" s="12" t="s">
        <v>21</v>
      </c>
      <c r="DM3" s="11" t="s">
        <v>19</v>
      </c>
      <c r="DN3" s="9" t="s">
        <v>20</v>
      </c>
      <c r="DO3" s="12" t="s">
        <v>21</v>
      </c>
      <c r="DP3" s="8" t="s">
        <v>19</v>
      </c>
      <c r="DQ3" s="13" t="s">
        <v>20</v>
      </c>
      <c r="DR3" s="12" t="s">
        <v>21</v>
      </c>
      <c r="DS3" s="14" t="s">
        <v>19</v>
      </c>
      <c r="DT3" s="15" t="s">
        <v>20</v>
      </c>
      <c r="DU3" s="16" t="s">
        <v>21</v>
      </c>
    </row>
    <row r="4" spans="1:125" s="26" customFormat="1" ht="17.100000000000001" customHeight="1" thickBot="1" x14ac:dyDescent="0.25">
      <c r="A4" s="18" t="s">
        <v>22</v>
      </c>
      <c r="B4" s="19">
        <v>6000</v>
      </c>
      <c r="C4" s="20"/>
      <c r="D4" s="21"/>
      <c r="E4" s="1">
        <f>$B4*D4</f>
        <v>0</v>
      </c>
      <c r="F4" s="20"/>
      <c r="G4" s="21"/>
      <c r="H4" s="1">
        <f>$B4*G4</f>
        <v>0</v>
      </c>
      <c r="I4" s="20"/>
      <c r="J4" s="21"/>
      <c r="K4" s="1">
        <f>$B4*J4</f>
        <v>0</v>
      </c>
      <c r="L4" s="22"/>
      <c r="M4" s="21"/>
      <c r="N4" s="1">
        <f>$B4*M4</f>
        <v>0</v>
      </c>
      <c r="O4" s="22"/>
      <c r="P4" s="21"/>
      <c r="Q4" s="1">
        <f>$B4*P4</f>
        <v>0</v>
      </c>
      <c r="R4" s="23"/>
      <c r="S4" s="21"/>
      <c r="T4" s="1">
        <f>$B4*S4</f>
        <v>0</v>
      </c>
      <c r="U4" s="24"/>
      <c r="V4" s="21"/>
      <c r="W4" s="63">
        <f>$B4*V4</f>
        <v>0</v>
      </c>
      <c r="X4" s="69">
        <f>C4+F4+I4+L4+O4+R4+U4</f>
        <v>0</v>
      </c>
      <c r="Y4" s="66">
        <f>D4+G4+J4+M4+P4+S4+V4</f>
        <v>0</v>
      </c>
      <c r="Z4" s="72">
        <f>E4+H4+K4+N4+Q4+T4+W4</f>
        <v>0</v>
      </c>
      <c r="AA4" s="25"/>
      <c r="AB4" s="21"/>
      <c r="AC4" s="1">
        <f>$B4*AB4</f>
        <v>0</v>
      </c>
      <c r="AD4" s="24"/>
      <c r="AE4" s="21"/>
      <c r="AF4" s="1">
        <f>$B4*AE4</f>
        <v>0</v>
      </c>
      <c r="AG4" s="24"/>
      <c r="AH4" s="21">
        <v>1</v>
      </c>
      <c r="AI4" s="1">
        <f>$B4*AH4</f>
        <v>6000</v>
      </c>
      <c r="AJ4" s="24"/>
      <c r="AK4" s="21">
        <v>1</v>
      </c>
      <c r="AL4" s="1">
        <f>$B4*AK4</f>
        <v>6000</v>
      </c>
      <c r="AM4" s="24"/>
      <c r="AN4" s="21"/>
      <c r="AO4" s="1">
        <f>$B4*AN4</f>
        <v>0</v>
      </c>
      <c r="AP4" s="24"/>
      <c r="AQ4" s="21"/>
      <c r="AR4" s="1">
        <f>$B4*AQ4</f>
        <v>0</v>
      </c>
      <c r="AS4" s="24"/>
      <c r="AT4" s="21"/>
      <c r="AU4" s="1">
        <f>$B4*AT4</f>
        <v>0</v>
      </c>
      <c r="AV4" s="69">
        <f>AA4+AD4+AG4+AJ4+AM4+AP4+AS4</f>
        <v>0</v>
      </c>
      <c r="AW4" s="66">
        <f>AB4+AE4+AH4+AK4+AN4+AQ4+AT4</f>
        <v>2</v>
      </c>
      <c r="AX4" s="47">
        <f>AC4+AF4+AI4+AL4+AO4+AR4+AU4</f>
        <v>12000</v>
      </c>
      <c r="AY4" s="24"/>
      <c r="AZ4" s="21">
        <v>1</v>
      </c>
      <c r="BA4" s="1">
        <f>$B4*AZ4</f>
        <v>6000</v>
      </c>
      <c r="BB4" s="24"/>
      <c r="BC4" s="21">
        <v>3</v>
      </c>
      <c r="BD4" s="1">
        <f>$B4*BC4</f>
        <v>18000</v>
      </c>
      <c r="BE4" s="24"/>
      <c r="BF4" s="21">
        <v>3</v>
      </c>
      <c r="BG4" s="1">
        <f>$B4*BF4</f>
        <v>18000</v>
      </c>
      <c r="BH4" s="24"/>
      <c r="BI4" s="21"/>
      <c r="BJ4" s="1">
        <f>$B4*BI4</f>
        <v>0</v>
      </c>
      <c r="BK4" s="24"/>
      <c r="BL4" s="21"/>
      <c r="BM4" s="1">
        <f>$B4*BL4</f>
        <v>0</v>
      </c>
      <c r="BN4" s="24"/>
      <c r="BO4" s="21">
        <v>1</v>
      </c>
      <c r="BP4" s="1">
        <f>$B4*BO4</f>
        <v>6000</v>
      </c>
      <c r="BQ4" s="24"/>
      <c r="BR4" s="21"/>
      <c r="BS4" s="1">
        <f>$B4*BR4</f>
        <v>0</v>
      </c>
      <c r="BT4" s="69">
        <f>AY4+BB4+BE4+BH4+BK4+BN4+BQ4</f>
        <v>0</v>
      </c>
      <c r="BU4" s="66">
        <f>AZ4+BC4+BF4+BI4+BL4+BO4+BR4</f>
        <v>8</v>
      </c>
      <c r="BV4" s="47">
        <f>BA4+BD4+BG4+BJ4+BM4+BP4+BS4</f>
        <v>48000</v>
      </c>
      <c r="BW4" s="24"/>
      <c r="BX4" s="21"/>
      <c r="BY4" s="1">
        <f>$B4*BX4</f>
        <v>0</v>
      </c>
      <c r="BZ4" s="24"/>
      <c r="CA4" s="21">
        <v>2</v>
      </c>
      <c r="CB4" s="1">
        <f>$B4*CA4</f>
        <v>12000</v>
      </c>
      <c r="CC4" s="24"/>
      <c r="CD4" s="21">
        <v>2</v>
      </c>
      <c r="CE4" s="1">
        <f>$B4*CD4</f>
        <v>12000</v>
      </c>
      <c r="CF4" s="24"/>
      <c r="CG4" s="21">
        <v>1</v>
      </c>
      <c r="CH4" s="1">
        <f>$B4*CG4</f>
        <v>6000</v>
      </c>
      <c r="CI4" s="24"/>
      <c r="CJ4" s="21"/>
      <c r="CK4" s="1">
        <f>$B4*CJ4</f>
        <v>0</v>
      </c>
      <c r="CL4" s="24"/>
      <c r="CM4" s="21"/>
      <c r="CN4" s="1">
        <f>$B4*CM4</f>
        <v>0</v>
      </c>
      <c r="CO4" s="24"/>
      <c r="CP4" s="21"/>
      <c r="CQ4" s="1">
        <f>$B4*CP4</f>
        <v>0</v>
      </c>
      <c r="CR4" s="69">
        <f>BW4+BZ4+CC4+CF4+CI4+CL4+CO4</f>
        <v>0</v>
      </c>
      <c r="CS4" s="66">
        <f>BX4+CA4+CD4+CG4+CJ4+CM4+CP4</f>
        <v>5</v>
      </c>
      <c r="CT4" s="47">
        <f>BY4+CB4+CE4+CH4+CK4+CN4+CQ4</f>
        <v>30000</v>
      </c>
      <c r="CU4" s="24"/>
      <c r="CV4" s="21"/>
      <c r="CW4" s="1">
        <f>$B4*CV4</f>
        <v>0</v>
      </c>
      <c r="CX4" s="24"/>
      <c r="CY4" s="21">
        <v>2</v>
      </c>
      <c r="CZ4" s="1">
        <f>$B4*CY4</f>
        <v>12000</v>
      </c>
      <c r="DA4" s="24"/>
      <c r="DB4" s="21">
        <v>2</v>
      </c>
      <c r="DC4" s="1">
        <f>$B4*DB4</f>
        <v>12000</v>
      </c>
      <c r="DD4" s="24"/>
      <c r="DE4" s="21"/>
      <c r="DF4" s="1">
        <f>$B4*DE4</f>
        <v>0</v>
      </c>
      <c r="DG4" s="24"/>
      <c r="DH4" s="21"/>
      <c r="DI4" s="1">
        <f>$B4*DH4</f>
        <v>0</v>
      </c>
      <c r="DJ4" s="24"/>
      <c r="DK4" s="21"/>
      <c r="DL4" s="1">
        <f>$B4*DK4</f>
        <v>0</v>
      </c>
      <c r="DM4" s="24"/>
      <c r="DN4" s="21"/>
      <c r="DO4" s="1">
        <f>$B4*DN4</f>
        <v>0</v>
      </c>
      <c r="DP4" s="69">
        <f>CU4+CX4+DA4+DD4+DG4+DJ4+DM4</f>
        <v>0</v>
      </c>
      <c r="DQ4" s="66">
        <f>CV4+CY4+DB4+DE4+DH4+DK4+DN4</f>
        <v>4</v>
      </c>
      <c r="DR4" s="47">
        <f>CW4+CZ4+DC4+DF4+DI4+DL4+DO4</f>
        <v>24000</v>
      </c>
      <c r="DS4" s="48">
        <f>X4+AV4+CR4+DP4</f>
        <v>0</v>
      </c>
      <c r="DT4" s="49">
        <f>Y4+AW4+BU4+CS4+DQ4</f>
        <v>19</v>
      </c>
      <c r="DU4" s="50">
        <f>Z4+AX4+BV4+CT4+DR4</f>
        <v>114000</v>
      </c>
    </row>
    <row r="5" spans="1:125" s="26" customFormat="1" ht="17.100000000000001" customHeight="1" thickBot="1" x14ac:dyDescent="0.25">
      <c r="A5" s="27" t="s">
        <v>23</v>
      </c>
      <c r="B5" s="19">
        <v>6000</v>
      </c>
      <c r="C5" s="29"/>
      <c r="D5" s="30"/>
      <c r="E5" s="2">
        <f t="shared" ref="E5:E21" si="0">$B5*D5</f>
        <v>0</v>
      </c>
      <c r="F5" s="29"/>
      <c r="G5" s="30"/>
      <c r="H5" s="2">
        <f t="shared" ref="H5:H21" si="1">$B5*G5</f>
        <v>0</v>
      </c>
      <c r="I5" s="29"/>
      <c r="J5" s="30"/>
      <c r="K5" s="2">
        <f t="shared" ref="K5:K21" si="2">$B5*J5</f>
        <v>0</v>
      </c>
      <c r="L5" s="31"/>
      <c r="M5" s="30"/>
      <c r="N5" s="2">
        <f t="shared" ref="N5:N21" si="3">$B5*M5</f>
        <v>0</v>
      </c>
      <c r="O5" s="31"/>
      <c r="P5" s="30"/>
      <c r="Q5" s="2">
        <f t="shared" ref="Q5:Q21" si="4">$B5*P5</f>
        <v>0</v>
      </c>
      <c r="R5" s="32"/>
      <c r="S5" s="30"/>
      <c r="T5" s="2">
        <f t="shared" ref="T5:T21" si="5">$B5*S5</f>
        <v>0</v>
      </c>
      <c r="U5" s="33"/>
      <c r="V5" s="30"/>
      <c r="W5" s="64">
        <f t="shared" ref="W5:W21" si="6">$B5*V5</f>
        <v>0</v>
      </c>
      <c r="X5" s="70">
        <f t="shared" ref="X5:Z21" si="7">C5+F5+I5+L5+O5+R5+U5</f>
        <v>0</v>
      </c>
      <c r="Y5" s="67">
        <f t="shared" si="7"/>
        <v>0</v>
      </c>
      <c r="Z5" s="73">
        <f t="shared" si="7"/>
        <v>0</v>
      </c>
      <c r="AA5" s="35"/>
      <c r="AB5" s="30"/>
      <c r="AC5" s="2">
        <f t="shared" ref="AC5:AC21" si="8">$B5*AB5</f>
        <v>0</v>
      </c>
      <c r="AD5" s="33"/>
      <c r="AE5" s="30"/>
      <c r="AF5" s="2">
        <f t="shared" ref="AF5:AF21" si="9">$B5*AE5</f>
        <v>0</v>
      </c>
      <c r="AG5" s="33"/>
      <c r="AH5" s="30">
        <v>1</v>
      </c>
      <c r="AI5" s="2">
        <f t="shared" ref="AI5:AI21" si="10">$B5*AH5</f>
        <v>6000</v>
      </c>
      <c r="AJ5" s="33"/>
      <c r="AK5" s="30"/>
      <c r="AL5" s="2">
        <f t="shared" ref="AL5:AL21" si="11">$B5*AK5</f>
        <v>0</v>
      </c>
      <c r="AM5" s="33"/>
      <c r="AN5" s="30"/>
      <c r="AO5" s="2">
        <f t="shared" ref="AO5:AO21" si="12">$B5*AN5</f>
        <v>0</v>
      </c>
      <c r="AP5" s="33"/>
      <c r="AQ5" s="30">
        <v>1</v>
      </c>
      <c r="AR5" s="2">
        <f t="shared" ref="AR5:AR21" si="13">$B5*AQ5</f>
        <v>6000</v>
      </c>
      <c r="AS5" s="33"/>
      <c r="AT5" s="30"/>
      <c r="AU5" s="2">
        <f t="shared" ref="AU5:AU21" si="14">$B5*AT5</f>
        <v>0</v>
      </c>
      <c r="AV5" s="70">
        <f t="shared" ref="AV5:AX21" si="15">AA5+AD5+AG5+AJ5+AM5+AP5+AS5</f>
        <v>0</v>
      </c>
      <c r="AW5" s="67">
        <f t="shared" si="15"/>
        <v>2</v>
      </c>
      <c r="AX5" s="51">
        <f t="shared" si="15"/>
        <v>12000</v>
      </c>
      <c r="AY5" s="33"/>
      <c r="AZ5" s="30"/>
      <c r="BA5" s="2">
        <f t="shared" ref="BA5:BA21" si="16">$B5*AZ5</f>
        <v>0</v>
      </c>
      <c r="BB5" s="33"/>
      <c r="BC5" s="30">
        <v>3</v>
      </c>
      <c r="BD5" s="2">
        <f t="shared" ref="BD5:BD21" si="17">$B5*BC5</f>
        <v>18000</v>
      </c>
      <c r="BE5" s="33"/>
      <c r="BF5" s="30">
        <v>2</v>
      </c>
      <c r="BG5" s="2">
        <f t="shared" ref="BG5:BG21" si="18">$B5*BF5</f>
        <v>12000</v>
      </c>
      <c r="BH5" s="33"/>
      <c r="BI5" s="30"/>
      <c r="BJ5" s="2">
        <f t="shared" ref="BJ5:BJ21" si="19">$B5*BI5</f>
        <v>0</v>
      </c>
      <c r="BK5" s="33"/>
      <c r="BL5" s="30"/>
      <c r="BM5" s="2">
        <f t="shared" ref="BM5:BM21" si="20">$B5*BL5</f>
        <v>0</v>
      </c>
      <c r="BN5" s="33"/>
      <c r="BO5" s="30">
        <v>2</v>
      </c>
      <c r="BP5" s="2">
        <f t="shared" ref="BP5:BP21" si="21">$B5*BO5</f>
        <v>12000</v>
      </c>
      <c r="BQ5" s="33"/>
      <c r="BR5" s="30"/>
      <c r="BS5" s="2">
        <f t="shared" ref="BS5:BS21" si="22">$B5*BR5</f>
        <v>0</v>
      </c>
      <c r="BT5" s="70">
        <f t="shared" ref="BT5:BV21" si="23">AY5+BB5+BE5+BH5+BK5+BN5+BQ5</f>
        <v>0</v>
      </c>
      <c r="BU5" s="67">
        <f t="shared" si="23"/>
        <v>7</v>
      </c>
      <c r="BV5" s="51">
        <f t="shared" si="23"/>
        <v>42000</v>
      </c>
      <c r="BW5" s="33"/>
      <c r="BX5" s="30"/>
      <c r="BY5" s="2">
        <f t="shared" ref="BY5:BY21" si="24">$B5*BX5</f>
        <v>0</v>
      </c>
      <c r="BZ5" s="33"/>
      <c r="CA5" s="30"/>
      <c r="CB5" s="2">
        <f t="shared" ref="CB5:CB21" si="25">$B5*CA5</f>
        <v>0</v>
      </c>
      <c r="CC5" s="33"/>
      <c r="CD5" s="30">
        <v>2</v>
      </c>
      <c r="CE5" s="2">
        <f t="shared" ref="CE5:CE21" si="26">$B5*CD5</f>
        <v>12000</v>
      </c>
      <c r="CF5" s="33"/>
      <c r="CG5" s="30">
        <v>1</v>
      </c>
      <c r="CH5" s="2">
        <f t="shared" ref="CH5:CH21" si="27">$B5*CG5</f>
        <v>6000</v>
      </c>
      <c r="CI5" s="33"/>
      <c r="CJ5" s="30"/>
      <c r="CK5" s="2">
        <f t="shared" ref="CK5:CK21" si="28">$B5*CJ5</f>
        <v>0</v>
      </c>
      <c r="CL5" s="33"/>
      <c r="CM5" s="30"/>
      <c r="CN5" s="2">
        <f t="shared" ref="CN5:CN21" si="29">$B5*CM5</f>
        <v>0</v>
      </c>
      <c r="CO5" s="33"/>
      <c r="CP5" s="30"/>
      <c r="CQ5" s="2">
        <f t="shared" ref="CQ5:CQ21" si="30">$B5*CP5</f>
        <v>0</v>
      </c>
      <c r="CR5" s="70">
        <f t="shared" ref="CR5:CT21" si="31">BW5+BZ5+CC5+CF5+CI5+CL5+CO5</f>
        <v>0</v>
      </c>
      <c r="CS5" s="67">
        <f t="shared" si="31"/>
        <v>3</v>
      </c>
      <c r="CT5" s="51">
        <f t="shared" si="31"/>
        <v>18000</v>
      </c>
      <c r="CU5" s="33"/>
      <c r="CV5" s="30"/>
      <c r="CW5" s="2">
        <f t="shared" ref="CW5:CW21" si="32">$B5*CV5</f>
        <v>0</v>
      </c>
      <c r="CX5" s="33"/>
      <c r="CY5" s="30">
        <v>2</v>
      </c>
      <c r="CZ5" s="2">
        <f t="shared" ref="CZ5:CZ21" si="33">$B5*CY5</f>
        <v>12000</v>
      </c>
      <c r="DA5" s="33"/>
      <c r="DB5" s="30">
        <v>2</v>
      </c>
      <c r="DC5" s="2">
        <f t="shared" ref="DC5:DC21" si="34">$B5*DB5</f>
        <v>12000</v>
      </c>
      <c r="DD5" s="33"/>
      <c r="DE5" s="30"/>
      <c r="DF5" s="2">
        <f t="shared" ref="DF5:DF21" si="35">$B5*DE5</f>
        <v>0</v>
      </c>
      <c r="DG5" s="33"/>
      <c r="DH5" s="30"/>
      <c r="DI5" s="2">
        <f t="shared" ref="DI5:DI21" si="36">$B5*DH5</f>
        <v>0</v>
      </c>
      <c r="DJ5" s="33"/>
      <c r="DK5" s="30"/>
      <c r="DL5" s="2">
        <f t="shared" ref="DL5:DL21" si="37">$B5*DK5</f>
        <v>0</v>
      </c>
      <c r="DM5" s="33"/>
      <c r="DN5" s="30"/>
      <c r="DO5" s="2">
        <f t="shared" ref="DO5:DO21" si="38">$B5*DN5</f>
        <v>0</v>
      </c>
      <c r="DP5" s="70">
        <f t="shared" ref="DP5:DR21" si="39">CU5+CX5+DA5+DD5+DG5+DJ5+DM5</f>
        <v>0</v>
      </c>
      <c r="DQ5" s="67">
        <f t="shared" si="39"/>
        <v>4</v>
      </c>
      <c r="DR5" s="51">
        <f t="shared" si="39"/>
        <v>24000</v>
      </c>
      <c r="DS5" s="52">
        <f t="shared" ref="DS5:DS21" si="40">X5+AV5+CR5+DP5</f>
        <v>0</v>
      </c>
      <c r="DT5" s="53">
        <f t="shared" ref="DT5:DU21" si="41">Y5+AW5+BU5+CS5+DQ5</f>
        <v>16</v>
      </c>
      <c r="DU5" s="54">
        <f t="shared" si="41"/>
        <v>96000</v>
      </c>
    </row>
    <row r="6" spans="1:125" s="26" customFormat="1" ht="17.100000000000001" customHeight="1" thickBot="1" x14ac:dyDescent="0.25">
      <c r="A6" s="27" t="s">
        <v>24</v>
      </c>
      <c r="B6" s="19">
        <v>6000</v>
      </c>
      <c r="C6" s="29"/>
      <c r="D6" s="30"/>
      <c r="E6" s="2">
        <f t="shared" si="0"/>
        <v>0</v>
      </c>
      <c r="F6" s="29">
        <v>10000</v>
      </c>
      <c r="G6" s="30"/>
      <c r="H6" s="2">
        <f t="shared" si="1"/>
        <v>0</v>
      </c>
      <c r="I6" s="29"/>
      <c r="J6" s="30"/>
      <c r="K6" s="2">
        <f t="shared" si="2"/>
        <v>0</v>
      </c>
      <c r="L6" s="31"/>
      <c r="M6" s="30"/>
      <c r="N6" s="2">
        <f t="shared" si="3"/>
        <v>0</v>
      </c>
      <c r="O6" s="31"/>
      <c r="P6" s="30"/>
      <c r="Q6" s="2">
        <f t="shared" si="4"/>
        <v>0</v>
      </c>
      <c r="R6" s="32"/>
      <c r="S6" s="30"/>
      <c r="T6" s="2">
        <f t="shared" si="5"/>
        <v>0</v>
      </c>
      <c r="U6" s="33"/>
      <c r="V6" s="30"/>
      <c r="W6" s="64">
        <f t="shared" si="6"/>
        <v>0</v>
      </c>
      <c r="X6" s="70">
        <f t="shared" si="7"/>
        <v>10000</v>
      </c>
      <c r="Y6" s="67">
        <f t="shared" si="7"/>
        <v>0</v>
      </c>
      <c r="Z6" s="73">
        <f t="shared" si="7"/>
        <v>0</v>
      </c>
      <c r="AA6" s="35"/>
      <c r="AB6" s="30"/>
      <c r="AC6" s="2">
        <f t="shared" si="8"/>
        <v>0</v>
      </c>
      <c r="AD6" s="33"/>
      <c r="AE6" s="30"/>
      <c r="AF6" s="2">
        <f t="shared" si="9"/>
        <v>0</v>
      </c>
      <c r="AG6" s="33"/>
      <c r="AH6" s="30">
        <v>1</v>
      </c>
      <c r="AI6" s="2">
        <f t="shared" si="10"/>
        <v>6000</v>
      </c>
      <c r="AJ6" s="33"/>
      <c r="AK6" s="30"/>
      <c r="AL6" s="2">
        <f t="shared" si="11"/>
        <v>0</v>
      </c>
      <c r="AM6" s="33"/>
      <c r="AN6" s="30"/>
      <c r="AO6" s="2">
        <f t="shared" si="12"/>
        <v>0</v>
      </c>
      <c r="AP6" s="33"/>
      <c r="AQ6" s="30"/>
      <c r="AR6" s="2">
        <f t="shared" si="13"/>
        <v>0</v>
      </c>
      <c r="AS6" s="33"/>
      <c r="AT6" s="30"/>
      <c r="AU6" s="2">
        <f t="shared" si="14"/>
        <v>0</v>
      </c>
      <c r="AV6" s="70">
        <f t="shared" si="15"/>
        <v>0</v>
      </c>
      <c r="AW6" s="67">
        <f t="shared" si="15"/>
        <v>1</v>
      </c>
      <c r="AX6" s="51">
        <f t="shared" si="15"/>
        <v>6000</v>
      </c>
      <c r="AY6" s="33"/>
      <c r="AZ6" s="30">
        <v>1</v>
      </c>
      <c r="BA6" s="2">
        <f t="shared" si="16"/>
        <v>6000</v>
      </c>
      <c r="BB6" s="33">
        <v>10000</v>
      </c>
      <c r="BC6" s="30">
        <v>3</v>
      </c>
      <c r="BD6" s="2">
        <f t="shared" si="17"/>
        <v>18000</v>
      </c>
      <c r="BE6" s="33"/>
      <c r="BF6" s="30">
        <v>2</v>
      </c>
      <c r="BG6" s="2">
        <f t="shared" si="18"/>
        <v>12000</v>
      </c>
      <c r="BH6" s="33"/>
      <c r="BI6" s="30"/>
      <c r="BJ6" s="2">
        <f t="shared" si="19"/>
        <v>0</v>
      </c>
      <c r="BK6" s="33"/>
      <c r="BL6" s="30"/>
      <c r="BM6" s="2">
        <f t="shared" si="20"/>
        <v>0</v>
      </c>
      <c r="BN6" s="33">
        <v>15000</v>
      </c>
      <c r="BO6" s="30"/>
      <c r="BP6" s="2">
        <f t="shared" si="21"/>
        <v>0</v>
      </c>
      <c r="BQ6" s="33"/>
      <c r="BR6" s="30"/>
      <c r="BS6" s="2">
        <f t="shared" si="22"/>
        <v>0</v>
      </c>
      <c r="BT6" s="70">
        <f t="shared" si="23"/>
        <v>25000</v>
      </c>
      <c r="BU6" s="67">
        <f t="shared" si="23"/>
        <v>6</v>
      </c>
      <c r="BV6" s="51">
        <f t="shared" si="23"/>
        <v>36000</v>
      </c>
      <c r="BW6" s="33"/>
      <c r="BX6" s="30"/>
      <c r="BY6" s="2">
        <f t="shared" si="24"/>
        <v>0</v>
      </c>
      <c r="BZ6" s="33"/>
      <c r="CA6" s="30">
        <v>1</v>
      </c>
      <c r="CB6" s="2">
        <f t="shared" si="25"/>
        <v>6000</v>
      </c>
      <c r="CC6" s="33"/>
      <c r="CD6" s="30">
        <v>2</v>
      </c>
      <c r="CE6" s="2">
        <f t="shared" si="26"/>
        <v>12000</v>
      </c>
      <c r="CF6" s="33"/>
      <c r="CG6" s="30">
        <v>1</v>
      </c>
      <c r="CH6" s="2">
        <f t="shared" si="27"/>
        <v>6000</v>
      </c>
      <c r="CI6" s="33"/>
      <c r="CJ6" s="30"/>
      <c r="CK6" s="2">
        <f t="shared" si="28"/>
        <v>0</v>
      </c>
      <c r="CL6" s="33"/>
      <c r="CM6" s="30"/>
      <c r="CN6" s="2">
        <f t="shared" si="29"/>
        <v>0</v>
      </c>
      <c r="CO6" s="33"/>
      <c r="CP6" s="30"/>
      <c r="CQ6" s="2">
        <f t="shared" si="30"/>
        <v>0</v>
      </c>
      <c r="CR6" s="70">
        <f t="shared" si="31"/>
        <v>0</v>
      </c>
      <c r="CS6" s="67">
        <f t="shared" si="31"/>
        <v>4</v>
      </c>
      <c r="CT6" s="51">
        <f t="shared" si="31"/>
        <v>24000</v>
      </c>
      <c r="CU6" s="33"/>
      <c r="CV6" s="30"/>
      <c r="CW6" s="2">
        <f t="shared" si="32"/>
        <v>0</v>
      </c>
      <c r="CX6" s="33"/>
      <c r="CY6" s="30"/>
      <c r="CZ6" s="2">
        <f t="shared" si="33"/>
        <v>0</v>
      </c>
      <c r="DA6" s="33"/>
      <c r="DB6" s="30"/>
      <c r="DC6" s="2">
        <f t="shared" si="34"/>
        <v>0</v>
      </c>
      <c r="DD6" s="33"/>
      <c r="DE6" s="30"/>
      <c r="DF6" s="2">
        <f t="shared" si="35"/>
        <v>0</v>
      </c>
      <c r="DG6" s="33"/>
      <c r="DH6" s="30"/>
      <c r="DI6" s="2">
        <f t="shared" si="36"/>
        <v>0</v>
      </c>
      <c r="DJ6" s="33"/>
      <c r="DK6" s="30"/>
      <c r="DL6" s="2">
        <f t="shared" si="37"/>
        <v>0</v>
      </c>
      <c r="DM6" s="33"/>
      <c r="DN6" s="30"/>
      <c r="DO6" s="2">
        <f t="shared" si="38"/>
        <v>0</v>
      </c>
      <c r="DP6" s="70">
        <f t="shared" si="39"/>
        <v>0</v>
      </c>
      <c r="DQ6" s="67">
        <f t="shared" si="39"/>
        <v>0</v>
      </c>
      <c r="DR6" s="51">
        <f t="shared" si="39"/>
        <v>0</v>
      </c>
      <c r="DS6" s="52" t="s">
        <v>49</v>
      </c>
      <c r="DT6" s="53">
        <f t="shared" si="41"/>
        <v>11</v>
      </c>
      <c r="DU6" s="54">
        <f t="shared" si="41"/>
        <v>66000</v>
      </c>
    </row>
    <row r="7" spans="1:125" s="26" customFormat="1" ht="17.100000000000001" customHeight="1" thickBot="1" x14ac:dyDescent="0.25">
      <c r="A7" s="27" t="s">
        <v>25</v>
      </c>
      <c r="B7" s="19">
        <v>6000</v>
      </c>
      <c r="C7" s="29"/>
      <c r="D7" s="30"/>
      <c r="E7" s="2">
        <f t="shared" si="0"/>
        <v>0</v>
      </c>
      <c r="F7" s="29"/>
      <c r="G7" s="30"/>
      <c r="H7" s="2">
        <f t="shared" si="1"/>
        <v>0</v>
      </c>
      <c r="I7" s="29"/>
      <c r="J7" s="30"/>
      <c r="K7" s="2">
        <f t="shared" si="2"/>
        <v>0</v>
      </c>
      <c r="L7" s="31"/>
      <c r="M7" s="30"/>
      <c r="N7" s="2">
        <f t="shared" si="3"/>
        <v>0</v>
      </c>
      <c r="O7" s="31"/>
      <c r="P7" s="30"/>
      <c r="Q7" s="2">
        <f t="shared" si="4"/>
        <v>0</v>
      </c>
      <c r="R7" s="32"/>
      <c r="S7" s="30"/>
      <c r="T7" s="2">
        <f t="shared" si="5"/>
        <v>0</v>
      </c>
      <c r="U7" s="33"/>
      <c r="V7" s="30"/>
      <c r="W7" s="64">
        <f t="shared" si="6"/>
        <v>0</v>
      </c>
      <c r="X7" s="70">
        <f t="shared" si="7"/>
        <v>0</v>
      </c>
      <c r="Y7" s="67">
        <f t="shared" si="7"/>
        <v>0</v>
      </c>
      <c r="Z7" s="73">
        <f t="shared" si="7"/>
        <v>0</v>
      </c>
      <c r="AA7" s="35"/>
      <c r="AB7" s="30"/>
      <c r="AC7" s="2">
        <f t="shared" si="8"/>
        <v>0</v>
      </c>
      <c r="AD7" s="33"/>
      <c r="AE7" s="30"/>
      <c r="AF7" s="2">
        <f t="shared" si="9"/>
        <v>0</v>
      </c>
      <c r="AG7" s="33"/>
      <c r="AH7" s="30">
        <v>1</v>
      </c>
      <c r="AI7" s="2">
        <f t="shared" si="10"/>
        <v>6000</v>
      </c>
      <c r="AJ7" s="33"/>
      <c r="AK7" s="30">
        <v>1</v>
      </c>
      <c r="AL7" s="2">
        <f t="shared" si="11"/>
        <v>6000</v>
      </c>
      <c r="AM7" s="33"/>
      <c r="AN7" s="30"/>
      <c r="AO7" s="2">
        <f t="shared" si="12"/>
        <v>0</v>
      </c>
      <c r="AP7" s="33"/>
      <c r="AQ7" s="30"/>
      <c r="AR7" s="2">
        <f t="shared" si="13"/>
        <v>0</v>
      </c>
      <c r="AS7" s="33"/>
      <c r="AT7" s="30"/>
      <c r="AU7" s="2">
        <f t="shared" si="14"/>
        <v>0</v>
      </c>
      <c r="AV7" s="70">
        <f t="shared" si="15"/>
        <v>0</v>
      </c>
      <c r="AW7" s="67">
        <f t="shared" si="15"/>
        <v>2</v>
      </c>
      <c r="AX7" s="51">
        <f t="shared" si="15"/>
        <v>12000</v>
      </c>
      <c r="AY7" s="33"/>
      <c r="AZ7" s="30">
        <v>1</v>
      </c>
      <c r="BA7" s="2">
        <f t="shared" si="16"/>
        <v>6000</v>
      </c>
      <c r="BB7" s="33"/>
      <c r="BC7" s="30">
        <v>2</v>
      </c>
      <c r="BD7" s="2">
        <f t="shared" si="17"/>
        <v>12000</v>
      </c>
      <c r="BE7" s="33"/>
      <c r="BF7" s="30">
        <v>2</v>
      </c>
      <c r="BG7" s="2">
        <f t="shared" si="18"/>
        <v>12000</v>
      </c>
      <c r="BH7" s="33"/>
      <c r="BI7" s="30"/>
      <c r="BJ7" s="2">
        <f t="shared" si="19"/>
        <v>0</v>
      </c>
      <c r="BK7" s="33"/>
      <c r="BL7" s="30"/>
      <c r="BM7" s="2">
        <f t="shared" si="20"/>
        <v>0</v>
      </c>
      <c r="BN7" s="33"/>
      <c r="BO7" s="30"/>
      <c r="BP7" s="2">
        <f t="shared" si="21"/>
        <v>0</v>
      </c>
      <c r="BQ7" s="33"/>
      <c r="BR7" s="30"/>
      <c r="BS7" s="2">
        <f t="shared" si="22"/>
        <v>0</v>
      </c>
      <c r="BT7" s="70">
        <f t="shared" si="23"/>
        <v>0</v>
      </c>
      <c r="BU7" s="67">
        <f t="shared" si="23"/>
        <v>5</v>
      </c>
      <c r="BV7" s="51">
        <f t="shared" si="23"/>
        <v>30000</v>
      </c>
      <c r="BW7" s="33"/>
      <c r="BX7" s="30"/>
      <c r="BY7" s="2">
        <f t="shared" si="24"/>
        <v>0</v>
      </c>
      <c r="BZ7" s="33"/>
      <c r="CA7" s="30"/>
      <c r="CB7" s="2">
        <f t="shared" si="25"/>
        <v>0</v>
      </c>
      <c r="CC7" s="33">
        <v>50000</v>
      </c>
      <c r="CD7" s="30">
        <v>2</v>
      </c>
      <c r="CE7" s="2">
        <f t="shared" si="26"/>
        <v>12000</v>
      </c>
      <c r="CF7" s="33"/>
      <c r="CG7" s="30">
        <v>2</v>
      </c>
      <c r="CH7" s="2">
        <f t="shared" si="27"/>
        <v>12000</v>
      </c>
      <c r="CI7" s="33"/>
      <c r="CJ7" s="30"/>
      <c r="CK7" s="2">
        <f t="shared" si="28"/>
        <v>0</v>
      </c>
      <c r="CL7" s="33"/>
      <c r="CM7" s="30"/>
      <c r="CN7" s="2">
        <f t="shared" si="29"/>
        <v>0</v>
      </c>
      <c r="CO7" s="33"/>
      <c r="CP7" s="30"/>
      <c r="CQ7" s="2">
        <f t="shared" si="30"/>
        <v>0</v>
      </c>
      <c r="CR7" s="70">
        <f t="shared" si="31"/>
        <v>50000</v>
      </c>
      <c r="CS7" s="67">
        <f t="shared" si="31"/>
        <v>4</v>
      </c>
      <c r="CT7" s="51">
        <f t="shared" si="31"/>
        <v>24000</v>
      </c>
      <c r="CU7" s="33"/>
      <c r="CV7" s="30"/>
      <c r="CW7" s="2">
        <f t="shared" si="32"/>
        <v>0</v>
      </c>
      <c r="CX7" s="33"/>
      <c r="CY7" s="30">
        <v>1</v>
      </c>
      <c r="CZ7" s="2">
        <f t="shared" si="33"/>
        <v>6000</v>
      </c>
      <c r="DA7" s="33"/>
      <c r="DB7" s="30">
        <v>2</v>
      </c>
      <c r="DC7" s="2">
        <f t="shared" si="34"/>
        <v>12000</v>
      </c>
      <c r="DD7" s="33"/>
      <c r="DE7" s="30"/>
      <c r="DF7" s="2">
        <f t="shared" si="35"/>
        <v>0</v>
      </c>
      <c r="DG7" s="33"/>
      <c r="DH7" s="30"/>
      <c r="DI7" s="2">
        <f t="shared" si="36"/>
        <v>0</v>
      </c>
      <c r="DJ7" s="33"/>
      <c r="DK7" s="30"/>
      <c r="DL7" s="2">
        <f t="shared" si="37"/>
        <v>0</v>
      </c>
      <c r="DM7" s="33"/>
      <c r="DN7" s="30"/>
      <c r="DO7" s="2">
        <f t="shared" si="38"/>
        <v>0</v>
      </c>
      <c r="DP7" s="70">
        <f t="shared" si="39"/>
        <v>0</v>
      </c>
      <c r="DQ7" s="67">
        <f t="shared" si="39"/>
        <v>3</v>
      </c>
      <c r="DR7" s="51">
        <f t="shared" si="39"/>
        <v>18000</v>
      </c>
      <c r="DS7" s="52">
        <f t="shared" si="40"/>
        <v>50000</v>
      </c>
      <c r="DT7" s="53">
        <f t="shared" si="41"/>
        <v>14</v>
      </c>
      <c r="DU7" s="54">
        <f t="shared" si="41"/>
        <v>84000</v>
      </c>
    </row>
    <row r="8" spans="1:125" s="26" customFormat="1" ht="17.100000000000001" customHeight="1" thickBot="1" x14ac:dyDescent="0.25">
      <c r="A8" s="27" t="s">
        <v>26</v>
      </c>
      <c r="B8" s="19">
        <v>6000</v>
      </c>
      <c r="C8" s="29"/>
      <c r="D8" s="30"/>
      <c r="E8" s="2">
        <f t="shared" si="0"/>
        <v>0</v>
      </c>
      <c r="F8" s="29"/>
      <c r="G8" s="30"/>
      <c r="H8" s="2">
        <f t="shared" si="1"/>
        <v>0</v>
      </c>
      <c r="I8" s="29"/>
      <c r="J8" s="30"/>
      <c r="K8" s="2">
        <f t="shared" si="2"/>
        <v>0</v>
      </c>
      <c r="L8" s="31"/>
      <c r="M8" s="30"/>
      <c r="N8" s="2">
        <f t="shared" si="3"/>
        <v>0</v>
      </c>
      <c r="O8" s="33"/>
      <c r="P8" s="30"/>
      <c r="Q8" s="2">
        <f t="shared" si="4"/>
        <v>0</v>
      </c>
      <c r="R8" s="32"/>
      <c r="S8" s="30"/>
      <c r="T8" s="2">
        <f t="shared" si="5"/>
        <v>0</v>
      </c>
      <c r="U8" s="33"/>
      <c r="V8" s="30"/>
      <c r="W8" s="64">
        <f t="shared" si="6"/>
        <v>0</v>
      </c>
      <c r="X8" s="70">
        <f t="shared" si="7"/>
        <v>0</v>
      </c>
      <c r="Y8" s="67">
        <f t="shared" si="7"/>
        <v>0</v>
      </c>
      <c r="Z8" s="73">
        <f t="shared" si="7"/>
        <v>0</v>
      </c>
      <c r="AA8" s="35"/>
      <c r="AB8" s="30"/>
      <c r="AC8" s="2">
        <f t="shared" si="8"/>
        <v>0</v>
      </c>
      <c r="AD8" s="33"/>
      <c r="AE8" s="30"/>
      <c r="AF8" s="2">
        <f t="shared" si="9"/>
        <v>0</v>
      </c>
      <c r="AG8" s="33"/>
      <c r="AH8" s="30">
        <v>1</v>
      </c>
      <c r="AI8" s="2">
        <f t="shared" si="10"/>
        <v>6000</v>
      </c>
      <c r="AJ8" s="33"/>
      <c r="AK8" s="30"/>
      <c r="AL8" s="2">
        <f t="shared" si="11"/>
        <v>0</v>
      </c>
      <c r="AM8" s="33"/>
      <c r="AN8" s="30"/>
      <c r="AO8" s="2">
        <f t="shared" si="12"/>
        <v>0</v>
      </c>
      <c r="AP8" s="33"/>
      <c r="AQ8" s="30"/>
      <c r="AR8" s="2">
        <f t="shared" si="13"/>
        <v>0</v>
      </c>
      <c r="AS8" s="33"/>
      <c r="AT8" s="30"/>
      <c r="AU8" s="2">
        <f t="shared" si="14"/>
        <v>0</v>
      </c>
      <c r="AV8" s="70">
        <f t="shared" si="15"/>
        <v>0</v>
      </c>
      <c r="AW8" s="67">
        <f t="shared" si="15"/>
        <v>1</v>
      </c>
      <c r="AX8" s="51">
        <f t="shared" si="15"/>
        <v>6000</v>
      </c>
      <c r="AY8" s="33"/>
      <c r="AZ8" s="30">
        <v>1</v>
      </c>
      <c r="BA8" s="2">
        <f t="shared" si="16"/>
        <v>6000</v>
      </c>
      <c r="BB8" s="33">
        <v>5000</v>
      </c>
      <c r="BC8" s="30">
        <v>3</v>
      </c>
      <c r="BD8" s="2">
        <f t="shared" si="17"/>
        <v>18000</v>
      </c>
      <c r="BE8" s="33"/>
      <c r="BF8" s="30">
        <v>2</v>
      </c>
      <c r="BG8" s="2">
        <f t="shared" si="18"/>
        <v>12000</v>
      </c>
      <c r="BH8" s="33"/>
      <c r="BI8" s="30"/>
      <c r="BJ8" s="2">
        <f t="shared" si="19"/>
        <v>0</v>
      </c>
      <c r="BK8" s="33"/>
      <c r="BL8" s="30"/>
      <c r="BM8" s="2">
        <f t="shared" si="20"/>
        <v>0</v>
      </c>
      <c r="BN8" s="33">
        <v>5000</v>
      </c>
      <c r="BO8" s="30"/>
      <c r="BP8" s="2">
        <f t="shared" si="21"/>
        <v>0</v>
      </c>
      <c r="BQ8" s="33"/>
      <c r="BR8" s="30"/>
      <c r="BS8" s="2">
        <f t="shared" si="22"/>
        <v>0</v>
      </c>
      <c r="BT8" s="70">
        <f t="shared" si="23"/>
        <v>10000</v>
      </c>
      <c r="BU8" s="67">
        <f t="shared" si="23"/>
        <v>6</v>
      </c>
      <c r="BV8" s="51">
        <f t="shared" si="23"/>
        <v>36000</v>
      </c>
      <c r="BW8" s="33"/>
      <c r="BX8" s="30"/>
      <c r="BY8" s="2">
        <f t="shared" si="24"/>
        <v>0</v>
      </c>
      <c r="BZ8" s="33"/>
      <c r="CA8" s="30">
        <v>2</v>
      </c>
      <c r="CB8" s="2">
        <f t="shared" si="25"/>
        <v>12000</v>
      </c>
      <c r="CC8" s="33">
        <v>3000</v>
      </c>
      <c r="CD8" s="30">
        <v>2</v>
      </c>
      <c r="CE8" s="2">
        <f t="shared" si="26"/>
        <v>12000</v>
      </c>
      <c r="CF8" s="33"/>
      <c r="CG8" s="30">
        <v>1</v>
      </c>
      <c r="CH8" s="2">
        <f t="shared" si="27"/>
        <v>6000</v>
      </c>
      <c r="CI8" s="33">
        <v>4000</v>
      </c>
      <c r="CJ8" s="30"/>
      <c r="CK8" s="2">
        <f t="shared" si="28"/>
        <v>0</v>
      </c>
      <c r="CL8" s="33"/>
      <c r="CM8" s="30"/>
      <c r="CN8" s="2">
        <f t="shared" si="29"/>
        <v>0</v>
      </c>
      <c r="CO8" s="33"/>
      <c r="CP8" s="30"/>
      <c r="CQ8" s="2">
        <f t="shared" si="30"/>
        <v>0</v>
      </c>
      <c r="CR8" s="70">
        <f t="shared" si="31"/>
        <v>7000</v>
      </c>
      <c r="CS8" s="67">
        <f t="shared" si="31"/>
        <v>5</v>
      </c>
      <c r="CT8" s="51">
        <f t="shared" si="31"/>
        <v>30000</v>
      </c>
      <c r="CU8" s="33"/>
      <c r="CV8" s="30"/>
      <c r="CW8" s="2">
        <f t="shared" si="32"/>
        <v>0</v>
      </c>
      <c r="CX8" s="33"/>
      <c r="CY8" s="30">
        <v>2</v>
      </c>
      <c r="CZ8" s="2">
        <f t="shared" si="33"/>
        <v>12000</v>
      </c>
      <c r="DA8" s="33"/>
      <c r="DB8" s="30"/>
      <c r="DC8" s="2">
        <f t="shared" si="34"/>
        <v>0</v>
      </c>
      <c r="DD8" s="33"/>
      <c r="DE8" s="30"/>
      <c r="DF8" s="2">
        <f t="shared" si="35"/>
        <v>0</v>
      </c>
      <c r="DG8" s="33"/>
      <c r="DH8" s="30"/>
      <c r="DI8" s="2">
        <f t="shared" si="36"/>
        <v>0</v>
      </c>
      <c r="DJ8" s="33"/>
      <c r="DK8" s="30"/>
      <c r="DL8" s="2">
        <f t="shared" si="37"/>
        <v>0</v>
      </c>
      <c r="DM8" s="33"/>
      <c r="DN8" s="30"/>
      <c r="DO8" s="2">
        <f t="shared" si="38"/>
        <v>0</v>
      </c>
      <c r="DP8" s="70">
        <f t="shared" si="39"/>
        <v>0</v>
      </c>
      <c r="DQ8" s="67">
        <f t="shared" si="39"/>
        <v>2</v>
      </c>
      <c r="DR8" s="51">
        <f t="shared" si="39"/>
        <v>12000</v>
      </c>
      <c r="DS8" s="52">
        <v>17000</v>
      </c>
      <c r="DT8" s="53">
        <f t="shared" si="41"/>
        <v>14</v>
      </c>
      <c r="DU8" s="54">
        <f t="shared" si="41"/>
        <v>84000</v>
      </c>
    </row>
    <row r="9" spans="1:125" s="26" customFormat="1" ht="17.100000000000001" customHeight="1" thickBot="1" x14ac:dyDescent="0.25">
      <c r="A9" s="27" t="s">
        <v>27</v>
      </c>
      <c r="B9" s="19">
        <v>6000</v>
      </c>
      <c r="C9" s="29"/>
      <c r="D9" s="30"/>
      <c r="E9" s="2">
        <f t="shared" si="0"/>
        <v>0</v>
      </c>
      <c r="F9" s="29"/>
      <c r="G9" s="30"/>
      <c r="H9" s="2">
        <f t="shared" si="1"/>
        <v>0</v>
      </c>
      <c r="I9" s="29"/>
      <c r="J9" s="30"/>
      <c r="K9" s="2">
        <f t="shared" si="2"/>
        <v>0</v>
      </c>
      <c r="L9" s="31"/>
      <c r="M9" s="30"/>
      <c r="N9" s="2">
        <f t="shared" si="3"/>
        <v>0</v>
      </c>
      <c r="O9" s="31"/>
      <c r="P9" s="30"/>
      <c r="Q9" s="2">
        <f t="shared" si="4"/>
        <v>0</v>
      </c>
      <c r="R9" s="31"/>
      <c r="S9" s="30"/>
      <c r="T9" s="2">
        <f t="shared" si="5"/>
        <v>0</v>
      </c>
      <c r="U9" s="33"/>
      <c r="V9" s="30"/>
      <c r="W9" s="64">
        <f t="shared" si="6"/>
        <v>0</v>
      </c>
      <c r="X9" s="70">
        <f t="shared" si="7"/>
        <v>0</v>
      </c>
      <c r="Y9" s="67">
        <f t="shared" si="7"/>
        <v>0</v>
      </c>
      <c r="Z9" s="73">
        <f t="shared" si="7"/>
        <v>0</v>
      </c>
      <c r="AA9" s="35"/>
      <c r="AB9" s="30"/>
      <c r="AC9" s="2">
        <f t="shared" si="8"/>
        <v>0</v>
      </c>
      <c r="AD9" s="33"/>
      <c r="AE9" s="30"/>
      <c r="AF9" s="2">
        <f t="shared" si="9"/>
        <v>0</v>
      </c>
      <c r="AG9" s="33"/>
      <c r="AH9" s="30"/>
      <c r="AI9" s="2">
        <f t="shared" si="10"/>
        <v>0</v>
      </c>
      <c r="AJ9" s="33"/>
      <c r="AK9" s="30"/>
      <c r="AL9" s="2">
        <f t="shared" si="11"/>
        <v>0</v>
      </c>
      <c r="AM9" s="33"/>
      <c r="AN9" s="30"/>
      <c r="AO9" s="2">
        <f t="shared" si="12"/>
        <v>0</v>
      </c>
      <c r="AP9" s="33"/>
      <c r="AQ9" s="30"/>
      <c r="AR9" s="2">
        <f t="shared" si="13"/>
        <v>0</v>
      </c>
      <c r="AS9" s="33"/>
      <c r="AT9" s="30"/>
      <c r="AU9" s="2">
        <f t="shared" si="14"/>
        <v>0</v>
      </c>
      <c r="AV9" s="70">
        <f t="shared" si="15"/>
        <v>0</v>
      </c>
      <c r="AW9" s="67">
        <f t="shared" si="15"/>
        <v>0</v>
      </c>
      <c r="AX9" s="51">
        <f t="shared" si="15"/>
        <v>0</v>
      </c>
      <c r="AY9" s="33"/>
      <c r="AZ9" s="30">
        <v>1</v>
      </c>
      <c r="BA9" s="2">
        <f t="shared" si="16"/>
        <v>6000</v>
      </c>
      <c r="BB9" s="33"/>
      <c r="BC9" s="30">
        <v>3</v>
      </c>
      <c r="BD9" s="2">
        <f t="shared" si="17"/>
        <v>18000</v>
      </c>
      <c r="BE9" s="33"/>
      <c r="BF9" s="30">
        <v>2</v>
      </c>
      <c r="BG9" s="2">
        <f t="shared" si="18"/>
        <v>12000</v>
      </c>
      <c r="BH9" s="33"/>
      <c r="BI9" s="30"/>
      <c r="BJ9" s="2">
        <f t="shared" si="19"/>
        <v>0</v>
      </c>
      <c r="BK9" s="33"/>
      <c r="BL9" s="30"/>
      <c r="BM9" s="2">
        <f t="shared" si="20"/>
        <v>0</v>
      </c>
      <c r="BN9" s="33"/>
      <c r="BO9" s="30">
        <v>1</v>
      </c>
      <c r="BP9" s="2">
        <f t="shared" si="21"/>
        <v>6000</v>
      </c>
      <c r="BQ9" s="33"/>
      <c r="BR9" s="30"/>
      <c r="BS9" s="2">
        <f t="shared" si="22"/>
        <v>0</v>
      </c>
      <c r="BT9" s="70">
        <f t="shared" si="23"/>
        <v>0</v>
      </c>
      <c r="BU9" s="67">
        <f t="shared" si="23"/>
        <v>7</v>
      </c>
      <c r="BV9" s="51">
        <f t="shared" si="23"/>
        <v>42000</v>
      </c>
      <c r="BW9" s="33"/>
      <c r="BX9" s="30"/>
      <c r="BY9" s="2">
        <f t="shared" si="24"/>
        <v>0</v>
      </c>
      <c r="BZ9" s="33"/>
      <c r="CA9" s="30">
        <v>2</v>
      </c>
      <c r="CB9" s="2">
        <f t="shared" si="25"/>
        <v>12000</v>
      </c>
      <c r="CC9" s="33"/>
      <c r="CD9" s="30">
        <v>1</v>
      </c>
      <c r="CE9" s="2">
        <f t="shared" si="26"/>
        <v>6000</v>
      </c>
      <c r="CF9" s="33"/>
      <c r="CG9" s="30">
        <v>1</v>
      </c>
      <c r="CH9" s="2">
        <f t="shared" si="27"/>
        <v>6000</v>
      </c>
      <c r="CI9" s="33"/>
      <c r="CJ9" s="30"/>
      <c r="CK9" s="2">
        <f t="shared" si="28"/>
        <v>0</v>
      </c>
      <c r="CL9" s="33"/>
      <c r="CM9" s="30"/>
      <c r="CN9" s="2">
        <f t="shared" si="29"/>
        <v>0</v>
      </c>
      <c r="CO9" s="33"/>
      <c r="CP9" s="30"/>
      <c r="CQ9" s="2">
        <f t="shared" si="30"/>
        <v>0</v>
      </c>
      <c r="CR9" s="70">
        <f t="shared" si="31"/>
        <v>0</v>
      </c>
      <c r="CS9" s="67">
        <f t="shared" si="31"/>
        <v>4</v>
      </c>
      <c r="CT9" s="51">
        <f t="shared" si="31"/>
        <v>24000</v>
      </c>
      <c r="CU9" s="33"/>
      <c r="CV9" s="30"/>
      <c r="CW9" s="2">
        <f t="shared" si="32"/>
        <v>0</v>
      </c>
      <c r="CX9" s="33"/>
      <c r="CY9" s="30">
        <v>2</v>
      </c>
      <c r="CZ9" s="2">
        <f t="shared" si="33"/>
        <v>12000</v>
      </c>
      <c r="DA9" s="33"/>
      <c r="DB9" s="30">
        <v>1</v>
      </c>
      <c r="DC9" s="2">
        <f t="shared" si="34"/>
        <v>6000</v>
      </c>
      <c r="DD9" s="33"/>
      <c r="DE9" s="30"/>
      <c r="DF9" s="2">
        <f t="shared" si="35"/>
        <v>0</v>
      </c>
      <c r="DG9" s="33"/>
      <c r="DH9" s="30"/>
      <c r="DI9" s="2">
        <f t="shared" si="36"/>
        <v>0</v>
      </c>
      <c r="DJ9" s="33"/>
      <c r="DK9" s="30"/>
      <c r="DL9" s="2">
        <f t="shared" si="37"/>
        <v>0</v>
      </c>
      <c r="DM9" s="33"/>
      <c r="DN9" s="30"/>
      <c r="DO9" s="2">
        <f t="shared" si="38"/>
        <v>0</v>
      </c>
      <c r="DP9" s="70">
        <f t="shared" si="39"/>
        <v>0</v>
      </c>
      <c r="DQ9" s="67">
        <f t="shared" si="39"/>
        <v>3</v>
      </c>
      <c r="DR9" s="51">
        <f t="shared" si="39"/>
        <v>18000</v>
      </c>
      <c r="DS9" s="52">
        <f t="shared" si="40"/>
        <v>0</v>
      </c>
      <c r="DT9" s="53">
        <f t="shared" si="41"/>
        <v>14</v>
      </c>
      <c r="DU9" s="54">
        <f t="shared" si="41"/>
        <v>84000</v>
      </c>
    </row>
    <row r="10" spans="1:125" s="26" customFormat="1" ht="17.100000000000001" customHeight="1" thickBot="1" x14ac:dyDescent="0.25">
      <c r="A10" s="27" t="s">
        <v>52</v>
      </c>
      <c r="B10" s="19">
        <v>6000</v>
      </c>
      <c r="C10" s="29"/>
      <c r="D10" s="30"/>
      <c r="E10" s="2">
        <f t="shared" si="0"/>
        <v>0</v>
      </c>
      <c r="F10" s="29"/>
      <c r="G10" s="30"/>
      <c r="H10" s="2">
        <f t="shared" si="1"/>
        <v>0</v>
      </c>
      <c r="I10" s="29"/>
      <c r="J10" s="30"/>
      <c r="K10" s="2">
        <f t="shared" si="2"/>
        <v>0</v>
      </c>
      <c r="L10" s="31"/>
      <c r="M10" s="30"/>
      <c r="N10" s="2">
        <f t="shared" si="3"/>
        <v>0</v>
      </c>
      <c r="O10" s="31"/>
      <c r="P10" s="30"/>
      <c r="Q10" s="2">
        <f t="shared" si="4"/>
        <v>0</v>
      </c>
      <c r="R10" s="31"/>
      <c r="S10" s="30"/>
      <c r="T10" s="2">
        <f t="shared" si="5"/>
        <v>0</v>
      </c>
      <c r="U10" s="33"/>
      <c r="V10" s="30"/>
      <c r="W10" s="64">
        <f t="shared" si="6"/>
        <v>0</v>
      </c>
      <c r="X10" s="70">
        <f t="shared" si="7"/>
        <v>0</v>
      </c>
      <c r="Y10" s="67">
        <f t="shared" si="7"/>
        <v>0</v>
      </c>
      <c r="Z10" s="73">
        <f t="shared" si="7"/>
        <v>0</v>
      </c>
      <c r="AA10" s="35"/>
      <c r="AB10" s="30"/>
      <c r="AC10" s="2">
        <f t="shared" si="8"/>
        <v>0</v>
      </c>
      <c r="AD10" s="33"/>
      <c r="AE10" s="30"/>
      <c r="AF10" s="2">
        <f t="shared" si="9"/>
        <v>0</v>
      </c>
      <c r="AG10" s="33"/>
      <c r="AH10" s="30">
        <v>1</v>
      </c>
      <c r="AI10" s="2">
        <f t="shared" si="10"/>
        <v>6000</v>
      </c>
      <c r="AJ10" s="33"/>
      <c r="AK10" s="30"/>
      <c r="AL10" s="2">
        <f t="shared" si="11"/>
        <v>0</v>
      </c>
      <c r="AM10" s="33"/>
      <c r="AN10" s="30"/>
      <c r="AO10" s="2">
        <f t="shared" si="12"/>
        <v>0</v>
      </c>
      <c r="AP10" s="33"/>
      <c r="AQ10" s="30"/>
      <c r="AR10" s="2">
        <f t="shared" si="13"/>
        <v>0</v>
      </c>
      <c r="AS10" s="33"/>
      <c r="AT10" s="30"/>
      <c r="AU10" s="2">
        <f t="shared" si="14"/>
        <v>0</v>
      </c>
      <c r="AV10" s="70">
        <f t="shared" si="15"/>
        <v>0</v>
      </c>
      <c r="AW10" s="67">
        <f t="shared" si="15"/>
        <v>1</v>
      </c>
      <c r="AX10" s="51">
        <f t="shared" si="15"/>
        <v>6000</v>
      </c>
      <c r="AY10" s="33"/>
      <c r="AZ10" s="30"/>
      <c r="BA10" s="2">
        <f t="shared" si="16"/>
        <v>0</v>
      </c>
      <c r="BB10" s="33"/>
      <c r="BC10" s="30">
        <v>3</v>
      </c>
      <c r="BD10" s="2">
        <f t="shared" si="17"/>
        <v>18000</v>
      </c>
      <c r="BE10" s="33"/>
      <c r="BF10" s="30">
        <v>3</v>
      </c>
      <c r="BG10" s="2">
        <f t="shared" si="18"/>
        <v>18000</v>
      </c>
      <c r="BH10" s="33"/>
      <c r="BI10" s="30"/>
      <c r="BJ10" s="2">
        <f t="shared" si="19"/>
        <v>0</v>
      </c>
      <c r="BK10" s="33"/>
      <c r="BL10" s="30"/>
      <c r="BM10" s="2">
        <f t="shared" si="20"/>
        <v>0</v>
      </c>
      <c r="BN10" s="33"/>
      <c r="BO10" s="30">
        <v>1</v>
      </c>
      <c r="BP10" s="2">
        <f t="shared" si="21"/>
        <v>6000</v>
      </c>
      <c r="BQ10" s="33"/>
      <c r="BR10" s="30"/>
      <c r="BS10" s="2">
        <f t="shared" si="22"/>
        <v>0</v>
      </c>
      <c r="BT10" s="70">
        <f t="shared" si="23"/>
        <v>0</v>
      </c>
      <c r="BU10" s="67">
        <f t="shared" si="23"/>
        <v>7</v>
      </c>
      <c r="BV10" s="51">
        <f t="shared" si="23"/>
        <v>42000</v>
      </c>
      <c r="BW10" s="33"/>
      <c r="BX10" s="30"/>
      <c r="BY10" s="2">
        <f t="shared" si="24"/>
        <v>0</v>
      </c>
      <c r="BZ10" s="33"/>
      <c r="CA10" s="30">
        <v>2</v>
      </c>
      <c r="CB10" s="2">
        <f t="shared" si="25"/>
        <v>12000</v>
      </c>
      <c r="CC10" s="33"/>
      <c r="CD10" s="30">
        <v>2</v>
      </c>
      <c r="CE10" s="2">
        <f t="shared" si="26"/>
        <v>12000</v>
      </c>
      <c r="CF10" s="33"/>
      <c r="CG10" s="30">
        <v>1</v>
      </c>
      <c r="CH10" s="2">
        <f t="shared" si="27"/>
        <v>6000</v>
      </c>
      <c r="CI10" s="33"/>
      <c r="CJ10" s="30"/>
      <c r="CK10" s="2">
        <f t="shared" si="28"/>
        <v>0</v>
      </c>
      <c r="CL10" s="33"/>
      <c r="CM10" s="30"/>
      <c r="CN10" s="2">
        <f t="shared" si="29"/>
        <v>0</v>
      </c>
      <c r="CO10" s="33"/>
      <c r="CP10" s="30"/>
      <c r="CQ10" s="2">
        <f t="shared" si="30"/>
        <v>0</v>
      </c>
      <c r="CR10" s="70">
        <f t="shared" si="31"/>
        <v>0</v>
      </c>
      <c r="CS10" s="67">
        <f t="shared" si="31"/>
        <v>5</v>
      </c>
      <c r="CT10" s="51">
        <f t="shared" si="31"/>
        <v>30000</v>
      </c>
      <c r="CU10" s="33"/>
      <c r="CV10" s="30"/>
      <c r="CW10" s="2">
        <f t="shared" si="32"/>
        <v>0</v>
      </c>
      <c r="CX10" s="33"/>
      <c r="CY10" s="30"/>
      <c r="CZ10" s="2">
        <f t="shared" si="33"/>
        <v>0</v>
      </c>
      <c r="DA10" s="33"/>
      <c r="DB10" s="30">
        <v>2</v>
      </c>
      <c r="DC10" s="2">
        <f t="shared" si="34"/>
        <v>12000</v>
      </c>
      <c r="DD10" s="33"/>
      <c r="DE10" s="30"/>
      <c r="DF10" s="2">
        <f t="shared" si="35"/>
        <v>0</v>
      </c>
      <c r="DG10" s="33"/>
      <c r="DH10" s="30"/>
      <c r="DI10" s="2">
        <f t="shared" si="36"/>
        <v>0</v>
      </c>
      <c r="DJ10" s="33"/>
      <c r="DK10" s="30"/>
      <c r="DL10" s="2">
        <f t="shared" si="37"/>
        <v>0</v>
      </c>
      <c r="DM10" s="33"/>
      <c r="DN10" s="30"/>
      <c r="DO10" s="2">
        <f t="shared" si="38"/>
        <v>0</v>
      </c>
      <c r="DP10" s="70">
        <f t="shared" si="39"/>
        <v>0</v>
      </c>
      <c r="DQ10" s="67">
        <f t="shared" si="39"/>
        <v>2</v>
      </c>
      <c r="DR10" s="51">
        <f t="shared" si="39"/>
        <v>12000</v>
      </c>
      <c r="DS10" s="52">
        <f t="shared" si="40"/>
        <v>0</v>
      </c>
      <c r="DT10" s="53">
        <f t="shared" si="41"/>
        <v>15</v>
      </c>
      <c r="DU10" s="54">
        <f t="shared" si="41"/>
        <v>90000</v>
      </c>
    </row>
    <row r="11" spans="1:125" s="26" customFormat="1" ht="17.100000000000001" customHeight="1" thickBot="1" x14ac:dyDescent="0.25">
      <c r="A11" s="27" t="s">
        <v>29</v>
      </c>
      <c r="B11" s="19">
        <v>6000</v>
      </c>
      <c r="C11" s="29"/>
      <c r="D11" s="30"/>
      <c r="E11" s="2">
        <f t="shared" si="0"/>
        <v>0</v>
      </c>
      <c r="F11" s="29"/>
      <c r="G11" s="30"/>
      <c r="H11" s="2">
        <f t="shared" si="1"/>
        <v>0</v>
      </c>
      <c r="I11" s="29"/>
      <c r="J11" s="30"/>
      <c r="K11" s="2">
        <f t="shared" si="2"/>
        <v>0</v>
      </c>
      <c r="L11" s="31"/>
      <c r="M11" s="30"/>
      <c r="N11" s="2">
        <f t="shared" si="3"/>
        <v>0</v>
      </c>
      <c r="O11" s="31"/>
      <c r="P11" s="30"/>
      <c r="Q11" s="2">
        <f t="shared" si="4"/>
        <v>0</v>
      </c>
      <c r="R11" s="31"/>
      <c r="S11" s="30"/>
      <c r="T11" s="2">
        <f t="shared" si="5"/>
        <v>0</v>
      </c>
      <c r="U11" s="33"/>
      <c r="V11" s="30"/>
      <c r="W11" s="64">
        <f t="shared" si="6"/>
        <v>0</v>
      </c>
      <c r="X11" s="70">
        <f t="shared" si="7"/>
        <v>0</v>
      </c>
      <c r="Y11" s="67">
        <f t="shared" si="7"/>
        <v>0</v>
      </c>
      <c r="Z11" s="73">
        <f t="shared" si="7"/>
        <v>0</v>
      </c>
      <c r="AA11" s="35"/>
      <c r="AB11" s="30"/>
      <c r="AC11" s="2">
        <f t="shared" si="8"/>
        <v>0</v>
      </c>
      <c r="AD11" s="33"/>
      <c r="AE11" s="30"/>
      <c r="AF11" s="2">
        <f t="shared" si="9"/>
        <v>0</v>
      </c>
      <c r="AG11" s="33"/>
      <c r="AH11" s="30">
        <v>1</v>
      </c>
      <c r="AI11" s="2">
        <f t="shared" si="10"/>
        <v>6000</v>
      </c>
      <c r="AJ11" s="33"/>
      <c r="AK11" s="30">
        <v>1</v>
      </c>
      <c r="AL11" s="2">
        <f t="shared" si="11"/>
        <v>6000</v>
      </c>
      <c r="AM11" s="33"/>
      <c r="AN11" s="30"/>
      <c r="AO11" s="2">
        <f t="shared" si="12"/>
        <v>0</v>
      </c>
      <c r="AP11" s="33"/>
      <c r="AQ11" s="30"/>
      <c r="AR11" s="2">
        <f t="shared" si="13"/>
        <v>0</v>
      </c>
      <c r="AS11" s="33"/>
      <c r="AT11" s="30"/>
      <c r="AU11" s="2">
        <f t="shared" si="14"/>
        <v>0</v>
      </c>
      <c r="AV11" s="70">
        <f t="shared" si="15"/>
        <v>0</v>
      </c>
      <c r="AW11" s="67">
        <f t="shared" si="15"/>
        <v>2</v>
      </c>
      <c r="AX11" s="51">
        <f t="shared" si="15"/>
        <v>12000</v>
      </c>
      <c r="AY11" s="33"/>
      <c r="AZ11" s="30">
        <v>1</v>
      </c>
      <c r="BA11" s="2">
        <f t="shared" si="16"/>
        <v>6000</v>
      </c>
      <c r="BB11" s="33"/>
      <c r="BC11" s="30">
        <v>3</v>
      </c>
      <c r="BD11" s="2">
        <f t="shared" si="17"/>
        <v>18000</v>
      </c>
      <c r="BE11" s="33"/>
      <c r="BF11" s="30"/>
      <c r="BG11" s="2">
        <f t="shared" si="18"/>
        <v>0</v>
      </c>
      <c r="BH11" s="33"/>
      <c r="BI11" s="30"/>
      <c r="BJ11" s="2">
        <f t="shared" si="19"/>
        <v>0</v>
      </c>
      <c r="BK11" s="33"/>
      <c r="BL11" s="30"/>
      <c r="BM11" s="2">
        <f t="shared" si="20"/>
        <v>0</v>
      </c>
      <c r="BN11" s="33"/>
      <c r="BO11" s="30">
        <v>1</v>
      </c>
      <c r="BP11" s="2">
        <f t="shared" si="21"/>
        <v>6000</v>
      </c>
      <c r="BQ11" s="33"/>
      <c r="BR11" s="30"/>
      <c r="BS11" s="2">
        <f t="shared" si="22"/>
        <v>0</v>
      </c>
      <c r="BT11" s="70">
        <f t="shared" si="23"/>
        <v>0</v>
      </c>
      <c r="BU11" s="67">
        <f t="shared" si="23"/>
        <v>5</v>
      </c>
      <c r="BV11" s="51">
        <f t="shared" si="23"/>
        <v>30000</v>
      </c>
      <c r="BW11" s="33"/>
      <c r="BX11" s="30"/>
      <c r="BY11" s="2">
        <f t="shared" si="24"/>
        <v>0</v>
      </c>
      <c r="BZ11" s="33"/>
      <c r="CA11" s="30">
        <v>2</v>
      </c>
      <c r="CB11" s="2">
        <f t="shared" si="25"/>
        <v>12000</v>
      </c>
      <c r="CC11" s="33"/>
      <c r="CD11" s="30">
        <v>2</v>
      </c>
      <c r="CE11" s="2">
        <f t="shared" si="26"/>
        <v>12000</v>
      </c>
      <c r="CF11" s="33"/>
      <c r="CG11" s="30">
        <v>1</v>
      </c>
      <c r="CH11" s="2">
        <f t="shared" si="27"/>
        <v>6000</v>
      </c>
      <c r="CI11" s="33"/>
      <c r="CJ11" s="30"/>
      <c r="CK11" s="2">
        <f t="shared" si="28"/>
        <v>0</v>
      </c>
      <c r="CL11" s="33"/>
      <c r="CM11" s="30"/>
      <c r="CN11" s="2">
        <f t="shared" si="29"/>
        <v>0</v>
      </c>
      <c r="CO11" s="33"/>
      <c r="CP11" s="30"/>
      <c r="CQ11" s="2">
        <f t="shared" si="30"/>
        <v>0</v>
      </c>
      <c r="CR11" s="70">
        <f t="shared" si="31"/>
        <v>0</v>
      </c>
      <c r="CS11" s="111">
        <f t="shared" si="31"/>
        <v>5</v>
      </c>
      <c r="CT11" s="112">
        <f t="shared" si="31"/>
        <v>30000</v>
      </c>
      <c r="CU11" s="33"/>
      <c r="CV11" s="30"/>
      <c r="CW11" s="2">
        <f t="shared" si="32"/>
        <v>0</v>
      </c>
      <c r="CX11" s="33"/>
      <c r="CY11" s="30">
        <v>2</v>
      </c>
      <c r="CZ11" s="2">
        <f t="shared" si="33"/>
        <v>12000</v>
      </c>
      <c r="DA11" s="33"/>
      <c r="DB11" s="30">
        <v>2</v>
      </c>
      <c r="DC11" s="2">
        <f t="shared" si="34"/>
        <v>12000</v>
      </c>
      <c r="DD11" s="33"/>
      <c r="DE11" s="30"/>
      <c r="DF11" s="2">
        <f t="shared" si="35"/>
        <v>0</v>
      </c>
      <c r="DG11" s="33"/>
      <c r="DH11" s="30"/>
      <c r="DI11" s="2">
        <f t="shared" si="36"/>
        <v>0</v>
      </c>
      <c r="DJ11" s="33"/>
      <c r="DK11" s="30"/>
      <c r="DL11" s="2">
        <f t="shared" si="37"/>
        <v>0</v>
      </c>
      <c r="DM11" s="33"/>
      <c r="DN11" s="30"/>
      <c r="DO11" s="2">
        <f t="shared" si="38"/>
        <v>0</v>
      </c>
      <c r="DP11" s="70">
        <f t="shared" si="39"/>
        <v>0</v>
      </c>
      <c r="DQ11" s="67">
        <f t="shared" si="39"/>
        <v>4</v>
      </c>
      <c r="DR11" s="51">
        <f t="shared" si="39"/>
        <v>24000</v>
      </c>
      <c r="DS11" s="52">
        <f t="shared" si="40"/>
        <v>0</v>
      </c>
      <c r="DT11" s="53">
        <f t="shared" si="41"/>
        <v>16</v>
      </c>
      <c r="DU11" s="54">
        <f t="shared" si="41"/>
        <v>96000</v>
      </c>
    </row>
    <row r="12" spans="1:125" s="26" customFormat="1" ht="17.100000000000001" customHeight="1" thickBot="1" x14ac:dyDescent="0.25">
      <c r="A12" s="27" t="s">
        <v>30</v>
      </c>
      <c r="B12" s="19">
        <v>6000</v>
      </c>
      <c r="C12" s="29"/>
      <c r="D12" s="30"/>
      <c r="E12" s="2">
        <f t="shared" si="0"/>
        <v>0</v>
      </c>
      <c r="F12" s="29"/>
      <c r="G12" s="30"/>
      <c r="H12" s="2">
        <f t="shared" si="1"/>
        <v>0</v>
      </c>
      <c r="I12" s="29"/>
      <c r="J12" s="30"/>
      <c r="K12" s="2">
        <f t="shared" si="2"/>
        <v>0</v>
      </c>
      <c r="L12" s="33">
        <v>20000</v>
      </c>
      <c r="M12" s="30"/>
      <c r="N12" s="2">
        <f t="shared" si="3"/>
        <v>0</v>
      </c>
      <c r="O12" s="31"/>
      <c r="P12" s="30"/>
      <c r="Q12" s="2">
        <f t="shared" si="4"/>
        <v>0</v>
      </c>
      <c r="R12" s="31"/>
      <c r="S12" s="30"/>
      <c r="T12" s="2">
        <f t="shared" si="5"/>
        <v>0</v>
      </c>
      <c r="U12" s="33"/>
      <c r="V12" s="30"/>
      <c r="W12" s="64">
        <f t="shared" si="6"/>
        <v>0</v>
      </c>
      <c r="X12" s="70">
        <f t="shared" si="7"/>
        <v>20000</v>
      </c>
      <c r="Y12" s="67">
        <f t="shared" si="7"/>
        <v>0</v>
      </c>
      <c r="Z12" s="73">
        <f t="shared" si="7"/>
        <v>0</v>
      </c>
      <c r="AA12" s="35"/>
      <c r="AB12" s="30"/>
      <c r="AC12" s="2">
        <f t="shared" si="8"/>
        <v>0</v>
      </c>
      <c r="AD12" s="33"/>
      <c r="AE12" s="30"/>
      <c r="AF12" s="2">
        <f t="shared" si="9"/>
        <v>0</v>
      </c>
      <c r="AG12" s="33"/>
      <c r="AH12" s="30"/>
      <c r="AI12" s="2">
        <f t="shared" si="10"/>
        <v>0</v>
      </c>
      <c r="AJ12" s="33"/>
      <c r="AK12" s="30"/>
      <c r="AL12" s="2">
        <f t="shared" si="11"/>
        <v>0</v>
      </c>
      <c r="AM12" s="33"/>
      <c r="AN12" s="30"/>
      <c r="AO12" s="2">
        <f t="shared" si="12"/>
        <v>0</v>
      </c>
      <c r="AP12" s="33"/>
      <c r="AQ12" s="30"/>
      <c r="AR12" s="2">
        <f t="shared" si="13"/>
        <v>0</v>
      </c>
      <c r="AS12" s="33"/>
      <c r="AT12" s="30"/>
      <c r="AU12" s="2">
        <f t="shared" si="14"/>
        <v>0</v>
      </c>
      <c r="AV12" s="70">
        <f t="shared" si="15"/>
        <v>0</v>
      </c>
      <c r="AW12" s="67">
        <f t="shared" si="15"/>
        <v>0</v>
      </c>
      <c r="AX12" s="51">
        <f t="shared" si="15"/>
        <v>0</v>
      </c>
      <c r="AY12" s="33"/>
      <c r="AZ12" s="30"/>
      <c r="BA12" s="2">
        <f t="shared" si="16"/>
        <v>0</v>
      </c>
      <c r="BB12" s="33"/>
      <c r="BC12" s="30">
        <v>2</v>
      </c>
      <c r="BD12" s="2">
        <f t="shared" si="17"/>
        <v>12000</v>
      </c>
      <c r="BE12" s="33"/>
      <c r="BF12" s="30"/>
      <c r="BG12" s="2">
        <f t="shared" si="18"/>
        <v>0</v>
      </c>
      <c r="BH12" s="33"/>
      <c r="BI12" s="30"/>
      <c r="BJ12" s="2">
        <f t="shared" si="19"/>
        <v>0</v>
      </c>
      <c r="BK12" s="33"/>
      <c r="BL12" s="30"/>
      <c r="BM12" s="2">
        <f t="shared" si="20"/>
        <v>0</v>
      </c>
      <c r="BN12" s="33"/>
      <c r="BO12" s="30"/>
      <c r="BP12" s="2">
        <f t="shared" si="21"/>
        <v>0</v>
      </c>
      <c r="BQ12" s="33"/>
      <c r="BR12" s="30"/>
      <c r="BS12" s="2">
        <f t="shared" si="22"/>
        <v>0</v>
      </c>
      <c r="BT12" s="70">
        <f t="shared" si="23"/>
        <v>0</v>
      </c>
      <c r="BU12" s="67">
        <f t="shared" si="23"/>
        <v>2</v>
      </c>
      <c r="BV12" s="51">
        <f t="shared" si="23"/>
        <v>12000</v>
      </c>
      <c r="BW12" s="33"/>
      <c r="BX12" s="30"/>
      <c r="BY12" s="2">
        <f t="shared" si="24"/>
        <v>0</v>
      </c>
      <c r="BZ12" s="33"/>
      <c r="CA12" s="99">
        <v>1.5</v>
      </c>
      <c r="CB12" s="2">
        <f t="shared" si="25"/>
        <v>9000</v>
      </c>
      <c r="CC12" s="33"/>
      <c r="CD12" s="30"/>
      <c r="CE12" s="2">
        <f t="shared" si="26"/>
        <v>0</v>
      </c>
      <c r="CF12" s="33"/>
      <c r="CG12" s="30"/>
      <c r="CH12" s="2">
        <f t="shared" si="27"/>
        <v>0</v>
      </c>
      <c r="CI12" s="33"/>
      <c r="CJ12" s="30"/>
      <c r="CK12" s="2">
        <f t="shared" si="28"/>
        <v>0</v>
      </c>
      <c r="CL12" s="33"/>
      <c r="CM12" s="30">
        <v>2</v>
      </c>
      <c r="CN12" s="2">
        <f t="shared" si="29"/>
        <v>12000</v>
      </c>
      <c r="CO12" s="33"/>
      <c r="CP12" s="30"/>
      <c r="CQ12" s="2">
        <f t="shared" si="30"/>
        <v>0</v>
      </c>
      <c r="CR12" s="70">
        <f t="shared" si="31"/>
        <v>0</v>
      </c>
      <c r="CS12" s="100">
        <f t="shared" si="31"/>
        <v>3.5</v>
      </c>
      <c r="CT12" s="51">
        <f t="shared" si="31"/>
        <v>21000</v>
      </c>
      <c r="CU12" s="33"/>
      <c r="CV12" s="30"/>
      <c r="CW12" s="2">
        <f t="shared" si="32"/>
        <v>0</v>
      </c>
      <c r="CX12" s="33"/>
      <c r="CY12" s="30"/>
      <c r="CZ12" s="2">
        <f t="shared" si="33"/>
        <v>0</v>
      </c>
      <c r="DA12" s="33">
        <v>30000</v>
      </c>
      <c r="DB12" s="30"/>
      <c r="DC12" s="2">
        <f t="shared" si="34"/>
        <v>0</v>
      </c>
      <c r="DD12" s="33"/>
      <c r="DE12" s="30"/>
      <c r="DF12" s="2">
        <f t="shared" si="35"/>
        <v>0</v>
      </c>
      <c r="DG12" s="33"/>
      <c r="DH12" s="30"/>
      <c r="DI12" s="2">
        <f t="shared" si="36"/>
        <v>0</v>
      </c>
      <c r="DJ12" s="33"/>
      <c r="DK12" s="30"/>
      <c r="DL12" s="2">
        <f t="shared" si="37"/>
        <v>0</v>
      </c>
      <c r="DM12" s="33"/>
      <c r="DN12" s="30"/>
      <c r="DO12" s="2">
        <f t="shared" si="38"/>
        <v>0</v>
      </c>
      <c r="DP12" s="70">
        <f t="shared" si="39"/>
        <v>30000</v>
      </c>
      <c r="DQ12" s="67">
        <f t="shared" si="39"/>
        <v>0</v>
      </c>
      <c r="DR12" s="51">
        <f t="shared" si="39"/>
        <v>0</v>
      </c>
      <c r="DS12" s="52">
        <f t="shared" si="40"/>
        <v>50000</v>
      </c>
      <c r="DT12" s="53">
        <f t="shared" si="41"/>
        <v>5.5</v>
      </c>
      <c r="DU12" s="54">
        <f t="shared" si="41"/>
        <v>33000</v>
      </c>
    </row>
    <row r="13" spans="1:125" s="26" customFormat="1" ht="17.100000000000001" customHeight="1" thickBot="1" x14ac:dyDescent="0.25">
      <c r="A13" s="27" t="s">
        <v>31</v>
      </c>
      <c r="B13" s="19">
        <v>6000</v>
      </c>
      <c r="C13" s="29"/>
      <c r="D13" s="30"/>
      <c r="E13" s="2">
        <f t="shared" si="0"/>
        <v>0</v>
      </c>
      <c r="F13" s="29"/>
      <c r="G13" s="30"/>
      <c r="H13" s="2">
        <f t="shared" si="1"/>
        <v>0</v>
      </c>
      <c r="I13" s="29"/>
      <c r="J13" s="30"/>
      <c r="K13" s="2">
        <f t="shared" si="2"/>
        <v>0</v>
      </c>
      <c r="L13" s="31"/>
      <c r="M13" s="30"/>
      <c r="N13" s="2">
        <f t="shared" si="3"/>
        <v>0</v>
      </c>
      <c r="O13" s="31"/>
      <c r="P13" s="30"/>
      <c r="Q13" s="2">
        <f t="shared" si="4"/>
        <v>0</v>
      </c>
      <c r="R13" s="31"/>
      <c r="S13" s="30"/>
      <c r="T13" s="2">
        <f t="shared" si="5"/>
        <v>0</v>
      </c>
      <c r="U13" s="33"/>
      <c r="V13" s="30"/>
      <c r="W13" s="64">
        <f t="shared" si="6"/>
        <v>0</v>
      </c>
      <c r="X13" s="70">
        <f t="shared" si="7"/>
        <v>0</v>
      </c>
      <c r="Y13" s="67">
        <f t="shared" si="7"/>
        <v>0</v>
      </c>
      <c r="Z13" s="73">
        <f t="shared" si="7"/>
        <v>0</v>
      </c>
      <c r="AA13" s="35"/>
      <c r="AB13" s="30"/>
      <c r="AC13" s="2">
        <f t="shared" si="8"/>
        <v>0</v>
      </c>
      <c r="AD13" s="33"/>
      <c r="AE13" s="30"/>
      <c r="AF13" s="2">
        <f t="shared" si="9"/>
        <v>0</v>
      </c>
      <c r="AG13" s="33"/>
      <c r="AH13" s="30"/>
      <c r="AI13" s="2">
        <f t="shared" si="10"/>
        <v>0</v>
      </c>
      <c r="AJ13" s="33"/>
      <c r="AK13" s="30"/>
      <c r="AL13" s="2">
        <f t="shared" si="11"/>
        <v>0</v>
      </c>
      <c r="AM13" s="33"/>
      <c r="AN13" s="30"/>
      <c r="AO13" s="2">
        <f t="shared" si="12"/>
        <v>0</v>
      </c>
      <c r="AP13" s="33"/>
      <c r="AQ13" s="30"/>
      <c r="AR13" s="2">
        <f t="shared" si="13"/>
        <v>0</v>
      </c>
      <c r="AS13" s="33"/>
      <c r="AT13" s="30"/>
      <c r="AU13" s="2">
        <f t="shared" si="14"/>
        <v>0</v>
      </c>
      <c r="AV13" s="70">
        <f t="shared" si="15"/>
        <v>0</v>
      </c>
      <c r="AW13" s="67">
        <f t="shared" si="15"/>
        <v>0</v>
      </c>
      <c r="AX13" s="51">
        <f t="shared" si="15"/>
        <v>0</v>
      </c>
      <c r="AY13" s="33"/>
      <c r="AZ13" s="30"/>
      <c r="BA13" s="2">
        <f t="shared" si="16"/>
        <v>0</v>
      </c>
      <c r="BB13" s="33"/>
      <c r="BC13" s="30"/>
      <c r="BD13" s="2">
        <f t="shared" si="17"/>
        <v>0</v>
      </c>
      <c r="BE13" s="33"/>
      <c r="BF13" s="30"/>
      <c r="BG13" s="2">
        <f t="shared" si="18"/>
        <v>0</v>
      </c>
      <c r="BH13" s="33"/>
      <c r="BI13" s="30"/>
      <c r="BJ13" s="2">
        <f t="shared" si="19"/>
        <v>0</v>
      </c>
      <c r="BK13" s="33"/>
      <c r="BL13" s="30"/>
      <c r="BM13" s="2">
        <f t="shared" si="20"/>
        <v>0</v>
      </c>
      <c r="BN13" s="33"/>
      <c r="BO13" s="30"/>
      <c r="BP13" s="2">
        <f t="shared" si="21"/>
        <v>0</v>
      </c>
      <c r="BQ13" s="33"/>
      <c r="BR13" s="30"/>
      <c r="BS13" s="2">
        <f t="shared" si="22"/>
        <v>0</v>
      </c>
      <c r="BT13" s="70">
        <f t="shared" si="23"/>
        <v>0</v>
      </c>
      <c r="BU13" s="67">
        <f t="shared" si="23"/>
        <v>0</v>
      </c>
      <c r="BV13" s="51">
        <f t="shared" si="23"/>
        <v>0</v>
      </c>
      <c r="BW13" s="33"/>
      <c r="BX13" s="30"/>
      <c r="BY13" s="2">
        <f t="shared" si="24"/>
        <v>0</v>
      </c>
      <c r="BZ13" s="33"/>
      <c r="CA13" s="30"/>
      <c r="CB13" s="2">
        <f t="shared" si="25"/>
        <v>0</v>
      </c>
      <c r="CC13" s="33"/>
      <c r="CD13" s="30"/>
      <c r="CE13" s="2">
        <f t="shared" si="26"/>
        <v>0</v>
      </c>
      <c r="CF13" s="33"/>
      <c r="CG13" s="30"/>
      <c r="CH13" s="2">
        <f t="shared" si="27"/>
        <v>0</v>
      </c>
      <c r="CI13" s="33"/>
      <c r="CJ13" s="30"/>
      <c r="CK13" s="2">
        <f t="shared" si="28"/>
        <v>0</v>
      </c>
      <c r="CL13" s="33"/>
      <c r="CM13" s="30"/>
      <c r="CN13" s="2">
        <f t="shared" si="29"/>
        <v>0</v>
      </c>
      <c r="CO13" s="33"/>
      <c r="CP13" s="30"/>
      <c r="CQ13" s="2">
        <f t="shared" si="30"/>
        <v>0</v>
      </c>
      <c r="CR13" s="70">
        <f t="shared" si="31"/>
        <v>0</v>
      </c>
      <c r="CS13" s="67">
        <f t="shared" si="31"/>
        <v>0</v>
      </c>
      <c r="CT13" s="51">
        <f t="shared" si="31"/>
        <v>0</v>
      </c>
      <c r="CU13" s="33"/>
      <c r="CV13" s="30"/>
      <c r="CW13" s="2">
        <f t="shared" si="32"/>
        <v>0</v>
      </c>
      <c r="CX13" s="33"/>
      <c r="CY13" s="30"/>
      <c r="CZ13" s="2">
        <f t="shared" si="33"/>
        <v>0</v>
      </c>
      <c r="DA13" s="33"/>
      <c r="DB13" s="30"/>
      <c r="DC13" s="2">
        <f t="shared" si="34"/>
        <v>0</v>
      </c>
      <c r="DD13" s="33"/>
      <c r="DE13" s="30"/>
      <c r="DF13" s="2">
        <f t="shared" si="35"/>
        <v>0</v>
      </c>
      <c r="DG13" s="33"/>
      <c r="DH13" s="30"/>
      <c r="DI13" s="2">
        <f t="shared" si="36"/>
        <v>0</v>
      </c>
      <c r="DJ13" s="33"/>
      <c r="DK13" s="30"/>
      <c r="DL13" s="2">
        <f t="shared" si="37"/>
        <v>0</v>
      </c>
      <c r="DM13" s="33"/>
      <c r="DN13" s="30"/>
      <c r="DO13" s="2">
        <f t="shared" si="38"/>
        <v>0</v>
      </c>
      <c r="DP13" s="70">
        <f t="shared" si="39"/>
        <v>0</v>
      </c>
      <c r="DQ13" s="67">
        <f t="shared" si="39"/>
        <v>0</v>
      </c>
      <c r="DR13" s="51">
        <f t="shared" si="39"/>
        <v>0</v>
      </c>
      <c r="DS13" s="52">
        <f t="shared" si="40"/>
        <v>0</v>
      </c>
      <c r="DT13" s="53">
        <f t="shared" si="41"/>
        <v>0</v>
      </c>
      <c r="DU13" s="54">
        <f t="shared" si="41"/>
        <v>0</v>
      </c>
    </row>
    <row r="14" spans="1:125" s="26" customFormat="1" ht="17.100000000000001" customHeight="1" thickBot="1" x14ac:dyDescent="0.25">
      <c r="A14" s="27" t="s">
        <v>32</v>
      </c>
      <c r="B14" s="19">
        <v>6000</v>
      </c>
      <c r="C14" s="29"/>
      <c r="D14" s="30"/>
      <c r="E14" s="2">
        <f t="shared" si="0"/>
        <v>0</v>
      </c>
      <c r="F14" s="29"/>
      <c r="G14" s="30"/>
      <c r="H14" s="2">
        <f t="shared" si="1"/>
        <v>0</v>
      </c>
      <c r="I14" s="29"/>
      <c r="J14" s="30"/>
      <c r="K14" s="2">
        <f t="shared" si="2"/>
        <v>0</v>
      </c>
      <c r="L14" s="31">
        <v>70000</v>
      </c>
      <c r="M14" s="30"/>
      <c r="N14" s="2">
        <f t="shared" si="3"/>
        <v>0</v>
      </c>
      <c r="O14" s="31"/>
      <c r="P14" s="30"/>
      <c r="Q14" s="2">
        <f t="shared" si="4"/>
        <v>0</v>
      </c>
      <c r="R14" s="31"/>
      <c r="S14" s="30"/>
      <c r="T14" s="2">
        <f t="shared" si="5"/>
        <v>0</v>
      </c>
      <c r="U14" s="33"/>
      <c r="V14" s="30"/>
      <c r="W14" s="64">
        <f t="shared" si="6"/>
        <v>0</v>
      </c>
      <c r="X14" s="70">
        <f t="shared" si="7"/>
        <v>70000</v>
      </c>
      <c r="Y14" s="67">
        <f t="shared" si="7"/>
        <v>0</v>
      </c>
      <c r="Z14" s="73">
        <f t="shared" si="7"/>
        <v>0</v>
      </c>
      <c r="AA14" s="35"/>
      <c r="AB14" s="30"/>
      <c r="AC14" s="2">
        <f t="shared" si="8"/>
        <v>0</v>
      </c>
      <c r="AD14" s="33"/>
      <c r="AE14" s="30"/>
      <c r="AF14" s="2">
        <f t="shared" si="9"/>
        <v>0</v>
      </c>
      <c r="AG14" s="33"/>
      <c r="AH14" s="30">
        <v>1</v>
      </c>
      <c r="AI14" s="2">
        <f t="shared" si="10"/>
        <v>6000</v>
      </c>
      <c r="AJ14" s="33"/>
      <c r="AK14" s="30">
        <v>1</v>
      </c>
      <c r="AL14" s="2">
        <f t="shared" si="11"/>
        <v>6000</v>
      </c>
      <c r="AM14" s="33"/>
      <c r="AN14" s="30"/>
      <c r="AO14" s="2">
        <f t="shared" si="12"/>
        <v>0</v>
      </c>
      <c r="AP14" s="33"/>
      <c r="AQ14" s="30"/>
      <c r="AR14" s="2">
        <f t="shared" si="13"/>
        <v>0</v>
      </c>
      <c r="AS14" s="33"/>
      <c r="AT14" s="30"/>
      <c r="AU14" s="2">
        <f t="shared" si="14"/>
        <v>0</v>
      </c>
      <c r="AV14" s="70">
        <f t="shared" si="15"/>
        <v>0</v>
      </c>
      <c r="AW14" s="67">
        <f t="shared" si="15"/>
        <v>2</v>
      </c>
      <c r="AX14" s="51">
        <f t="shared" si="15"/>
        <v>12000</v>
      </c>
      <c r="AY14" s="33"/>
      <c r="AZ14" s="30"/>
      <c r="BA14" s="2">
        <f t="shared" si="16"/>
        <v>0</v>
      </c>
      <c r="BB14" s="33"/>
      <c r="BC14" s="30"/>
      <c r="BD14" s="2">
        <f t="shared" si="17"/>
        <v>0</v>
      </c>
      <c r="BE14" s="33"/>
      <c r="BF14" s="30"/>
      <c r="BG14" s="2">
        <f t="shared" si="18"/>
        <v>0</v>
      </c>
      <c r="BH14" s="33"/>
      <c r="BI14" s="30"/>
      <c r="BJ14" s="2">
        <f t="shared" si="19"/>
        <v>0</v>
      </c>
      <c r="BK14" s="33"/>
      <c r="BL14" s="30"/>
      <c r="BM14" s="2">
        <f t="shared" si="20"/>
        <v>0</v>
      </c>
      <c r="BN14" s="33"/>
      <c r="BO14" s="30"/>
      <c r="BP14" s="2">
        <f t="shared" si="21"/>
        <v>0</v>
      </c>
      <c r="BQ14" s="33"/>
      <c r="BR14" s="30"/>
      <c r="BS14" s="2">
        <f t="shared" si="22"/>
        <v>0</v>
      </c>
      <c r="BT14" s="70">
        <f t="shared" si="23"/>
        <v>0</v>
      </c>
      <c r="BU14" s="67">
        <f t="shared" si="23"/>
        <v>0</v>
      </c>
      <c r="BV14" s="51">
        <f t="shared" si="23"/>
        <v>0</v>
      </c>
      <c r="BW14" s="33"/>
      <c r="BX14" s="30"/>
      <c r="BY14" s="2">
        <f t="shared" si="24"/>
        <v>0</v>
      </c>
      <c r="BZ14" s="33"/>
      <c r="CA14" s="30"/>
      <c r="CB14" s="2">
        <f t="shared" si="25"/>
        <v>0</v>
      </c>
      <c r="CC14" s="33"/>
      <c r="CD14" s="30"/>
      <c r="CE14" s="2">
        <f t="shared" si="26"/>
        <v>0</v>
      </c>
      <c r="CF14" s="33"/>
      <c r="CG14" s="30"/>
      <c r="CH14" s="2">
        <f t="shared" si="27"/>
        <v>0</v>
      </c>
      <c r="CI14" s="33"/>
      <c r="CJ14" s="30"/>
      <c r="CK14" s="2">
        <f t="shared" si="28"/>
        <v>0</v>
      </c>
      <c r="CL14" s="33"/>
      <c r="CM14" s="30"/>
      <c r="CN14" s="2">
        <f t="shared" si="29"/>
        <v>0</v>
      </c>
      <c r="CO14" s="33"/>
      <c r="CP14" s="30"/>
      <c r="CQ14" s="2">
        <f t="shared" si="30"/>
        <v>0</v>
      </c>
      <c r="CR14" s="70">
        <f t="shared" si="31"/>
        <v>0</v>
      </c>
      <c r="CS14" s="67">
        <f t="shared" si="31"/>
        <v>0</v>
      </c>
      <c r="CT14" s="51">
        <f t="shared" si="31"/>
        <v>0</v>
      </c>
      <c r="CU14" s="33"/>
      <c r="CV14" s="30"/>
      <c r="CW14" s="2">
        <f t="shared" si="32"/>
        <v>0</v>
      </c>
      <c r="CX14" s="33"/>
      <c r="CY14" s="30">
        <v>2</v>
      </c>
      <c r="CZ14" s="2">
        <f t="shared" si="33"/>
        <v>12000</v>
      </c>
      <c r="DA14" s="33"/>
      <c r="DB14" s="30">
        <v>2</v>
      </c>
      <c r="DC14" s="2">
        <f t="shared" si="34"/>
        <v>12000</v>
      </c>
      <c r="DD14" s="33"/>
      <c r="DE14" s="30"/>
      <c r="DF14" s="2">
        <f t="shared" si="35"/>
        <v>0</v>
      </c>
      <c r="DG14" s="33"/>
      <c r="DH14" s="30"/>
      <c r="DI14" s="2">
        <f t="shared" si="36"/>
        <v>0</v>
      </c>
      <c r="DJ14" s="33"/>
      <c r="DK14" s="30"/>
      <c r="DL14" s="2">
        <f t="shared" si="37"/>
        <v>0</v>
      </c>
      <c r="DM14" s="33"/>
      <c r="DN14" s="30"/>
      <c r="DO14" s="2">
        <f t="shared" si="38"/>
        <v>0</v>
      </c>
      <c r="DP14" s="70">
        <f t="shared" si="39"/>
        <v>0</v>
      </c>
      <c r="DQ14" s="67">
        <f t="shared" si="39"/>
        <v>4</v>
      </c>
      <c r="DR14" s="51">
        <f t="shared" si="39"/>
        <v>24000</v>
      </c>
      <c r="DS14" s="52">
        <f t="shared" si="40"/>
        <v>70000</v>
      </c>
      <c r="DT14" s="53">
        <f t="shared" si="41"/>
        <v>6</v>
      </c>
      <c r="DU14" s="54">
        <f t="shared" si="41"/>
        <v>36000</v>
      </c>
    </row>
    <row r="15" spans="1:125" s="26" customFormat="1" ht="17.100000000000001" customHeight="1" thickBot="1" x14ac:dyDescent="0.25">
      <c r="A15" s="27" t="s">
        <v>36</v>
      </c>
      <c r="B15" s="19">
        <v>6000</v>
      </c>
      <c r="C15" s="29"/>
      <c r="D15" s="30"/>
      <c r="E15" s="2">
        <f t="shared" si="0"/>
        <v>0</v>
      </c>
      <c r="F15" s="29"/>
      <c r="G15" s="30"/>
      <c r="H15" s="2">
        <f t="shared" si="1"/>
        <v>0</v>
      </c>
      <c r="I15" s="29"/>
      <c r="J15" s="30"/>
      <c r="K15" s="2">
        <f t="shared" si="2"/>
        <v>0</v>
      </c>
      <c r="L15" s="31"/>
      <c r="M15" s="30"/>
      <c r="N15" s="2">
        <f t="shared" si="3"/>
        <v>0</v>
      </c>
      <c r="O15" s="31"/>
      <c r="P15" s="30"/>
      <c r="Q15" s="2">
        <f t="shared" si="4"/>
        <v>0</v>
      </c>
      <c r="R15" s="31"/>
      <c r="S15" s="30"/>
      <c r="T15" s="2">
        <f t="shared" si="5"/>
        <v>0</v>
      </c>
      <c r="U15" s="33"/>
      <c r="V15" s="30"/>
      <c r="W15" s="64">
        <f t="shared" si="6"/>
        <v>0</v>
      </c>
      <c r="X15" s="70">
        <f t="shared" si="7"/>
        <v>0</v>
      </c>
      <c r="Y15" s="67">
        <f t="shared" si="7"/>
        <v>0</v>
      </c>
      <c r="Z15" s="73">
        <f t="shared" si="7"/>
        <v>0</v>
      </c>
      <c r="AA15" s="35"/>
      <c r="AB15" s="30"/>
      <c r="AC15" s="2">
        <f t="shared" si="8"/>
        <v>0</v>
      </c>
      <c r="AD15" s="33"/>
      <c r="AE15" s="30"/>
      <c r="AF15" s="2">
        <f t="shared" si="9"/>
        <v>0</v>
      </c>
      <c r="AG15" s="33"/>
      <c r="AH15" s="30">
        <v>1</v>
      </c>
      <c r="AI15" s="2">
        <f t="shared" si="10"/>
        <v>6000</v>
      </c>
      <c r="AJ15" s="33"/>
      <c r="AK15" s="30"/>
      <c r="AL15" s="2">
        <f t="shared" si="11"/>
        <v>0</v>
      </c>
      <c r="AM15" s="33"/>
      <c r="AN15" s="30"/>
      <c r="AO15" s="2">
        <f t="shared" si="12"/>
        <v>0</v>
      </c>
      <c r="AP15" s="33"/>
      <c r="AQ15" s="30"/>
      <c r="AR15" s="2">
        <f t="shared" si="13"/>
        <v>0</v>
      </c>
      <c r="AS15" s="33"/>
      <c r="AT15" s="30"/>
      <c r="AU15" s="2">
        <f t="shared" si="14"/>
        <v>0</v>
      </c>
      <c r="AV15" s="70">
        <f t="shared" si="15"/>
        <v>0</v>
      </c>
      <c r="AW15" s="67">
        <f t="shared" si="15"/>
        <v>1</v>
      </c>
      <c r="AX15" s="51">
        <f t="shared" si="15"/>
        <v>6000</v>
      </c>
      <c r="AY15" s="33"/>
      <c r="AZ15" s="30">
        <v>1</v>
      </c>
      <c r="BA15" s="2">
        <f t="shared" si="16"/>
        <v>6000</v>
      </c>
      <c r="BB15" s="33"/>
      <c r="BC15" s="30">
        <v>3</v>
      </c>
      <c r="BD15" s="2">
        <f t="shared" si="17"/>
        <v>18000</v>
      </c>
      <c r="BE15" s="33"/>
      <c r="BF15" s="30">
        <v>2</v>
      </c>
      <c r="BG15" s="2">
        <f t="shared" si="18"/>
        <v>12000</v>
      </c>
      <c r="BH15" s="33"/>
      <c r="BI15" s="30"/>
      <c r="BJ15" s="2">
        <f t="shared" si="19"/>
        <v>0</v>
      </c>
      <c r="BK15" s="33"/>
      <c r="BL15" s="30"/>
      <c r="BM15" s="2">
        <f t="shared" si="20"/>
        <v>0</v>
      </c>
      <c r="BN15" s="33"/>
      <c r="BO15" s="30">
        <v>1</v>
      </c>
      <c r="BP15" s="2">
        <f t="shared" si="21"/>
        <v>6000</v>
      </c>
      <c r="BQ15" s="33"/>
      <c r="BR15" s="30"/>
      <c r="BS15" s="2">
        <f t="shared" si="22"/>
        <v>0</v>
      </c>
      <c r="BT15" s="70">
        <f t="shared" si="23"/>
        <v>0</v>
      </c>
      <c r="BU15" s="67">
        <f t="shared" si="23"/>
        <v>7</v>
      </c>
      <c r="BV15" s="51">
        <f t="shared" si="23"/>
        <v>42000</v>
      </c>
      <c r="BW15" s="33"/>
      <c r="BX15" s="30"/>
      <c r="BY15" s="2">
        <f t="shared" si="24"/>
        <v>0</v>
      </c>
      <c r="BZ15" s="33"/>
      <c r="CA15" s="30">
        <v>2</v>
      </c>
      <c r="CB15" s="2">
        <f t="shared" si="25"/>
        <v>12000</v>
      </c>
      <c r="CC15" s="33"/>
      <c r="CD15" s="30">
        <v>2</v>
      </c>
      <c r="CE15" s="2">
        <f t="shared" si="26"/>
        <v>12000</v>
      </c>
      <c r="CF15" s="33"/>
      <c r="CG15" s="30">
        <v>1</v>
      </c>
      <c r="CH15" s="2">
        <f t="shared" si="27"/>
        <v>6000</v>
      </c>
      <c r="CI15" s="33"/>
      <c r="CJ15" s="30"/>
      <c r="CK15" s="2">
        <f t="shared" si="28"/>
        <v>0</v>
      </c>
      <c r="CL15" s="33"/>
      <c r="CM15" s="30"/>
      <c r="CN15" s="2">
        <f t="shared" si="29"/>
        <v>0</v>
      </c>
      <c r="CO15" s="33"/>
      <c r="CP15" s="30"/>
      <c r="CQ15" s="2">
        <f t="shared" si="30"/>
        <v>0</v>
      </c>
      <c r="CR15" s="70">
        <f t="shared" si="31"/>
        <v>0</v>
      </c>
      <c r="CS15" s="67">
        <f t="shared" si="31"/>
        <v>5</v>
      </c>
      <c r="CT15" s="51">
        <f t="shared" si="31"/>
        <v>30000</v>
      </c>
      <c r="CU15" s="33"/>
      <c r="CV15" s="30"/>
      <c r="CW15" s="2">
        <f t="shared" si="32"/>
        <v>0</v>
      </c>
      <c r="CX15" s="33"/>
      <c r="CY15" s="30">
        <v>2</v>
      </c>
      <c r="CZ15" s="2">
        <f t="shared" si="33"/>
        <v>12000</v>
      </c>
      <c r="DA15" s="33"/>
      <c r="DB15" s="30">
        <v>2</v>
      </c>
      <c r="DC15" s="2">
        <f t="shared" si="34"/>
        <v>12000</v>
      </c>
      <c r="DD15" s="33"/>
      <c r="DE15" s="30"/>
      <c r="DF15" s="2">
        <f t="shared" si="35"/>
        <v>0</v>
      </c>
      <c r="DG15" s="33"/>
      <c r="DH15" s="30"/>
      <c r="DI15" s="2">
        <f t="shared" si="36"/>
        <v>0</v>
      </c>
      <c r="DJ15" s="33"/>
      <c r="DK15" s="30"/>
      <c r="DL15" s="2">
        <f t="shared" si="37"/>
        <v>0</v>
      </c>
      <c r="DM15" s="33"/>
      <c r="DN15" s="30"/>
      <c r="DO15" s="2">
        <f t="shared" si="38"/>
        <v>0</v>
      </c>
      <c r="DP15" s="70">
        <f t="shared" si="39"/>
        <v>0</v>
      </c>
      <c r="DQ15" s="67">
        <f t="shared" si="39"/>
        <v>4</v>
      </c>
      <c r="DR15" s="51">
        <f t="shared" si="39"/>
        <v>24000</v>
      </c>
      <c r="DS15" s="52">
        <f t="shared" si="40"/>
        <v>0</v>
      </c>
      <c r="DT15" s="53">
        <f t="shared" si="41"/>
        <v>17</v>
      </c>
      <c r="DU15" s="54">
        <f t="shared" si="41"/>
        <v>102000</v>
      </c>
    </row>
    <row r="16" spans="1:125" s="26" customFormat="1" ht="17.100000000000001" customHeight="1" thickBot="1" x14ac:dyDescent="0.25">
      <c r="A16" s="27" t="s">
        <v>33</v>
      </c>
      <c r="B16" s="19">
        <v>6000</v>
      </c>
      <c r="C16" s="29"/>
      <c r="D16" s="30"/>
      <c r="E16" s="2">
        <f t="shared" si="0"/>
        <v>0</v>
      </c>
      <c r="F16" s="29"/>
      <c r="G16" s="30"/>
      <c r="H16" s="2">
        <f t="shared" si="1"/>
        <v>0</v>
      </c>
      <c r="I16" s="29"/>
      <c r="J16" s="30"/>
      <c r="K16" s="2">
        <f t="shared" si="2"/>
        <v>0</v>
      </c>
      <c r="L16" s="31"/>
      <c r="M16" s="30"/>
      <c r="N16" s="2">
        <f t="shared" si="3"/>
        <v>0</v>
      </c>
      <c r="O16" s="31"/>
      <c r="P16" s="30"/>
      <c r="Q16" s="2">
        <f t="shared" si="4"/>
        <v>0</v>
      </c>
      <c r="R16" s="31"/>
      <c r="S16" s="30"/>
      <c r="T16" s="2">
        <f t="shared" si="5"/>
        <v>0</v>
      </c>
      <c r="U16" s="33"/>
      <c r="V16" s="30"/>
      <c r="W16" s="64">
        <f t="shared" si="6"/>
        <v>0</v>
      </c>
      <c r="X16" s="70">
        <f t="shared" si="7"/>
        <v>0</v>
      </c>
      <c r="Y16" s="67">
        <f t="shared" si="7"/>
        <v>0</v>
      </c>
      <c r="Z16" s="73">
        <f t="shared" si="7"/>
        <v>0</v>
      </c>
      <c r="AA16" s="35"/>
      <c r="AB16" s="30"/>
      <c r="AC16" s="2">
        <f t="shared" si="8"/>
        <v>0</v>
      </c>
      <c r="AD16" s="33"/>
      <c r="AE16" s="30"/>
      <c r="AF16" s="2">
        <f t="shared" si="9"/>
        <v>0</v>
      </c>
      <c r="AG16" s="33"/>
      <c r="AH16" s="30"/>
      <c r="AI16" s="2">
        <f t="shared" si="10"/>
        <v>0</v>
      </c>
      <c r="AJ16" s="33"/>
      <c r="AK16" s="30"/>
      <c r="AL16" s="2">
        <f t="shared" si="11"/>
        <v>0</v>
      </c>
      <c r="AM16" s="33"/>
      <c r="AN16" s="30"/>
      <c r="AO16" s="2">
        <f t="shared" si="12"/>
        <v>0</v>
      </c>
      <c r="AP16" s="33"/>
      <c r="AQ16" s="30"/>
      <c r="AR16" s="2">
        <f t="shared" si="13"/>
        <v>0</v>
      </c>
      <c r="AS16" s="33"/>
      <c r="AT16" s="30"/>
      <c r="AU16" s="2">
        <f t="shared" si="14"/>
        <v>0</v>
      </c>
      <c r="AV16" s="70">
        <f t="shared" si="15"/>
        <v>0</v>
      </c>
      <c r="AW16" s="67">
        <f t="shared" si="15"/>
        <v>0</v>
      </c>
      <c r="AX16" s="51">
        <f t="shared" si="15"/>
        <v>0</v>
      </c>
      <c r="AY16" s="33"/>
      <c r="AZ16" s="30">
        <v>1</v>
      </c>
      <c r="BA16" s="2">
        <f t="shared" si="16"/>
        <v>6000</v>
      </c>
      <c r="BB16" s="33"/>
      <c r="BC16" s="30">
        <v>2</v>
      </c>
      <c r="BD16" s="2">
        <f t="shared" si="17"/>
        <v>12000</v>
      </c>
      <c r="BE16" s="33"/>
      <c r="BF16" s="30">
        <v>2</v>
      </c>
      <c r="BG16" s="2">
        <f t="shared" si="18"/>
        <v>12000</v>
      </c>
      <c r="BH16" s="33"/>
      <c r="BI16" s="30"/>
      <c r="BJ16" s="2">
        <f t="shared" si="19"/>
        <v>0</v>
      </c>
      <c r="BK16" s="33"/>
      <c r="BL16" s="30"/>
      <c r="BM16" s="2">
        <f t="shared" si="20"/>
        <v>0</v>
      </c>
      <c r="BN16" s="33"/>
      <c r="BO16" s="30">
        <v>1</v>
      </c>
      <c r="BP16" s="2">
        <f t="shared" si="21"/>
        <v>6000</v>
      </c>
      <c r="BQ16" s="33"/>
      <c r="BR16" s="30"/>
      <c r="BS16" s="2">
        <f t="shared" si="22"/>
        <v>0</v>
      </c>
      <c r="BT16" s="70">
        <f t="shared" si="23"/>
        <v>0</v>
      </c>
      <c r="BU16" s="67">
        <f t="shared" si="23"/>
        <v>6</v>
      </c>
      <c r="BV16" s="51">
        <f t="shared" si="23"/>
        <v>36000</v>
      </c>
      <c r="BW16" s="33"/>
      <c r="BX16" s="30"/>
      <c r="BY16" s="2">
        <f t="shared" si="24"/>
        <v>0</v>
      </c>
      <c r="BZ16" s="33"/>
      <c r="CA16" s="30"/>
      <c r="CB16" s="2">
        <f t="shared" si="25"/>
        <v>0</v>
      </c>
      <c r="CC16" s="33"/>
      <c r="CD16" s="30"/>
      <c r="CE16" s="2">
        <f t="shared" si="26"/>
        <v>0</v>
      </c>
      <c r="CF16" s="33"/>
      <c r="CG16" s="30"/>
      <c r="CH16" s="2">
        <f t="shared" si="27"/>
        <v>0</v>
      </c>
      <c r="CI16" s="33"/>
      <c r="CJ16" s="30"/>
      <c r="CK16" s="2">
        <f t="shared" si="28"/>
        <v>0</v>
      </c>
      <c r="CL16" s="33"/>
      <c r="CM16" s="30"/>
      <c r="CN16" s="2">
        <f t="shared" si="29"/>
        <v>0</v>
      </c>
      <c r="CO16" s="33"/>
      <c r="CP16" s="30"/>
      <c r="CQ16" s="2">
        <f t="shared" si="30"/>
        <v>0</v>
      </c>
      <c r="CR16" s="70">
        <f t="shared" si="31"/>
        <v>0</v>
      </c>
      <c r="CS16" s="67">
        <f t="shared" si="31"/>
        <v>0</v>
      </c>
      <c r="CT16" s="51">
        <f t="shared" si="31"/>
        <v>0</v>
      </c>
      <c r="CU16" s="33"/>
      <c r="CV16" s="30"/>
      <c r="CW16" s="2">
        <f t="shared" si="32"/>
        <v>0</v>
      </c>
      <c r="CX16" s="33"/>
      <c r="CY16" s="30"/>
      <c r="CZ16" s="2">
        <f t="shared" si="33"/>
        <v>0</v>
      </c>
      <c r="DA16" s="33"/>
      <c r="DB16" s="30"/>
      <c r="DC16" s="2">
        <f t="shared" si="34"/>
        <v>0</v>
      </c>
      <c r="DD16" s="33"/>
      <c r="DE16" s="30"/>
      <c r="DF16" s="2">
        <f t="shared" si="35"/>
        <v>0</v>
      </c>
      <c r="DG16" s="33"/>
      <c r="DH16" s="30"/>
      <c r="DI16" s="2">
        <f t="shared" si="36"/>
        <v>0</v>
      </c>
      <c r="DJ16" s="33"/>
      <c r="DK16" s="30"/>
      <c r="DL16" s="2">
        <f t="shared" si="37"/>
        <v>0</v>
      </c>
      <c r="DM16" s="33"/>
      <c r="DN16" s="30"/>
      <c r="DO16" s="2">
        <f t="shared" si="38"/>
        <v>0</v>
      </c>
      <c r="DP16" s="70">
        <f t="shared" si="39"/>
        <v>0</v>
      </c>
      <c r="DQ16" s="67">
        <f t="shared" si="39"/>
        <v>0</v>
      </c>
      <c r="DR16" s="51">
        <f t="shared" si="39"/>
        <v>0</v>
      </c>
      <c r="DS16" s="52">
        <f t="shared" si="40"/>
        <v>0</v>
      </c>
      <c r="DT16" s="53">
        <f t="shared" si="41"/>
        <v>6</v>
      </c>
      <c r="DU16" s="54">
        <f t="shared" si="41"/>
        <v>36000</v>
      </c>
    </row>
    <row r="17" spans="1:125" s="26" customFormat="1" ht="17.100000000000001" customHeight="1" thickBot="1" x14ac:dyDescent="0.25">
      <c r="A17" s="27" t="s">
        <v>39</v>
      </c>
      <c r="B17" s="19">
        <v>6000</v>
      </c>
      <c r="C17" s="29"/>
      <c r="D17" s="30"/>
      <c r="E17" s="2">
        <f t="shared" si="0"/>
        <v>0</v>
      </c>
      <c r="F17" s="29">
        <v>5000</v>
      </c>
      <c r="G17" s="30"/>
      <c r="H17" s="2">
        <f t="shared" si="1"/>
        <v>0</v>
      </c>
      <c r="I17" s="29">
        <v>5000</v>
      </c>
      <c r="J17" s="30"/>
      <c r="K17" s="2">
        <f t="shared" si="2"/>
        <v>0</v>
      </c>
      <c r="L17" s="31">
        <v>5000</v>
      </c>
      <c r="M17" s="30"/>
      <c r="N17" s="2">
        <f t="shared" si="3"/>
        <v>0</v>
      </c>
      <c r="O17" s="31">
        <v>10000</v>
      </c>
      <c r="P17" s="30"/>
      <c r="Q17" s="2">
        <f t="shared" si="4"/>
        <v>0</v>
      </c>
      <c r="R17" s="31"/>
      <c r="S17" s="30"/>
      <c r="T17" s="2">
        <f t="shared" si="5"/>
        <v>0</v>
      </c>
      <c r="U17" s="33"/>
      <c r="V17" s="30"/>
      <c r="W17" s="64">
        <f t="shared" si="6"/>
        <v>0</v>
      </c>
      <c r="X17" s="70">
        <f t="shared" si="7"/>
        <v>25000</v>
      </c>
      <c r="Y17" s="67">
        <f t="shared" si="7"/>
        <v>0</v>
      </c>
      <c r="Z17" s="73">
        <f t="shared" si="7"/>
        <v>0</v>
      </c>
      <c r="AA17" s="35"/>
      <c r="AB17" s="30"/>
      <c r="AC17" s="2">
        <f t="shared" si="8"/>
        <v>0</v>
      </c>
      <c r="AD17" s="33"/>
      <c r="AE17" s="30"/>
      <c r="AF17" s="2">
        <f t="shared" si="9"/>
        <v>0</v>
      </c>
      <c r="AG17" s="33"/>
      <c r="AH17" s="30">
        <v>1</v>
      </c>
      <c r="AI17" s="2">
        <f t="shared" si="10"/>
        <v>6000</v>
      </c>
      <c r="AJ17" s="33"/>
      <c r="AK17" s="30">
        <v>1</v>
      </c>
      <c r="AL17" s="2">
        <f t="shared" si="11"/>
        <v>6000</v>
      </c>
      <c r="AM17" s="33"/>
      <c r="AN17" s="30"/>
      <c r="AO17" s="2">
        <f t="shared" si="12"/>
        <v>0</v>
      </c>
      <c r="AP17" s="33"/>
      <c r="AQ17" s="30"/>
      <c r="AR17" s="2">
        <f t="shared" si="13"/>
        <v>0</v>
      </c>
      <c r="AS17" s="33"/>
      <c r="AT17" s="30"/>
      <c r="AU17" s="2">
        <f t="shared" si="14"/>
        <v>0</v>
      </c>
      <c r="AV17" s="70">
        <f t="shared" si="15"/>
        <v>0</v>
      </c>
      <c r="AW17" s="67">
        <f t="shared" si="15"/>
        <v>2</v>
      </c>
      <c r="AX17" s="51">
        <f t="shared" si="15"/>
        <v>12000</v>
      </c>
      <c r="AY17" s="33"/>
      <c r="AZ17" s="30">
        <v>1</v>
      </c>
      <c r="BA17" s="2">
        <f t="shared" si="16"/>
        <v>6000</v>
      </c>
      <c r="BB17" s="33">
        <v>5000</v>
      </c>
      <c r="BC17" s="30">
        <v>3</v>
      </c>
      <c r="BD17" s="2">
        <f t="shared" si="17"/>
        <v>18000</v>
      </c>
      <c r="BE17" s="33"/>
      <c r="BF17" s="30">
        <v>3</v>
      </c>
      <c r="BG17" s="2">
        <f t="shared" si="18"/>
        <v>18000</v>
      </c>
      <c r="BH17" s="33">
        <v>20000</v>
      </c>
      <c r="BI17" s="30"/>
      <c r="BJ17" s="2">
        <f t="shared" si="19"/>
        <v>0</v>
      </c>
      <c r="BK17" s="33">
        <v>30000</v>
      </c>
      <c r="BL17" s="30"/>
      <c r="BM17" s="2">
        <f t="shared" si="20"/>
        <v>0</v>
      </c>
      <c r="BN17" s="33"/>
      <c r="BO17" s="30"/>
      <c r="BP17" s="2">
        <f t="shared" si="21"/>
        <v>0</v>
      </c>
      <c r="BQ17" s="33"/>
      <c r="BR17" s="30"/>
      <c r="BS17" s="2">
        <f t="shared" si="22"/>
        <v>0</v>
      </c>
      <c r="BT17" s="70">
        <f t="shared" si="23"/>
        <v>55000</v>
      </c>
      <c r="BU17" s="67">
        <f t="shared" si="23"/>
        <v>7</v>
      </c>
      <c r="BV17" s="51">
        <f t="shared" si="23"/>
        <v>42000</v>
      </c>
      <c r="BW17" s="33"/>
      <c r="BX17" s="30"/>
      <c r="BY17" s="2">
        <f t="shared" si="24"/>
        <v>0</v>
      </c>
      <c r="BZ17" s="33">
        <v>10000</v>
      </c>
      <c r="CA17" s="30">
        <v>2</v>
      </c>
      <c r="CB17" s="2">
        <f t="shared" si="25"/>
        <v>12000</v>
      </c>
      <c r="CC17" s="33"/>
      <c r="CD17" s="30">
        <v>2</v>
      </c>
      <c r="CE17" s="2">
        <f t="shared" si="26"/>
        <v>12000</v>
      </c>
      <c r="CF17" s="33">
        <v>10000</v>
      </c>
      <c r="CG17" s="30">
        <v>1</v>
      </c>
      <c r="CH17" s="2">
        <f t="shared" si="27"/>
        <v>6000</v>
      </c>
      <c r="CI17" s="33"/>
      <c r="CJ17" s="30"/>
      <c r="CK17" s="2">
        <f t="shared" si="28"/>
        <v>0</v>
      </c>
      <c r="CL17" s="33"/>
      <c r="CM17" s="30"/>
      <c r="CN17" s="2">
        <f t="shared" si="29"/>
        <v>0</v>
      </c>
      <c r="CO17" s="33"/>
      <c r="CP17" s="30"/>
      <c r="CQ17" s="2">
        <f t="shared" si="30"/>
        <v>0</v>
      </c>
      <c r="CR17" s="70">
        <f t="shared" si="31"/>
        <v>20000</v>
      </c>
      <c r="CS17" s="111">
        <f t="shared" si="31"/>
        <v>5</v>
      </c>
      <c r="CT17" s="112">
        <f t="shared" si="31"/>
        <v>30000</v>
      </c>
      <c r="CU17" s="33"/>
      <c r="CV17" s="30"/>
      <c r="CW17" s="2">
        <f t="shared" si="32"/>
        <v>0</v>
      </c>
      <c r="CX17" s="33"/>
      <c r="CY17" s="30">
        <v>2</v>
      </c>
      <c r="CZ17" s="2">
        <f t="shared" si="33"/>
        <v>12000</v>
      </c>
      <c r="DA17" s="33">
        <v>15000</v>
      </c>
      <c r="DB17" s="30">
        <v>2</v>
      </c>
      <c r="DC17" s="2">
        <f t="shared" si="34"/>
        <v>12000</v>
      </c>
      <c r="DD17" s="33"/>
      <c r="DE17" s="30"/>
      <c r="DF17" s="2">
        <f t="shared" si="35"/>
        <v>0</v>
      </c>
      <c r="DG17" s="33"/>
      <c r="DH17" s="30"/>
      <c r="DI17" s="2">
        <f t="shared" si="36"/>
        <v>0</v>
      </c>
      <c r="DJ17" s="33"/>
      <c r="DK17" s="30"/>
      <c r="DL17" s="2">
        <f t="shared" si="37"/>
        <v>0</v>
      </c>
      <c r="DM17" s="33"/>
      <c r="DN17" s="30"/>
      <c r="DO17" s="2">
        <f t="shared" si="38"/>
        <v>0</v>
      </c>
      <c r="DP17" s="70">
        <f t="shared" si="39"/>
        <v>15000</v>
      </c>
      <c r="DQ17" s="67">
        <f t="shared" si="39"/>
        <v>4</v>
      </c>
      <c r="DR17" s="51">
        <f t="shared" si="39"/>
        <v>24000</v>
      </c>
      <c r="DS17" s="52">
        <v>115000</v>
      </c>
      <c r="DT17" s="53">
        <f t="shared" si="41"/>
        <v>18</v>
      </c>
      <c r="DU17" s="54">
        <f t="shared" si="41"/>
        <v>108000</v>
      </c>
    </row>
    <row r="18" spans="1:125" s="26" customFormat="1" ht="17.100000000000001" customHeight="1" thickBot="1" x14ac:dyDescent="0.25">
      <c r="A18" s="27" t="s">
        <v>38</v>
      </c>
      <c r="B18" s="19">
        <v>6000</v>
      </c>
      <c r="C18" s="29"/>
      <c r="D18" s="30"/>
      <c r="E18" s="2">
        <f t="shared" si="0"/>
        <v>0</v>
      </c>
      <c r="F18" s="29"/>
      <c r="G18" s="30"/>
      <c r="H18" s="2">
        <f t="shared" si="1"/>
        <v>0</v>
      </c>
      <c r="I18" s="29"/>
      <c r="J18" s="30"/>
      <c r="K18" s="2">
        <f t="shared" si="2"/>
        <v>0</v>
      </c>
      <c r="L18" s="31"/>
      <c r="M18" s="30"/>
      <c r="N18" s="2">
        <f t="shared" si="3"/>
        <v>0</v>
      </c>
      <c r="O18" s="31"/>
      <c r="P18" s="30"/>
      <c r="Q18" s="2">
        <f t="shared" si="4"/>
        <v>0</v>
      </c>
      <c r="R18" s="31"/>
      <c r="S18" s="30"/>
      <c r="T18" s="2">
        <f t="shared" si="5"/>
        <v>0</v>
      </c>
      <c r="U18" s="33"/>
      <c r="V18" s="30"/>
      <c r="W18" s="64">
        <f t="shared" si="6"/>
        <v>0</v>
      </c>
      <c r="X18" s="70">
        <f t="shared" si="7"/>
        <v>0</v>
      </c>
      <c r="Y18" s="67">
        <f t="shared" si="7"/>
        <v>0</v>
      </c>
      <c r="Z18" s="73">
        <f t="shared" si="7"/>
        <v>0</v>
      </c>
      <c r="AA18" s="35"/>
      <c r="AB18" s="30"/>
      <c r="AC18" s="2">
        <f t="shared" si="8"/>
        <v>0</v>
      </c>
      <c r="AD18" s="33"/>
      <c r="AE18" s="30"/>
      <c r="AF18" s="2">
        <f t="shared" si="9"/>
        <v>0</v>
      </c>
      <c r="AG18" s="33"/>
      <c r="AH18" s="30"/>
      <c r="AI18" s="2">
        <f t="shared" si="10"/>
        <v>0</v>
      </c>
      <c r="AJ18" s="33"/>
      <c r="AK18" s="30"/>
      <c r="AL18" s="2">
        <f t="shared" si="11"/>
        <v>0</v>
      </c>
      <c r="AM18" s="33"/>
      <c r="AN18" s="30"/>
      <c r="AO18" s="2">
        <f t="shared" si="12"/>
        <v>0</v>
      </c>
      <c r="AP18" s="33"/>
      <c r="AQ18" s="30"/>
      <c r="AR18" s="2">
        <f t="shared" si="13"/>
        <v>0</v>
      </c>
      <c r="AS18" s="33">
        <v>20000</v>
      </c>
      <c r="AT18" s="30"/>
      <c r="AU18" s="2">
        <f t="shared" si="14"/>
        <v>0</v>
      </c>
      <c r="AV18" s="70">
        <f t="shared" si="15"/>
        <v>20000</v>
      </c>
      <c r="AW18" s="67">
        <f t="shared" si="15"/>
        <v>0</v>
      </c>
      <c r="AX18" s="51">
        <f t="shared" si="15"/>
        <v>0</v>
      </c>
      <c r="AY18" s="33"/>
      <c r="AZ18" s="30"/>
      <c r="BA18" s="2">
        <f t="shared" si="16"/>
        <v>0</v>
      </c>
      <c r="BB18" s="33"/>
      <c r="BC18" s="30"/>
      <c r="BD18" s="2">
        <f t="shared" si="17"/>
        <v>0</v>
      </c>
      <c r="BE18" s="33"/>
      <c r="BF18" s="30"/>
      <c r="BG18" s="2">
        <f t="shared" si="18"/>
        <v>0</v>
      </c>
      <c r="BH18" s="33"/>
      <c r="BI18" s="30"/>
      <c r="BJ18" s="2">
        <f t="shared" si="19"/>
        <v>0</v>
      </c>
      <c r="BK18" s="33"/>
      <c r="BL18" s="30"/>
      <c r="BM18" s="2">
        <f t="shared" si="20"/>
        <v>0</v>
      </c>
      <c r="BN18" s="33"/>
      <c r="BO18" s="30"/>
      <c r="BP18" s="2">
        <f t="shared" si="21"/>
        <v>0</v>
      </c>
      <c r="BQ18" s="33"/>
      <c r="BR18" s="30"/>
      <c r="BS18" s="2">
        <f t="shared" si="22"/>
        <v>0</v>
      </c>
      <c r="BT18" s="70">
        <f t="shared" si="23"/>
        <v>0</v>
      </c>
      <c r="BU18" s="67">
        <f t="shared" si="23"/>
        <v>0</v>
      </c>
      <c r="BV18" s="51">
        <f t="shared" si="23"/>
        <v>0</v>
      </c>
      <c r="BW18" s="33"/>
      <c r="BX18" s="30"/>
      <c r="BY18" s="2">
        <f t="shared" si="24"/>
        <v>0</v>
      </c>
      <c r="BZ18" s="33"/>
      <c r="CA18" s="30"/>
      <c r="CB18" s="2">
        <f t="shared" si="25"/>
        <v>0</v>
      </c>
      <c r="CC18" s="33"/>
      <c r="CD18" s="30"/>
      <c r="CE18" s="2">
        <f t="shared" si="26"/>
        <v>0</v>
      </c>
      <c r="CF18" s="33"/>
      <c r="CG18" s="30"/>
      <c r="CH18" s="2">
        <f t="shared" si="27"/>
        <v>0</v>
      </c>
      <c r="CI18" s="33"/>
      <c r="CJ18" s="30"/>
      <c r="CK18" s="2">
        <f t="shared" si="28"/>
        <v>0</v>
      </c>
      <c r="CL18" s="33"/>
      <c r="CM18" s="30"/>
      <c r="CN18" s="2">
        <f t="shared" si="29"/>
        <v>0</v>
      </c>
      <c r="CO18" s="33"/>
      <c r="CP18" s="30"/>
      <c r="CQ18" s="2">
        <f t="shared" si="30"/>
        <v>0</v>
      </c>
      <c r="CR18" s="70">
        <f t="shared" si="31"/>
        <v>0</v>
      </c>
      <c r="CS18" s="67">
        <f t="shared" si="31"/>
        <v>0</v>
      </c>
      <c r="CT18" s="51">
        <f t="shared" si="31"/>
        <v>0</v>
      </c>
      <c r="CU18" s="33"/>
      <c r="CV18" s="30"/>
      <c r="CW18" s="2">
        <f t="shared" si="32"/>
        <v>0</v>
      </c>
      <c r="CX18" s="33"/>
      <c r="CY18" s="30"/>
      <c r="CZ18" s="2">
        <f t="shared" si="33"/>
        <v>0</v>
      </c>
      <c r="DA18" s="33"/>
      <c r="DB18" s="30"/>
      <c r="DC18" s="2">
        <f t="shared" si="34"/>
        <v>0</v>
      </c>
      <c r="DD18" s="33"/>
      <c r="DE18" s="30"/>
      <c r="DF18" s="2">
        <f t="shared" si="35"/>
        <v>0</v>
      </c>
      <c r="DG18" s="33"/>
      <c r="DH18" s="30"/>
      <c r="DI18" s="2">
        <f t="shared" si="36"/>
        <v>0</v>
      </c>
      <c r="DJ18" s="33"/>
      <c r="DK18" s="30"/>
      <c r="DL18" s="2">
        <f t="shared" si="37"/>
        <v>0</v>
      </c>
      <c r="DM18" s="33"/>
      <c r="DN18" s="30"/>
      <c r="DO18" s="2">
        <f t="shared" si="38"/>
        <v>0</v>
      </c>
      <c r="DP18" s="70">
        <f t="shared" si="39"/>
        <v>0</v>
      </c>
      <c r="DQ18" s="67">
        <f t="shared" si="39"/>
        <v>0</v>
      </c>
      <c r="DR18" s="51">
        <f t="shared" si="39"/>
        <v>0</v>
      </c>
      <c r="DS18" s="52">
        <v>20000</v>
      </c>
      <c r="DT18" s="53">
        <f t="shared" si="41"/>
        <v>0</v>
      </c>
      <c r="DU18" s="54">
        <f t="shared" si="41"/>
        <v>0</v>
      </c>
    </row>
    <row r="19" spans="1:125" s="26" customFormat="1" ht="17.100000000000001" customHeight="1" x14ac:dyDescent="0.2">
      <c r="A19" s="27" t="s">
        <v>40</v>
      </c>
      <c r="B19" s="19">
        <v>6000</v>
      </c>
      <c r="C19" s="29"/>
      <c r="D19" s="30"/>
      <c r="E19" s="2">
        <f t="shared" si="0"/>
        <v>0</v>
      </c>
      <c r="F19" s="29"/>
      <c r="G19" s="30"/>
      <c r="H19" s="2">
        <f t="shared" si="1"/>
        <v>0</v>
      </c>
      <c r="I19" s="29"/>
      <c r="J19" s="30"/>
      <c r="K19" s="2">
        <f t="shared" si="2"/>
        <v>0</v>
      </c>
      <c r="L19" s="31"/>
      <c r="M19" s="30"/>
      <c r="N19" s="2">
        <f t="shared" si="3"/>
        <v>0</v>
      </c>
      <c r="O19" s="31"/>
      <c r="P19" s="30"/>
      <c r="Q19" s="2">
        <f t="shared" si="4"/>
        <v>0</v>
      </c>
      <c r="R19" s="31"/>
      <c r="S19" s="30"/>
      <c r="T19" s="2">
        <f t="shared" si="5"/>
        <v>0</v>
      </c>
      <c r="U19" s="33"/>
      <c r="V19" s="30"/>
      <c r="W19" s="64">
        <f t="shared" si="6"/>
        <v>0</v>
      </c>
      <c r="X19" s="70">
        <f t="shared" si="7"/>
        <v>0</v>
      </c>
      <c r="Y19" s="67">
        <f t="shared" si="7"/>
        <v>0</v>
      </c>
      <c r="Z19" s="73">
        <f t="shared" si="7"/>
        <v>0</v>
      </c>
      <c r="AA19" s="35"/>
      <c r="AB19" s="30"/>
      <c r="AC19" s="2">
        <f t="shared" si="8"/>
        <v>0</v>
      </c>
      <c r="AD19" s="33"/>
      <c r="AE19" s="30"/>
      <c r="AF19" s="2">
        <f t="shared" si="9"/>
        <v>0</v>
      </c>
      <c r="AG19" s="33"/>
      <c r="AH19" s="30">
        <v>1</v>
      </c>
      <c r="AI19" s="2">
        <f t="shared" si="10"/>
        <v>6000</v>
      </c>
      <c r="AJ19" s="33"/>
      <c r="AK19" s="30">
        <v>1</v>
      </c>
      <c r="AL19" s="2">
        <f t="shared" si="11"/>
        <v>6000</v>
      </c>
      <c r="AM19" s="33"/>
      <c r="AN19" s="30"/>
      <c r="AO19" s="2">
        <f t="shared" si="12"/>
        <v>0</v>
      </c>
      <c r="AP19" s="33"/>
      <c r="AQ19" s="30"/>
      <c r="AR19" s="2">
        <f t="shared" si="13"/>
        <v>0</v>
      </c>
      <c r="AS19" s="33"/>
      <c r="AT19" s="30"/>
      <c r="AU19" s="2">
        <f t="shared" si="14"/>
        <v>0</v>
      </c>
      <c r="AV19" s="70">
        <f t="shared" si="15"/>
        <v>0</v>
      </c>
      <c r="AW19" s="67">
        <f t="shared" si="15"/>
        <v>2</v>
      </c>
      <c r="AX19" s="51">
        <f>AC19+AF19+AI19+AL19+AO19+AR19+AU19</f>
        <v>12000</v>
      </c>
      <c r="AY19" s="33"/>
      <c r="AZ19" s="30">
        <v>1</v>
      </c>
      <c r="BA19" s="2">
        <f t="shared" si="16"/>
        <v>6000</v>
      </c>
      <c r="BB19" s="33"/>
      <c r="BC19" s="30"/>
      <c r="BD19" s="2">
        <f t="shared" si="17"/>
        <v>0</v>
      </c>
      <c r="BE19" s="33"/>
      <c r="BF19" s="30">
        <v>2</v>
      </c>
      <c r="BG19" s="2">
        <f t="shared" si="18"/>
        <v>12000</v>
      </c>
      <c r="BH19" s="33"/>
      <c r="BI19" s="30"/>
      <c r="BJ19" s="2">
        <f t="shared" si="19"/>
        <v>0</v>
      </c>
      <c r="BK19" s="33"/>
      <c r="BL19" s="30"/>
      <c r="BM19" s="2">
        <f t="shared" si="20"/>
        <v>0</v>
      </c>
      <c r="BN19" s="33"/>
      <c r="BO19" s="30">
        <v>1</v>
      </c>
      <c r="BP19" s="2">
        <f t="shared" si="21"/>
        <v>6000</v>
      </c>
      <c r="BQ19" s="33"/>
      <c r="BR19" s="30"/>
      <c r="BS19" s="2">
        <f t="shared" si="22"/>
        <v>0</v>
      </c>
      <c r="BT19" s="70">
        <f t="shared" si="23"/>
        <v>0</v>
      </c>
      <c r="BU19" s="67">
        <f t="shared" si="23"/>
        <v>4</v>
      </c>
      <c r="BV19" s="51">
        <f t="shared" si="23"/>
        <v>24000</v>
      </c>
      <c r="BW19" s="33"/>
      <c r="BX19" s="30"/>
      <c r="BY19" s="2">
        <f t="shared" si="24"/>
        <v>0</v>
      </c>
      <c r="BZ19" s="33"/>
      <c r="CA19" s="30">
        <v>1</v>
      </c>
      <c r="CB19" s="2">
        <f t="shared" si="25"/>
        <v>6000</v>
      </c>
      <c r="CC19" s="33"/>
      <c r="CD19" s="30">
        <v>2</v>
      </c>
      <c r="CE19" s="2">
        <f t="shared" si="26"/>
        <v>12000</v>
      </c>
      <c r="CF19" s="33"/>
      <c r="CG19" s="30">
        <v>1</v>
      </c>
      <c r="CH19" s="2">
        <f t="shared" si="27"/>
        <v>6000</v>
      </c>
      <c r="CI19" s="33"/>
      <c r="CJ19" s="30"/>
      <c r="CK19" s="2">
        <f t="shared" si="28"/>
        <v>0</v>
      </c>
      <c r="CL19" s="33"/>
      <c r="CM19" s="30"/>
      <c r="CN19" s="2">
        <f t="shared" si="29"/>
        <v>0</v>
      </c>
      <c r="CO19" s="33"/>
      <c r="CP19" s="30"/>
      <c r="CQ19" s="2">
        <f t="shared" si="30"/>
        <v>0</v>
      </c>
      <c r="CR19" s="70">
        <f t="shared" si="31"/>
        <v>0</v>
      </c>
      <c r="CS19" s="67">
        <f t="shared" si="31"/>
        <v>4</v>
      </c>
      <c r="CT19" s="51">
        <f t="shared" si="31"/>
        <v>24000</v>
      </c>
      <c r="CU19" s="33"/>
      <c r="CV19" s="30"/>
      <c r="CW19" s="2">
        <f t="shared" si="32"/>
        <v>0</v>
      </c>
      <c r="CX19" s="33"/>
      <c r="CY19" s="30">
        <v>2</v>
      </c>
      <c r="CZ19" s="2">
        <f t="shared" si="33"/>
        <v>12000</v>
      </c>
      <c r="DA19" s="33"/>
      <c r="DB19" s="30"/>
      <c r="DC19" s="2">
        <f t="shared" si="34"/>
        <v>0</v>
      </c>
      <c r="DD19" s="33"/>
      <c r="DE19" s="30"/>
      <c r="DF19" s="2">
        <f t="shared" si="35"/>
        <v>0</v>
      </c>
      <c r="DG19" s="33"/>
      <c r="DH19" s="30"/>
      <c r="DI19" s="2">
        <f t="shared" si="36"/>
        <v>0</v>
      </c>
      <c r="DJ19" s="33"/>
      <c r="DK19" s="30"/>
      <c r="DL19" s="2">
        <f t="shared" si="37"/>
        <v>0</v>
      </c>
      <c r="DM19" s="33"/>
      <c r="DN19" s="30"/>
      <c r="DO19" s="2">
        <f t="shared" si="38"/>
        <v>0</v>
      </c>
      <c r="DP19" s="70">
        <f t="shared" si="39"/>
        <v>0</v>
      </c>
      <c r="DQ19" s="67">
        <f t="shared" si="39"/>
        <v>2</v>
      </c>
      <c r="DR19" s="51">
        <f t="shared" si="39"/>
        <v>12000</v>
      </c>
      <c r="DS19" s="52">
        <f t="shared" si="40"/>
        <v>0</v>
      </c>
      <c r="DT19" s="53">
        <f t="shared" si="41"/>
        <v>12</v>
      </c>
      <c r="DU19" s="54">
        <f>Z19+AX19+BV19+CT19+DR19</f>
        <v>72000</v>
      </c>
    </row>
    <row r="20" spans="1:125" s="26" customFormat="1" ht="17.100000000000001" customHeight="1" x14ac:dyDescent="0.2">
      <c r="A20" s="79" t="s">
        <v>35</v>
      </c>
      <c r="B20" s="80"/>
      <c r="C20" s="81"/>
      <c r="D20" s="82"/>
      <c r="E20" s="83">
        <f t="shared" si="0"/>
        <v>0</v>
      </c>
      <c r="F20" s="81"/>
      <c r="G20" s="82"/>
      <c r="H20" s="83">
        <f t="shared" si="1"/>
        <v>0</v>
      </c>
      <c r="I20" s="81"/>
      <c r="J20" s="82"/>
      <c r="K20" s="83">
        <f t="shared" si="2"/>
        <v>0</v>
      </c>
      <c r="L20" s="84"/>
      <c r="M20" s="82"/>
      <c r="N20" s="83">
        <f t="shared" si="3"/>
        <v>0</v>
      </c>
      <c r="O20" s="84"/>
      <c r="P20" s="82"/>
      <c r="Q20" s="83">
        <f t="shared" si="4"/>
        <v>0</v>
      </c>
      <c r="R20" s="84"/>
      <c r="S20" s="82"/>
      <c r="T20" s="83">
        <f t="shared" si="5"/>
        <v>0</v>
      </c>
      <c r="U20" s="84"/>
      <c r="V20" s="82"/>
      <c r="W20" s="85">
        <f t="shared" si="6"/>
        <v>0</v>
      </c>
      <c r="X20" s="86">
        <f t="shared" si="7"/>
        <v>0</v>
      </c>
      <c r="Y20" s="87">
        <f t="shared" si="7"/>
        <v>0</v>
      </c>
      <c r="Z20" s="88">
        <f t="shared" si="7"/>
        <v>0</v>
      </c>
      <c r="AA20" s="89"/>
      <c r="AB20" s="82"/>
      <c r="AC20" s="83">
        <f t="shared" si="8"/>
        <v>0</v>
      </c>
      <c r="AD20" s="84"/>
      <c r="AE20" s="82"/>
      <c r="AF20" s="83">
        <f t="shared" si="9"/>
        <v>0</v>
      </c>
      <c r="AG20" s="84"/>
      <c r="AH20" s="82"/>
      <c r="AI20" s="83">
        <f t="shared" si="10"/>
        <v>0</v>
      </c>
      <c r="AJ20" s="84"/>
      <c r="AK20" s="82"/>
      <c r="AL20" s="83">
        <f t="shared" si="11"/>
        <v>0</v>
      </c>
      <c r="AM20" s="84"/>
      <c r="AN20" s="82"/>
      <c r="AO20" s="83">
        <f t="shared" si="12"/>
        <v>0</v>
      </c>
      <c r="AP20" s="84"/>
      <c r="AQ20" s="82"/>
      <c r="AR20" s="83">
        <f t="shared" si="13"/>
        <v>0</v>
      </c>
      <c r="AS20" s="84"/>
      <c r="AT20" s="82"/>
      <c r="AU20" s="83">
        <f t="shared" si="14"/>
        <v>0</v>
      </c>
      <c r="AV20" s="86">
        <f t="shared" si="15"/>
        <v>0</v>
      </c>
      <c r="AW20" s="87">
        <f t="shared" si="15"/>
        <v>0</v>
      </c>
      <c r="AX20" s="90">
        <f t="shared" si="15"/>
        <v>0</v>
      </c>
      <c r="AY20" s="84"/>
      <c r="AZ20" s="82"/>
      <c r="BA20" s="83">
        <f t="shared" si="16"/>
        <v>0</v>
      </c>
      <c r="BB20" s="84"/>
      <c r="BC20" s="82"/>
      <c r="BD20" s="83">
        <f t="shared" si="17"/>
        <v>0</v>
      </c>
      <c r="BE20" s="84"/>
      <c r="BF20" s="82"/>
      <c r="BG20" s="83">
        <f t="shared" si="18"/>
        <v>0</v>
      </c>
      <c r="BH20" s="84"/>
      <c r="BI20" s="82"/>
      <c r="BJ20" s="83">
        <f t="shared" si="19"/>
        <v>0</v>
      </c>
      <c r="BK20" s="84"/>
      <c r="BL20" s="82"/>
      <c r="BM20" s="83">
        <f t="shared" si="20"/>
        <v>0</v>
      </c>
      <c r="BN20" s="84"/>
      <c r="BO20" s="82"/>
      <c r="BP20" s="83">
        <f t="shared" si="21"/>
        <v>0</v>
      </c>
      <c r="BQ20" s="84"/>
      <c r="BR20" s="82"/>
      <c r="BS20" s="83">
        <f t="shared" si="22"/>
        <v>0</v>
      </c>
      <c r="BT20" s="86">
        <f t="shared" si="23"/>
        <v>0</v>
      </c>
      <c r="BU20" s="87">
        <f t="shared" si="23"/>
        <v>0</v>
      </c>
      <c r="BV20" s="90">
        <f t="shared" si="23"/>
        <v>0</v>
      </c>
      <c r="BW20" s="84"/>
      <c r="BX20" s="82"/>
      <c r="BY20" s="83">
        <f t="shared" si="24"/>
        <v>0</v>
      </c>
      <c r="BZ20" s="84"/>
      <c r="CA20" s="82"/>
      <c r="CB20" s="83">
        <f t="shared" si="25"/>
        <v>0</v>
      </c>
      <c r="CC20" s="84"/>
      <c r="CD20" s="82"/>
      <c r="CE20" s="83">
        <f t="shared" si="26"/>
        <v>0</v>
      </c>
      <c r="CF20" s="84"/>
      <c r="CG20" s="82"/>
      <c r="CH20" s="83">
        <f t="shared" si="27"/>
        <v>0</v>
      </c>
      <c r="CI20" s="84"/>
      <c r="CJ20" s="82"/>
      <c r="CK20" s="83">
        <f t="shared" si="28"/>
        <v>0</v>
      </c>
      <c r="CL20" s="84"/>
      <c r="CM20" s="82"/>
      <c r="CN20" s="83">
        <f t="shared" si="29"/>
        <v>0</v>
      </c>
      <c r="CO20" s="84"/>
      <c r="CP20" s="82"/>
      <c r="CQ20" s="83">
        <f t="shared" si="30"/>
        <v>0</v>
      </c>
      <c r="CR20" s="86">
        <f t="shared" si="31"/>
        <v>0</v>
      </c>
      <c r="CS20" s="87">
        <f t="shared" si="31"/>
        <v>0</v>
      </c>
      <c r="CT20" s="90">
        <f t="shared" si="31"/>
        <v>0</v>
      </c>
      <c r="CU20" s="84"/>
      <c r="CV20" s="82"/>
      <c r="CW20" s="83">
        <f t="shared" si="32"/>
        <v>0</v>
      </c>
      <c r="CX20" s="84"/>
      <c r="CY20" s="82"/>
      <c r="CZ20" s="83">
        <f t="shared" si="33"/>
        <v>0</v>
      </c>
      <c r="DA20" s="84"/>
      <c r="DB20" s="82"/>
      <c r="DC20" s="83">
        <f t="shared" si="34"/>
        <v>0</v>
      </c>
      <c r="DD20" s="84"/>
      <c r="DE20" s="82"/>
      <c r="DF20" s="83">
        <f t="shared" si="35"/>
        <v>0</v>
      </c>
      <c r="DG20" s="84"/>
      <c r="DH20" s="82"/>
      <c r="DI20" s="83">
        <f t="shared" si="36"/>
        <v>0</v>
      </c>
      <c r="DJ20" s="84"/>
      <c r="DK20" s="82"/>
      <c r="DL20" s="83">
        <f t="shared" si="37"/>
        <v>0</v>
      </c>
      <c r="DM20" s="84"/>
      <c r="DN20" s="82"/>
      <c r="DO20" s="83">
        <f t="shared" si="38"/>
        <v>0</v>
      </c>
      <c r="DP20" s="86">
        <f t="shared" si="39"/>
        <v>0</v>
      </c>
      <c r="DQ20" s="87">
        <f t="shared" si="39"/>
        <v>0</v>
      </c>
      <c r="DR20" s="90">
        <f t="shared" si="39"/>
        <v>0</v>
      </c>
      <c r="DS20" s="91">
        <f t="shared" si="40"/>
        <v>0</v>
      </c>
      <c r="DT20" s="92">
        <f t="shared" si="41"/>
        <v>0</v>
      </c>
      <c r="DU20" s="88">
        <f t="shared" si="41"/>
        <v>0</v>
      </c>
    </row>
    <row r="21" spans="1:125" s="26" customFormat="1" ht="17.100000000000001" customHeight="1" thickBot="1" x14ac:dyDescent="0.25">
      <c r="A21" s="36" t="s">
        <v>34</v>
      </c>
      <c r="B21" s="37">
        <v>6250</v>
      </c>
      <c r="C21" s="38"/>
      <c r="D21" s="39"/>
      <c r="E21" s="3">
        <f t="shared" si="0"/>
        <v>0</v>
      </c>
      <c r="F21" s="109">
        <v>35000</v>
      </c>
      <c r="G21" s="39"/>
      <c r="H21" s="3">
        <f t="shared" si="1"/>
        <v>0</v>
      </c>
      <c r="I21" s="38"/>
      <c r="J21" s="39"/>
      <c r="K21" s="3">
        <f t="shared" si="2"/>
        <v>0</v>
      </c>
      <c r="L21" s="110">
        <v>15000</v>
      </c>
      <c r="M21" s="39"/>
      <c r="N21" s="3">
        <f t="shared" si="3"/>
        <v>0</v>
      </c>
      <c r="O21" s="40"/>
      <c r="P21" s="39"/>
      <c r="Q21" s="3">
        <f t="shared" si="4"/>
        <v>0</v>
      </c>
      <c r="R21" s="110">
        <v>25000</v>
      </c>
      <c r="S21" s="39"/>
      <c r="T21" s="3">
        <f t="shared" si="5"/>
        <v>0</v>
      </c>
      <c r="U21" s="41"/>
      <c r="V21" s="39"/>
      <c r="W21" s="65">
        <f t="shared" si="6"/>
        <v>0</v>
      </c>
      <c r="X21" s="71">
        <f t="shared" si="7"/>
        <v>75000</v>
      </c>
      <c r="Y21" s="68">
        <f t="shared" si="7"/>
        <v>0</v>
      </c>
      <c r="Z21" s="74">
        <f t="shared" si="7"/>
        <v>0</v>
      </c>
      <c r="AA21" s="42"/>
      <c r="AB21" s="39"/>
      <c r="AC21" s="3">
        <f t="shared" si="8"/>
        <v>0</v>
      </c>
      <c r="AD21" s="110"/>
      <c r="AE21" s="39"/>
      <c r="AF21" s="3">
        <f t="shared" si="9"/>
        <v>0</v>
      </c>
      <c r="AG21" s="41"/>
      <c r="AH21" s="39"/>
      <c r="AI21" s="3">
        <f t="shared" si="10"/>
        <v>0</v>
      </c>
      <c r="AJ21" s="110">
        <v>25000</v>
      </c>
      <c r="AK21" s="39"/>
      <c r="AL21" s="3">
        <f t="shared" si="11"/>
        <v>0</v>
      </c>
      <c r="AM21" s="41"/>
      <c r="AN21" s="39"/>
      <c r="AO21" s="3">
        <f t="shared" si="12"/>
        <v>0</v>
      </c>
      <c r="AP21" s="110">
        <v>25000</v>
      </c>
      <c r="AQ21" s="39"/>
      <c r="AR21" s="3">
        <f t="shared" si="13"/>
        <v>0</v>
      </c>
      <c r="AS21" s="41"/>
      <c r="AT21" s="39"/>
      <c r="AU21" s="3">
        <f t="shared" si="14"/>
        <v>0</v>
      </c>
      <c r="AV21" s="71">
        <f t="shared" si="15"/>
        <v>50000</v>
      </c>
      <c r="AW21" s="68">
        <f t="shared" si="15"/>
        <v>0</v>
      </c>
      <c r="AX21" s="55">
        <f t="shared" si="15"/>
        <v>0</v>
      </c>
      <c r="AY21" s="41"/>
      <c r="AZ21" s="39"/>
      <c r="BA21" s="3">
        <f t="shared" si="16"/>
        <v>0</v>
      </c>
      <c r="BB21" s="110">
        <v>25000</v>
      </c>
      <c r="BC21" s="39"/>
      <c r="BD21" s="3">
        <f t="shared" si="17"/>
        <v>0</v>
      </c>
      <c r="BE21" s="41"/>
      <c r="BF21" s="39"/>
      <c r="BG21" s="3">
        <f t="shared" si="18"/>
        <v>0</v>
      </c>
      <c r="BH21" s="110">
        <v>25000</v>
      </c>
      <c r="BI21" s="39"/>
      <c r="BJ21" s="3">
        <f t="shared" si="19"/>
        <v>0</v>
      </c>
      <c r="BK21" s="41"/>
      <c r="BL21" s="39"/>
      <c r="BM21" s="3">
        <f t="shared" si="20"/>
        <v>0</v>
      </c>
      <c r="BN21" s="110">
        <v>25000</v>
      </c>
      <c r="BO21" s="39"/>
      <c r="BP21" s="3">
        <f t="shared" si="21"/>
        <v>0</v>
      </c>
      <c r="BQ21" s="41"/>
      <c r="BR21" s="39"/>
      <c r="BS21" s="3">
        <f t="shared" si="22"/>
        <v>0</v>
      </c>
      <c r="BT21" s="71">
        <f t="shared" si="23"/>
        <v>75000</v>
      </c>
      <c r="BU21" s="68">
        <f t="shared" si="23"/>
        <v>0</v>
      </c>
      <c r="BV21" s="55">
        <f t="shared" si="23"/>
        <v>0</v>
      </c>
      <c r="BW21" s="41"/>
      <c r="BX21" s="39"/>
      <c r="BY21" s="3">
        <f t="shared" si="24"/>
        <v>0</v>
      </c>
      <c r="BZ21" s="110">
        <v>25000</v>
      </c>
      <c r="CA21" s="39"/>
      <c r="CB21" s="3">
        <f t="shared" si="25"/>
        <v>0</v>
      </c>
      <c r="CC21" s="41"/>
      <c r="CD21" s="39"/>
      <c r="CE21" s="3">
        <f t="shared" si="26"/>
        <v>0</v>
      </c>
      <c r="CF21" s="110">
        <v>25000</v>
      </c>
      <c r="CG21" s="39"/>
      <c r="CH21" s="3">
        <f t="shared" si="27"/>
        <v>0</v>
      </c>
      <c r="CI21" s="41"/>
      <c r="CJ21" s="39"/>
      <c r="CK21" s="3">
        <f t="shared" si="28"/>
        <v>0</v>
      </c>
      <c r="CL21" s="110">
        <v>25000</v>
      </c>
      <c r="CM21" s="39"/>
      <c r="CN21" s="3">
        <f t="shared" si="29"/>
        <v>0</v>
      </c>
      <c r="CO21" s="41"/>
      <c r="CP21" s="39"/>
      <c r="CQ21" s="3">
        <f t="shared" si="30"/>
        <v>0</v>
      </c>
      <c r="CR21" s="71">
        <f t="shared" si="31"/>
        <v>75000</v>
      </c>
      <c r="CS21" s="68">
        <f t="shared" si="31"/>
        <v>0</v>
      </c>
      <c r="CT21" s="51">
        <f t="shared" si="31"/>
        <v>0</v>
      </c>
      <c r="CU21" s="41"/>
      <c r="CV21" s="39"/>
      <c r="CW21" s="3">
        <f t="shared" si="32"/>
        <v>0</v>
      </c>
      <c r="CX21" s="40">
        <v>25000</v>
      </c>
      <c r="CY21" s="113"/>
      <c r="CZ21" s="3">
        <f t="shared" si="33"/>
        <v>0</v>
      </c>
      <c r="DA21" s="41"/>
      <c r="DB21" s="39"/>
      <c r="DC21" s="3">
        <f t="shared" si="34"/>
        <v>0</v>
      </c>
      <c r="DD21" s="40"/>
      <c r="DE21" s="39"/>
      <c r="DF21" s="3">
        <f t="shared" si="35"/>
        <v>0</v>
      </c>
      <c r="DG21" s="41"/>
      <c r="DH21" s="39"/>
      <c r="DI21" s="3">
        <f t="shared" si="36"/>
        <v>0</v>
      </c>
      <c r="DJ21" s="41"/>
      <c r="DK21" s="39"/>
      <c r="DL21" s="3">
        <f t="shared" si="37"/>
        <v>0</v>
      </c>
      <c r="DM21" s="41"/>
      <c r="DN21" s="39"/>
      <c r="DO21" s="3">
        <f t="shared" si="38"/>
        <v>0</v>
      </c>
      <c r="DP21" s="71">
        <f t="shared" si="39"/>
        <v>25000</v>
      </c>
      <c r="DQ21" s="68">
        <f t="shared" si="39"/>
        <v>0</v>
      </c>
      <c r="DR21" s="55">
        <f t="shared" si="39"/>
        <v>0</v>
      </c>
      <c r="DS21" s="56">
        <f t="shared" si="40"/>
        <v>225000</v>
      </c>
      <c r="DT21" s="57">
        <f t="shared" si="41"/>
        <v>0</v>
      </c>
      <c r="DU21" s="58">
        <f t="shared" si="41"/>
        <v>0</v>
      </c>
    </row>
    <row r="22" spans="1:125" ht="17.100000000000001" customHeight="1" thickBot="1" x14ac:dyDescent="0.3">
      <c r="X22" s="59">
        <f>SUM(X4:X21)</f>
        <v>200000</v>
      </c>
      <c r="Z22" s="75">
        <f>SUM(Z4:Z21)</f>
        <v>0</v>
      </c>
      <c r="AV22" s="59">
        <f>SUM(AV4:AV21)</f>
        <v>70000</v>
      </c>
      <c r="AX22" s="59">
        <f>SUM(AX4:AX21)</f>
        <v>108000</v>
      </c>
      <c r="BT22" s="59">
        <f>SUM(BT4:BT21)</f>
        <v>165000</v>
      </c>
      <c r="BV22" s="59">
        <f>SUM(BV4:BV21)</f>
        <v>462000</v>
      </c>
      <c r="CR22" s="59">
        <f>SUM(CR4:CR21)</f>
        <v>152000</v>
      </c>
      <c r="CT22" s="59">
        <f>SUM(CT4:CT21)</f>
        <v>315000</v>
      </c>
      <c r="DP22" s="59">
        <f>SUM(DP4:DP21)</f>
        <v>70000</v>
      </c>
      <c r="DR22" s="59">
        <f>SUM(DR4:DR21)</f>
        <v>216000</v>
      </c>
      <c r="DS22" s="60">
        <f>SUM(DS4:DS21)</f>
        <v>547000</v>
      </c>
      <c r="DT22" s="61">
        <f>SUM(DT4:DT21)</f>
        <v>183.5</v>
      </c>
      <c r="DU22" s="62">
        <f>SUM(DU4:DU21)</f>
        <v>1101000</v>
      </c>
    </row>
    <row r="23" spans="1:125" ht="17.100000000000001" customHeight="1" x14ac:dyDescent="0.25">
      <c r="DS23" s="44"/>
      <c r="DT23" s="46"/>
      <c r="DU23" s="44"/>
    </row>
    <row r="24" spans="1:125" ht="17.100000000000001" customHeight="1" x14ac:dyDescent="0.25"/>
    <row r="25" spans="1:125" ht="17.100000000000001" customHeight="1" x14ac:dyDescent="0.25"/>
    <row r="26" spans="1:125" ht="17.100000000000001" customHeight="1" x14ac:dyDescent="0.25"/>
    <row r="27" spans="1:125" ht="17.100000000000001" customHeight="1" x14ac:dyDescent="0.25"/>
    <row r="28" spans="1:125" ht="17.100000000000001" customHeight="1" x14ac:dyDescent="0.25"/>
    <row r="29" spans="1:125" ht="17.100000000000001" customHeight="1" x14ac:dyDescent="0.25"/>
  </sheetData>
  <sheetProtection formatCells="0" formatColumns="0" formatRows="0" insertColumns="0" insertRows="0" insertHyperlinks="0" deleteColumns="0" deleteRows="0" sort="0" autoFilter="0" pivotTables="0"/>
  <mergeCells count="82">
    <mergeCell ref="AJ1:AL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BT1:BV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DD1:DF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C2:E2"/>
    <mergeCell ref="F2:H2"/>
    <mergeCell ref="I2:K2"/>
    <mergeCell ref="L2:N2"/>
    <mergeCell ref="O2:Q2"/>
    <mergeCell ref="DG1:DI1"/>
    <mergeCell ref="DJ1:DL1"/>
    <mergeCell ref="DM1:DO1"/>
    <mergeCell ref="DP1:DR1"/>
    <mergeCell ref="DS1:DU1"/>
    <mergeCell ref="AY2:BA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CI2:CK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DS2:DU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</mergeCells>
  <printOptions horizontalCentered="1"/>
  <pageMargins left="0.19685039370078741" right="0.19685039370078741" top="0.19685039370078741" bottom="0.19685039370078741" header="0" footer="0"/>
  <pageSetup paperSize="9" scale="74" fitToHeight="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89A0-745E-4459-9E30-B358CD570A6D}">
  <sheetPr>
    <pageSetUpPr fitToPage="1"/>
  </sheetPr>
  <dimension ref="A1:DU29"/>
  <sheetViews>
    <sheetView zoomScaleNormal="100" workbookViewId="0">
      <pane xSplit="1" topLeftCell="CY1" activePane="topRight" state="frozen"/>
      <selection pane="topRight" activeCell="DU19" sqref="DU19"/>
    </sheetView>
  </sheetViews>
  <sheetFormatPr baseColWidth="10" defaultRowHeight="15" x14ac:dyDescent="0.25"/>
  <cols>
    <col min="1" max="1" width="30.7109375" style="5" bestFit="1" customWidth="1"/>
    <col min="2" max="2" width="8" style="43" bestFit="1" customWidth="1"/>
    <col min="3" max="3" width="8.7109375" style="5" hidden="1" customWidth="1"/>
    <col min="4" max="4" width="2.7109375" style="5" hidden="1" customWidth="1"/>
    <col min="5" max="6" width="8.7109375" style="5" hidden="1" customWidth="1"/>
    <col min="7" max="7" width="2.7109375" style="5" hidden="1" customWidth="1"/>
    <col min="8" max="9" width="8.7109375" style="5" hidden="1" customWidth="1"/>
    <col min="10" max="10" width="2.7109375" style="5" hidden="1" customWidth="1"/>
    <col min="11" max="11" width="8.7109375" style="5" hidden="1" customWidth="1"/>
    <col min="12" max="12" width="8.7109375" style="5" customWidth="1"/>
    <col min="13" max="13" width="2.7109375" style="5" customWidth="1"/>
    <col min="14" max="14" width="8.7109375" style="5" customWidth="1"/>
    <col min="15" max="15" width="12" style="5" customWidth="1"/>
    <col min="16" max="16" width="2.7109375" style="5" customWidth="1"/>
    <col min="17" max="18" width="8.7109375" style="5" customWidth="1"/>
    <col min="19" max="19" width="2.7109375" style="5" customWidth="1"/>
    <col min="20" max="21" width="8.7109375" style="5" customWidth="1"/>
    <col min="22" max="22" width="2.7109375" style="5" customWidth="1"/>
    <col min="23" max="23" width="8.7109375" style="5" customWidth="1"/>
    <col min="24" max="24" width="13.28515625" style="5" customWidth="1"/>
    <col min="25" max="25" width="2.7109375" style="5" customWidth="1"/>
    <col min="26" max="26" width="10.42578125" style="45" bestFit="1" customWidth="1"/>
    <col min="27" max="27" width="8.7109375" style="5" customWidth="1"/>
    <col min="28" max="28" width="2.7109375" style="5" customWidth="1"/>
    <col min="29" max="30" width="8.7109375" style="5" customWidth="1"/>
    <col min="31" max="31" width="2.7109375" style="5" customWidth="1"/>
    <col min="32" max="33" width="8.7109375" style="5" customWidth="1"/>
    <col min="34" max="34" width="2.7109375" style="5" customWidth="1"/>
    <col min="35" max="36" width="8.7109375" style="5" customWidth="1"/>
    <col min="37" max="37" width="2.7109375" style="5" customWidth="1"/>
    <col min="38" max="39" width="8.7109375" style="5" customWidth="1"/>
    <col min="40" max="40" width="2.7109375" style="5" customWidth="1"/>
    <col min="41" max="42" width="8.7109375" style="5" customWidth="1"/>
    <col min="43" max="43" width="2.7109375" style="5" customWidth="1"/>
    <col min="44" max="45" width="8.7109375" style="5" customWidth="1"/>
    <col min="46" max="46" width="2.7109375" style="5" customWidth="1"/>
    <col min="47" max="47" width="8.7109375" style="5" customWidth="1"/>
    <col min="48" max="48" width="11.28515625" style="5" customWidth="1"/>
    <col min="49" max="49" width="2.7109375" style="5" customWidth="1"/>
    <col min="50" max="50" width="10.42578125" style="5" bestFit="1" customWidth="1"/>
    <col min="51" max="51" width="8.7109375" style="5" customWidth="1"/>
    <col min="52" max="52" width="4.28515625" style="5" customWidth="1"/>
    <col min="53" max="54" width="8.7109375" style="5" customWidth="1"/>
    <col min="55" max="55" width="3.7109375" style="5" customWidth="1"/>
    <col min="56" max="57" width="8.7109375" style="5" customWidth="1"/>
    <col min="58" max="58" width="2.7109375" style="5" customWidth="1"/>
    <col min="59" max="60" width="8.7109375" style="5" customWidth="1"/>
    <col min="61" max="61" width="2.7109375" style="5" customWidth="1"/>
    <col min="62" max="63" width="8.7109375" style="5" customWidth="1"/>
    <col min="64" max="64" width="2.7109375" style="5" customWidth="1"/>
    <col min="65" max="66" width="8.7109375" style="5" customWidth="1"/>
    <col min="67" max="67" width="2.7109375" style="5" customWidth="1"/>
    <col min="68" max="69" width="8.7109375" style="5" customWidth="1"/>
    <col min="70" max="70" width="2.7109375" style="5" customWidth="1"/>
    <col min="71" max="71" width="8.7109375" style="5" customWidth="1"/>
    <col min="72" max="72" width="10.42578125" style="5" bestFit="1" customWidth="1"/>
    <col min="73" max="73" width="6" style="5" customWidth="1"/>
    <col min="74" max="74" width="13.7109375" style="5" customWidth="1"/>
    <col min="75" max="75" width="8.7109375" style="5" customWidth="1"/>
    <col min="76" max="76" width="2.7109375" style="5" customWidth="1"/>
    <col min="77" max="78" width="8.7109375" style="5" customWidth="1"/>
    <col min="79" max="79" width="2.7109375" style="5" customWidth="1"/>
    <col min="80" max="81" width="8.7109375" style="5" customWidth="1"/>
    <col min="82" max="82" width="2.7109375" style="5" customWidth="1"/>
    <col min="83" max="84" width="8.7109375" style="5" customWidth="1"/>
    <col min="85" max="85" width="2.7109375" style="5" customWidth="1"/>
    <col min="86" max="87" width="8.7109375" style="5" customWidth="1"/>
    <col min="88" max="88" width="2.7109375" style="5" customWidth="1"/>
    <col min="89" max="90" width="8.7109375" style="5" customWidth="1"/>
    <col min="91" max="91" width="2.7109375" style="5" customWidth="1"/>
    <col min="92" max="93" width="8.7109375" style="5" customWidth="1"/>
    <col min="94" max="94" width="4.28515625" style="5" customWidth="1"/>
    <col min="95" max="95" width="8.7109375" style="5" customWidth="1"/>
    <col min="96" max="96" width="10.42578125" style="5" bestFit="1" customWidth="1"/>
    <col min="97" max="97" width="4.5703125" style="5" customWidth="1"/>
    <col min="98" max="98" width="10.42578125" style="5" bestFit="1" customWidth="1"/>
    <col min="99" max="99" width="8.7109375" style="5" customWidth="1"/>
    <col min="100" max="100" width="2.7109375" style="5" customWidth="1"/>
    <col min="101" max="102" width="8.7109375" style="5" customWidth="1"/>
    <col min="103" max="103" width="4.140625" style="5" customWidth="1"/>
    <col min="104" max="105" width="8.7109375" style="5" customWidth="1"/>
    <col min="106" max="106" width="5" style="5" customWidth="1"/>
    <col min="107" max="108" width="8.7109375" style="5" customWidth="1"/>
    <col min="109" max="109" width="4.5703125" style="5" customWidth="1"/>
    <col min="110" max="111" width="8.7109375" style="5" customWidth="1"/>
    <col min="112" max="112" width="3.7109375" style="5" customWidth="1"/>
    <col min="113" max="114" width="8.7109375" style="5" customWidth="1"/>
    <col min="115" max="115" width="4" style="5" customWidth="1"/>
    <col min="116" max="116" width="8.7109375" style="5" customWidth="1"/>
    <col min="117" max="117" width="8.7109375" style="5" hidden="1" customWidth="1"/>
    <col min="118" max="118" width="2.7109375" style="5" hidden="1" customWidth="1"/>
    <col min="119" max="119" width="8.7109375" style="5" hidden="1" customWidth="1"/>
    <col min="120" max="120" width="10.42578125" style="5" bestFit="1" customWidth="1"/>
    <col min="121" max="121" width="4.42578125" style="5" customWidth="1"/>
    <col min="122" max="122" width="10.42578125" style="5" bestFit="1" customWidth="1"/>
    <col min="123" max="123" width="13" style="5" customWidth="1"/>
    <col min="124" max="124" width="4.42578125" style="5" bestFit="1" customWidth="1"/>
    <col min="125" max="125" width="13.28515625" style="5" bestFit="1" customWidth="1"/>
    <col min="126" max="16384" width="11.42578125" style="5"/>
  </cols>
  <sheetData>
    <row r="1" spans="1:125" ht="26.25" x14ac:dyDescent="0.4">
      <c r="A1" s="4" t="s">
        <v>45</v>
      </c>
      <c r="B1" s="76" t="s">
        <v>0</v>
      </c>
      <c r="C1" s="232">
        <v>1</v>
      </c>
      <c r="D1" s="233"/>
      <c r="E1" s="233"/>
      <c r="F1" s="232">
        <v>2</v>
      </c>
      <c r="G1" s="233"/>
      <c r="H1" s="233"/>
      <c r="I1" s="232">
        <v>3</v>
      </c>
      <c r="J1" s="233"/>
      <c r="K1" s="233"/>
      <c r="L1" s="233">
        <v>1</v>
      </c>
      <c r="M1" s="233"/>
      <c r="N1" s="233"/>
      <c r="O1" s="233">
        <v>2</v>
      </c>
      <c r="P1" s="233"/>
      <c r="Q1" s="233"/>
      <c r="R1" s="233">
        <v>3</v>
      </c>
      <c r="S1" s="233"/>
      <c r="T1" s="233"/>
      <c r="U1" s="233">
        <v>4</v>
      </c>
      <c r="V1" s="233"/>
      <c r="W1" s="300"/>
      <c r="X1" s="216" t="s">
        <v>1</v>
      </c>
      <c r="Y1" s="217"/>
      <c r="Z1" s="218"/>
      <c r="AA1" s="234">
        <v>5</v>
      </c>
      <c r="AB1" s="227"/>
      <c r="AC1" s="227"/>
      <c r="AD1" s="227">
        <v>6</v>
      </c>
      <c r="AE1" s="227"/>
      <c r="AF1" s="227"/>
      <c r="AG1" s="227">
        <v>7</v>
      </c>
      <c r="AH1" s="227"/>
      <c r="AI1" s="227"/>
      <c r="AJ1" s="227">
        <v>8</v>
      </c>
      <c r="AK1" s="227"/>
      <c r="AL1" s="227"/>
      <c r="AM1" s="227">
        <v>9</v>
      </c>
      <c r="AN1" s="227"/>
      <c r="AO1" s="227"/>
      <c r="AP1" s="227">
        <v>10</v>
      </c>
      <c r="AQ1" s="227"/>
      <c r="AR1" s="227"/>
      <c r="AS1" s="227">
        <v>11</v>
      </c>
      <c r="AT1" s="227"/>
      <c r="AU1" s="228"/>
      <c r="AV1" s="216" t="s">
        <v>1</v>
      </c>
      <c r="AW1" s="217"/>
      <c r="AX1" s="218"/>
      <c r="AY1" s="229">
        <v>12</v>
      </c>
      <c r="AZ1" s="230"/>
      <c r="BA1" s="230"/>
      <c r="BB1" s="230">
        <v>13</v>
      </c>
      <c r="BC1" s="230"/>
      <c r="BD1" s="230"/>
      <c r="BE1" s="230">
        <v>14</v>
      </c>
      <c r="BF1" s="230"/>
      <c r="BG1" s="230"/>
      <c r="BH1" s="230">
        <v>15</v>
      </c>
      <c r="BI1" s="230"/>
      <c r="BJ1" s="230"/>
      <c r="BK1" s="230">
        <v>16</v>
      </c>
      <c r="BL1" s="230"/>
      <c r="BM1" s="230"/>
      <c r="BN1" s="230">
        <v>17</v>
      </c>
      <c r="BO1" s="230"/>
      <c r="BP1" s="230"/>
      <c r="BQ1" s="230">
        <v>18</v>
      </c>
      <c r="BR1" s="230"/>
      <c r="BS1" s="231"/>
      <c r="BT1" s="216" t="s">
        <v>1</v>
      </c>
      <c r="BU1" s="217"/>
      <c r="BV1" s="218"/>
      <c r="BW1" s="223">
        <v>19</v>
      </c>
      <c r="BX1" s="224"/>
      <c r="BY1" s="224"/>
      <c r="BZ1" s="224">
        <v>20</v>
      </c>
      <c r="CA1" s="224"/>
      <c r="CB1" s="224"/>
      <c r="CC1" s="224">
        <v>21</v>
      </c>
      <c r="CD1" s="224"/>
      <c r="CE1" s="224"/>
      <c r="CF1" s="224">
        <v>22</v>
      </c>
      <c r="CG1" s="224"/>
      <c r="CH1" s="224"/>
      <c r="CI1" s="224">
        <v>23</v>
      </c>
      <c r="CJ1" s="224"/>
      <c r="CK1" s="224"/>
      <c r="CL1" s="224">
        <v>24</v>
      </c>
      <c r="CM1" s="224"/>
      <c r="CN1" s="224"/>
      <c r="CO1" s="224">
        <v>25</v>
      </c>
      <c r="CP1" s="224"/>
      <c r="CQ1" s="225"/>
      <c r="CR1" s="216" t="s">
        <v>1</v>
      </c>
      <c r="CS1" s="217"/>
      <c r="CT1" s="218"/>
      <c r="CU1" s="234">
        <v>26</v>
      </c>
      <c r="CV1" s="227"/>
      <c r="CW1" s="227"/>
      <c r="CX1" s="227">
        <v>27</v>
      </c>
      <c r="CY1" s="227"/>
      <c r="CZ1" s="227"/>
      <c r="DA1" s="227">
        <v>28</v>
      </c>
      <c r="DB1" s="227"/>
      <c r="DC1" s="227"/>
      <c r="DD1" s="227">
        <v>29</v>
      </c>
      <c r="DE1" s="227"/>
      <c r="DF1" s="227"/>
      <c r="DG1" s="227">
        <v>30</v>
      </c>
      <c r="DH1" s="227"/>
      <c r="DI1" s="227"/>
      <c r="DJ1" s="227">
        <v>31</v>
      </c>
      <c r="DK1" s="227"/>
      <c r="DL1" s="227"/>
      <c r="DM1" s="303">
        <v>4</v>
      </c>
      <c r="DN1" s="303"/>
      <c r="DO1" s="304"/>
      <c r="DP1" s="216" t="s">
        <v>1</v>
      </c>
      <c r="DQ1" s="217"/>
      <c r="DR1" s="218"/>
      <c r="DS1" s="219" t="s">
        <v>1</v>
      </c>
      <c r="DT1" s="220"/>
      <c r="DU1" s="221"/>
    </row>
    <row r="2" spans="1:125" ht="19.5" thickBot="1" x14ac:dyDescent="0.3">
      <c r="A2" s="6" t="s">
        <v>2</v>
      </c>
      <c r="B2" s="77" t="s">
        <v>3</v>
      </c>
      <c r="C2" s="222" t="s">
        <v>10</v>
      </c>
      <c r="D2" s="207"/>
      <c r="E2" s="207"/>
      <c r="F2" s="222" t="s">
        <v>11</v>
      </c>
      <c r="G2" s="207"/>
      <c r="H2" s="207"/>
      <c r="I2" s="222" t="s">
        <v>4</v>
      </c>
      <c r="J2" s="207"/>
      <c r="K2" s="207"/>
      <c r="L2" s="207" t="s">
        <v>5</v>
      </c>
      <c r="M2" s="207"/>
      <c r="N2" s="207"/>
      <c r="O2" s="207" t="s">
        <v>6</v>
      </c>
      <c r="P2" s="207"/>
      <c r="Q2" s="207"/>
      <c r="R2" s="207" t="s">
        <v>7</v>
      </c>
      <c r="S2" s="207"/>
      <c r="T2" s="207"/>
      <c r="U2" s="207" t="s">
        <v>8</v>
      </c>
      <c r="V2" s="207"/>
      <c r="W2" s="299"/>
      <c r="X2" s="197" t="s">
        <v>9</v>
      </c>
      <c r="Y2" s="198"/>
      <c r="Z2" s="199"/>
      <c r="AA2" s="211" t="s">
        <v>10</v>
      </c>
      <c r="AB2" s="212"/>
      <c r="AC2" s="212"/>
      <c r="AD2" s="212" t="s">
        <v>11</v>
      </c>
      <c r="AE2" s="212"/>
      <c r="AF2" s="212"/>
      <c r="AG2" s="212" t="s">
        <v>4</v>
      </c>
      <c r="AH2" s="212"/>
      <c r="AI2" s="212"/>
      <c r="AJ2" s="212" t="s">
        <v>5</v>
      </c>
      <c r="AK2" s="212"/>
      <c r="AL2" s="212"/>
      <c r="AM2" s="212" t="s">
        <v>6</v>
      </c>
      <c r="AN2" s="212"/>
      <c r="AO2" s="212"/>
      <c r="AP2" s="212" t="s">
        <v>7</v>
      </c>
      <c r="AQ2" s="212"/>
      <c r="AR2" s="212"/>
      <c r="AS2" s="212" t="s">
        <v>8</v>
      </c>
      <c r="AT2" s="212"/>
      <c r="AU2" s="213"/>
      <c r="AV2" s="197" t="s">
        <v>12</v>
      </c>
      <c r="AW2" s="198"/>
      <c r="AX2" s="199"/>
      <c r="AY2" s="206" t="s">
        <v>10</v>
      </c>
      <c r="AZ2" s="203"/>
      <c r="BA2" s="203"/>
      <c r="BB2" s="203" t="s">
        <v>11</v>
      </c>
      <c r="BC2" s="203"/>
      <c r="BD2" s="203"/>
      <c r="BE2" s="203" t="s">
        <v>4</v>
      </c>
      <c r="BF2" s="203"/>
      <c r="BG2" s="203"/>
      <c r="BH2" s="203" t="s">
        <v>5</v>
      </c>
      <c r="BI2" s="203"/>
      <c r="BJ2" s="203"/>
      <c r="BK2" s="203" t="s">
        <v>6</v>
      </c>
      <c r="BL2" s="203"/>
      <c r="BM2" s="203"/>
      <c r="BN2" s="203" t="s">
        <v>7</v>
      </c>
      <c r="BO2" s="203"/>
      <c r="BP2" s="203"/>
      <c r="BQ2" s="203" t="s">
        <v>8</v>
      </c>
      <c r="BR2" s="203"/>
      <c r="BS2" s="204"/>
      <c r="BT2" s="197" t="s">
        <v>13</v>
      </c>
      <c r="BU2" s="198"/>
      <c r="BV2" s="199"/>
      <c r="BW2" s="205" t="s">
        <v>10</v>
      </c>
      <c r="BX2" s="195"/>
      <c r="BY2" s="195"/>
      <c r="BZ2" s="195" t="s">
        <v>11</v>
      </c>
      <c r="CA2" s="195"/>
      <c r="CB2" s="195"/>
      <c r="CC2" s="195" t="s">
        <v>4</v>
      </c>
      <c r="CD2" s="195"/>
      <c r="CE2" s="195"/>
      <c r="CF2" s="195" t="s">
        <v>5</v>
      </c>
      <c r="CG2" s="195"/>
      <c r="CH2" s="195"/>
      <c r="CI2" s="195" t="s">
        <v>6</v>
      </c>
      <c r="CJ2" s="195"/>
      <c r="CK2" s="195"/>
      <c r="CL2" s="195" t="s">
        <v>7</v>
      </c>
      <c r="CM2" s="195"/>
      <c r="CN2" s="195"/>
      <c r="CO2" s="195" t="s">
        <v>8</v>
      </c>
      <c r="CP2" s="195"/>
      <c r="CQ2" s="196"/>
      <c r="CR2" s="197" t="s">
        <v>14</v>
      </c>
      <c r="CS2" s="198"/>
      <c r="CT2" s="199"/>
      <c r="CU2" s="211" t="s">
        <v>10</v>
      </c>
      <c r="CV2" s="212"/>
      <c r="CW2" s="212"/>
      <c r="CX2" s="212" t="s">
        <v>11</v>
      </c>
      <c r="CY2" s="212"/>
      <c r="CZ2" s="212"/>
      <c r="DA2" s="212" t="s">
        <v>4</v>
      </c>
      <c r="DB2" s="212"/>
      <c r="DC2" s="212"/>
      <c r="DD2" s="212" t="s">
        <v>5</v>
      </c>
      <c r="DE2" s="212"/>
      <c r="DF2" s="212"/>
      <c r="DG2" s="297" t="s">
        <v>6</v>
      </c>
      <c r="DH2" s="297"/>
      <c r="DI2" s="297"/>
      <c r="DJ2" s="297" t="s">
        <v>7</v>
      </c>
      <c r="DK2" s="297"/>
      <c r="DL2" s="297"/>
      <c r="DM2" s="301" t="s">
        <v>37</v>
      </c>
      <c r="DN2" s="301"/>
      <c r="DO2" s="302"/>
      <c r="DP2" s="197" t="s">
        <v>15</v>
      </c>
      <c r="DQ2" s="198"/>
      <c r="DR2" s="199"/>
      <c r="DS2" s="192" t="s">
        <v>16</v>
      </c>
      <c r="DT2" s="193"/>
      <c r="DU2" s="194"/>
    </row>
    <row r="3" spans="1:125" s="17" customFormat="1" ht="17.100000000000001" customHeight="1" thickBot="1" x14ac:dyDescent="0.2">
      <c r="A3" s="7" t="s">
        <v>17</v>
      </c>
      <c r="B3" s="78" t="s">
        <v>18</v>
      </c>
      <c r="C3" s="8" t="s">
        <v>19</v>
      </c>
      <c r="D3" s="9" t="s">
        <v>20</v>
      </c>
      <c r="E3" s="10" t="s">
        <v>21</v>
      </c>
      <c r="F3" s="8" t="s">
        <v>19</v>
      </c>
      <c r="G3" s="9" t="s">
        <v>20</v>
      </c>
      <c r="H3" s="10" t="s">
        <v>21</v>
      </c>
      <c r="I3" s="8" t="s">
        <v>19</v>
      </c>
      <c r="J3" s="9" t="s">
        <v>20</v>
      </c>
      <c r="K3" s="10" t="s">
        <v>21</v>
      </c>
      <c r="L3" s="11" t="s">
        <v>19</v>
      </c>
      <c r="M3" s="9" t="s">
        <v>20</v>
      </c>
      <c r="N3" s="10" t="s">
        <v>21</v>
      </c>
      <c r="O3" s="11" t="s">
        <v>19</v>
      </c>
      <c r="P3" s="9" t="s">
        <v>20</v>
      </c>
      <c r="Q3" s="10" t="s">
        <v>21</v>
      </c>
      <c r="R3" s="11" t="s">
        <v>19</v>
      </c>
      <c r="S3" s="9" t="s">
        <v>20</v>
      </c>
      <c r="T3" s="10" t="s">
        <v>21</v>
      </c>
      <c r="U3" s="11" t="s">
        <v>19</v>
      </c>
      <c r="V3" s="9" t="s">
        <v>20</v>
      </c>
      <c r="W3" s="12" t="s">
        <v>21</v>
      </c>
      <c r="X3" s="8" t="s">
        <v>19</v>
      </c>
      <c r="Y3" s="13" t="s">
        <v>20</v>
      </c>
      <c r="Z3" s="12" t="s">
        <v>21</v>
      </c>
      <c r="AA3" s="8" t="s">
        <v>19</v>
      </c>
      <c r="AB3" s="9" t="s">
        <v>20</v>
      </c>
      <c r="AC3" s="10" t="s">
        <v>21</v>
      </c>
      <c r="AD3" s="8" t="s">
        <v>19</v>
      </c>
      <c r="AE3" s="9" t="s">
        <v>20</v>
      </c>
      <c r="AF3" s="10" t="s">
        <v>21</v>
      </c>
      <c r="AG3" s="8" t="s">
        <v>19</v>
      </c>
      <c r="AH3" s="9" t="s">
        <v>20</v>
      </c>
      <c r="AI3" s="10" t="s">
        <v>21</v>
      </c>
      <c r="AJ3" s="11" t="s">
        <v>19</v>
      </c>
      <c r="AK3" s="9" t="s">
        <v>20</v>
      </c>
      <c r="AL3" s="10" t="s">
        <v>21</v>
      </c>
      <c r="AM3" s="11" t="s">
        <v>19</v>
      </c>
      <c r="AN3" s="9" t="s">
        <v>20</v>
      </c>
      <c r="AO3" s="10" t="s">
        <v>21</v>
      </c>
      <c r="AP3" s="11" t="s">
        <v>19</v>
      </c>
      <c r="AQ3" s="9" t="s">
        <v>20</v>
      </c>
      <c r="AR3" s="10" t="s">
        <v>21</v>
      </c>
      <c r="AS3" s="11" t="s">
        <v>19</v>
      </c>
      <c r="AT3" s="9" t="s">
        <v>20</v>
      </c>
      <c r="AU3" s="12" t="s">
        <v>21</v>
      </c>
      <c r="AV3" s="8" t="s">
        <v>19</v>
      </c>
      <c r="AW3" s="13" t="s">
        <v>20</v>
      </c>
      <c r="AX3" s="12" t="s">
        <v>21</v>
      </c>
      <c r="AY3" s="8" t="s">
        <v>19</v>
      </c>
      <c r="AZ3" s="9" t="s">
        <v>20</v>
      </c>
      <c r="BA3" s="10" t="s">
        <v>21</v>
      </c>
      <c r="BB3" s="11" t="s">
        <v>19</v>
      </c>
      <c r="BC3" s="9" t="s">
        <v>20</v>
      </c>
      <c r="BD3" s="10" t="s">
        <v>21</v>
      </c>
      <c r="BE3" s="11" t="s">
        <v>19</v>
      </c>
      <c r="BF3" s="9" t="s">
        <v>20</v>
      </c>
      <c r="BG3" s="10" t="s">
        <v>21</v>
      </c>
      <c r="BH3" s="11" t="s">
        <v>19</v>
      </c>
      <c r="BI3" s="9" t="s">
        <v>20</v>
      </c>
      <c r="BJ3" s="10" t="s">
        <v>21</v>
      </c>
      <c r="BK3" s="11" t="s">
        <v>19</v>
      </c>
      <c r="BL3" s="9" t="s">
        <v>20</v>
      </c>
      <c r="BM3" s="10" t="s">
        <v>21</v>
      </c>
      <c r="BN3" s="11" t="s">
        <v>19</v>
      </c>
      <c r="BO3" s="9" t="s">
        <v>20</v>
      </c>
      <c r="BP3" s="10" t="s">
        <v>21</v>
      </c>
      <c r="BQ3" s="11" t="s">
        <v>19</v>
      </c>
      <c r="BR3" s="9" t="s">
        <v>20</v>
      </c>
      <c r="BS3" s="12" t="s">
        <v>21</v>
      </c>
      <c r="BT3" s="8" t="s">
        <v>19</v>
      </c>
      <c r="BU3" s="13" t="s">
        <v>20</v>
      </c>
      <c r="BV3" s="12" t="s">
        <v>21</v>
      </c>
      <c r="BW3" s="8" t="s">
        <v>19</v>
      </c>
      <c r="BX3" s="9" t="s">
        <v>20</v>
      </c>
      <c r="BY3" s="10" t="s">
        <v>21</v>
      </c>
      <c r="BZ3" s="11" t="s">
        <v>19</v>
      </c>
      <c r="CA3" s="9" t="s">
        <v>20</v>
      </c>
      <c r="CB3" s="10" t="s">
        <v>21</v>
      </c>
      <c r="CC3" s="11" t="s">
        <v>19</v>
      </c>
      <c r="CD3" s="9" t="s">
        <v>20</v>
      </c>
      <c r="CE3" s="10" t="s">
        <v>21</v>
      </c>
      <c r="CF3" s="11" t="s">
        <v>19</v>
      </c>
      <c r="CG3" s="9" t="s">
        <v>20</v>
      </c>
      <c r="CH3" s="10" t="s">
        <v>21</v>
      </c>
      <c r="CI3" s="11" t="s">
        <v>19</v>
      </c>
      <c r="CJ3" s="9" t="s">
        <v>20</v>
      </c>
      <c r="CK3" s="10" t="s">
        <v>21</v>
      </c>
      <c r="CL3" s="11" t="s">
        <v>19</v>
      </c>
      <c r="CM3" s="9" t="s">
        <v>20</v>
      </c>
      <c r="CN3" s="10" t="s">
        <v>21</v>
      </c>
      <c r="CO3" s="11" t="s">
        <v>19</v>
      </c>
      <c r="CP3" s="9" t="s">
        <v>20</v>
      </c>
      <c r="CQ3" s="12" t="s">
        <v>21</v>
      </c>
      <c r="CR3" s="8" t="s">
        <v>19</v>
      </c>
      <c r="CS3" s="13" t="s">
        <v>20</v>
      </c>
      <c r="CT3" s="12" t="s">
        <v>21</v>
      </c>
      <c r="CU3" s="8" t="s">
        <v>19</v>
      </c>
      <c r="CV3" s="9" t="s">
        <v>20</v>
      </c>
      <c r="CW3" s="10" t="s">
        <v>21</v>
      </c>
      <c r="CX3" s="11" t="s">
        <v>19</v>
      </c>
      <c r="CY3" s="9" t="s">
        <v>20</v>
      </c>
      <c r="CZ3" s="10" t="s">
        <v>21</v>
      </c>
      <c r="DA3" s="11" t="s">
        <v>19</v>
      </c>
      <c r="DB3" s="9" t="s">
        <v>20</v>
      </c>
      <c r="DC3" s="10" t="s">
        <v>21</v>
      </c>
      <c r="DD3" s="11" t="s">
        <v>19</v>
      </c>
      <c r="DE3" s="9" t="s">
        <v>20</v>
      </c>
      <c r="DF3" s="10" t="s">
        <v>21</v>
      </c>
      <c r="DG3" s="11" t="s">
        <v>19</v>
      </c>
      <c r="DH3" s="9" t="s">
        <v>20</v>
      </c>
      <c r="DI3" s="12" t="s">
        <v>21</v>
      </c>
      <c r="DJ3" s="11" t="s">
        <v>19</v>
      </c>
      <c r="DK3" s="9" t="s">
        <v>20</v>
      </c>
      <c r="DL3" s="12" t="s">
        <v>21</v>
      </c>
      <c r="DM3" s="11" t="s">
        <v>19</v>
      </c>
      <c r="DN3" s="9" t="s">
        <v>20</v>
      </c>
      <c r="DO3" s="12" t="s">
        <v>21</v>
      </c>
      <c r="DP3" s="8" t="s">
        <v>19</v>
      </c>
      <c r="DQ3" s="13" t="s">
        <v>20</v>
      </c>
      <c r="DR3" s="12" t="s">
        <v>21</v>
      </c>
      <c r="DS3" s="14" t="s">
        <v>19</v>
      </c>
      <c r="DT3" s="15" t="s">
        <v>20</v>
      </c>
      <c r="DU3" s="16" t="s">
        <v>21</v>
      </c>
    </row>
    <row r="4" spans="1:125" s="26" customFormat="1" ht="17.100000000000001" customHeight="1" thickBot="1" x14ac:dyDescent="0.25">
      <c r="A4" s="18" t="s">
        <v>22</v>
      </c>
      <c r="B4" s="19">
        <v>7000</v>
      </c>
      <c r="C4" s="20"/>
      <c r="D4" s="21"/>
      <c r="E4" s="1">
        <f>$B4*D4</f>
        <v>0</v>
      </c>
      <c r="F4" s="20"/>
      <c r="G4" s="21"/>
      <c r="H4" s="1">
        <f>$B4*G4</f>
        <v>0</v>
      </c>
      <c r="I4" s="20"/>
      <c r="J4" s="21"/>
      <c r="K4" s="1">
        <f>$B4*J4</f>
        <v>0</v>
      </c>
      <c r="L4" s="22"/>
      <c r="M4" s="21">
        <v>2</v>
      </c>
      <c r="N4" s="1">
        <f>$B4*M4</f>
        <v>14000</v>
      </c>
      <c r="O4" s="22"/>
      <c r="P4" s="21"/>
      <c r="Q4" s="1">
        <f>$B4*P4</f>
        <v>0</v>
      </c>
      <c r="R4" s="23"/>
      <c r="S4" s="21"/>
      <c r="T4" s="1">
        <f>$B4*S4</f>
        <v>0</v>
      </c>
      <c r="U4" s="24"/>
      <c r="V4" s="21"/>
      <c r="W4" s="63">
        <f>$B4*V4</f>
        <v>0</v>
      </c>
      <c r="X4" s="69">
        <f>C4+F4+I4+L4+O4+R4+U4</f>
        <v>0</v>
      </c>
      <c r="Y4" s="66">
        <f>D4+G4+J4+M4+P4+S4+V4</f>
        <v>2</v>
      </c>
      <c r="Z4" s="72">
        <f>E4+H4+K4+N4+Q4+T4+W4</f>
        <v>14000</v>
      </c>
      <c r="AA4" s="25"/>
      <c r="AB4" s="21"/>
      <c r="AC4" s="1">
        <f>$B4*AB4</f>
        <v>0</v>
      </c>
      <c r="AD4" s="24"/>
      <c r="AE4" s="21">
        <v>1</v>
      </c>
      <c r="AF4" s="1">
        <f>$B4*AE4</f>
        <v>7000</v>
      </c>
      <c r="AG4" s="24"/>
      <c r="AH4" s="21"/>
      <c r="AI4" s="1">
        <f>$B4*AH4</f>
        <v>0</v>
      </c>
      <c r="AJ4" s="24"/>
      <c r="AK4" s="21"/>
      <c r="AL4" s="1">
        <f>$B4*AK4</f>
        <v>0</v>
      </c>
      <c r="AM4" s="24"/>
      <c r="AN4" s="21"/>
      <c r="AO4" s="1">
        <f>$B4*AN4</f>
        <v>0</v>
      </c>
      <c r="AP4" s="24"/>
      <c r="AQ4" s="21"/>
      <c r="AR4" s="1">
        <f>$B4*AQ4</f>
        <v>0</v>
      </c>
      <c r="AS4" s="24"/>
      <c r="AT4" s="21"/>
      <c r="AU4" s="1">
        <f>$B4*AT4</f>
        <v>0</v>
      </c>
      <c r="AV4" s="69">
        <f>AA4+AD4+AG4+AJ4+AM4+AP4+AS4</f>
        <v>0</v>
      </c>
      <c r="AW4" s="66">
        <f>AB4+AE4+AH4+AK4+AN4+AQ4+AT4</f>
        <v>1</v>
      </c>
      <c r="AX4" s="47">
        <f>AC4+AF4+AI4+AL4+AO4+AR4+AU4</f>
        <v>7000</v>
      </c>
      <c r="AY4" s="24"/>
      <c r="AZ4" s="21"/>
      <c r="BA4" s="1">
        <f>$B4*AZ4</f>
        <v>0</v>
      </c>
      <c r="BB4" s="24"/>
      <c r="BC4" s="21">
        <v>3</v>
      </c>
      <c r="BD4" s="1">
        <f>$B4*BC4</f>
        <v>21000</v>
      </c>
      <c r="BE4" s="24"/>
      <c r="BF4" s="21">
        <v>3</v>
      </c>
      <c r="BG4" s="1">
        <f>$B4*BF4</f>
        <v>21000</v>
      </c>
      <c r="BH4" s="24"/>
      <c r="BI4" s="21">
        <v>2</v>
      </c>
      <c r="BJ4" s="1">
        <f>$B4*BI4</f>
        <v>14000</v>
      </c>
      <c r="BK4" s="24"/>
      <c r="BL4" s="21">
        <v>1</v>
      </c>
      <c r="BM4" s="1">
        <f>$B4*BL4</f>
        <v>7000</v>
      </c>
      <c r="BN4" s="24"/>
      <c r="BO4" s="21">
        <v>2</v>
      </c>
      <c r="BP4" s="1">
        <f>$B4*BO4</f>
        <v>14000</v>
      </c>
      <c r="BQ4" s="24"/>
      <c r="BR4" s="21">
        <v>2</v>
      </c>
      <c r="BS4" s="1">
        <f>$B4*BR4</f>
        <v>14000</v>
      </c>
      <c r="BT4" s="69">
        <f>AY4+BB4+BE4+BH4+BK4+BN4+BQ4</f>
        <v>0</v>
      </c>
      <c r="BU4" s="66">
        <f>AZ4+BC4+BF4+BI4+BL4+BO4+BR4</f>
        <v>13</v>
      </c>
      <c r="BV4" s="47">
        <f>BA4+BD4+BG4+BJ4+BM4+BP4+BS4</f>
        <v>91000</v>
      </c>
      <c r="BW4" s="24"/>
      <c r="BX4" s="21"/>
      <c r="BY4" s="1">
        <f>$B4*BX4</f>
        <v>0</v>
      </c>
      <c r="BZ4" s="24"/>
      <c r="CA4" s="21">
        <v>1</v>
      </c>
      <c r="CB4" s="1">
        <f>$B4*CA4</f>
        <v>7000</v>
      </c>
      <c r="CC4" s="24"/>
      <c r="CD4" s="21">
        <v>2</v>
      </c>
      <c r="CE4" s="1">
        <f>$B4*CD4</f>
        <v>14000</v>
      </c>
      <c r="CF4" s="24"/>
      <c r="CG4" s="21">
        <v>1</v>
      </c>
      <c r="CH4" s="1">
        <f>$B4*CG4</f>
        <v>7000</v>
      </c>
      <c r="CI4" s="24"/>
      <c r="CJ4" s="21"/>
      <c r="CK4" s="1">
        <f>$B4*CJ4</f>
        <v>0</v>
      </c>
      <c r="CL4" s="24"/>
      <c r="CM4" s="21">
        <v>2</v>
      </c>
      <c r="CN4" s="1">
        <f>$B4*CM4</f>
        <v>14000</v>
      </c>
      <c r="CO4" s="24"/>
      <c r="CP4" s="21">
        <v>2</v>
      </c>
      <c r="CQ4" s="1">
        <f>$B4*CP4</f>
        <v>14000</v>
      </c>
      <c r="CR4" s="69">
        <f>BW4+BZ4+CC4+CF4+CI4+CL4+CO4</f>
        <v>0</v>
      </c>
      <c r="CS4" s="66">
        <f>BX4+CA4+CD4+CG4+CJ4+CM4+CP4</f>
        <v>8</v>
      </c>
      <c r="CT4" s="47">
        <f>BY4+CB4+CE4+CH4+CK4+CN4+CQ4</f>
        <v>56000</v>
      </c>
      <c r="CU4" s="24"/>
      <c r="CV4" s="21">
        <v>1</v>
      </c>
      <c r="CW4" s="1">
        <f>$B4*CV4</f>
        <v>7000</v>
      </c>
      <c r="CX4" s="24"/>
      <c r="CY4" s="21">
        <v>2</v>
      </c>
      <c r="CZ4" s="1">
        <f>$B4*CY4</f>
        <v>14000</v>
      </c>
      <c r="DA4" s="24"/>
      <c r="DB4" s="21">
        <v>3</v>
      </c>
      <c r="DC4" s="1">
        <f>$B4*DB4</f>
        <v>21000</v>
      </c>
      <c r="DD4" s="24"/>
      <c r="DE4" s="21">
        <v>2</v>
      </c>
      <c r="DF4" s="1">
        <f>$B4*DE4</f>
        <v>14000</v>
      </c>
      <c r="DG4" s="24"/>
      <c r="DH4" s="21"/>
      <c r="DI4" s="1">
        <f>$B4*DH4</f>
        <v>0</v>
      </c>
      <c r="DJ4" s="24"/>
      <c r="DK4" s="21"/>
      <c r="DL4" s="1">
        <f>$B4*DK4</f>
        <v>0</v>
      </c>
      <c r="DM4" s="24"/>
      <c r="DN4" s="21"/>
      <c r="DO4" s="1">
        <f>$B4*DN4</f>
        <v>0</v>
      </c>
      <c r="DP4" s="69">
        <f>CU4+CX4+DA4+DD4+DG4+DJ4+DM4</f>
        <v>0</v>
      </c>
      <c r="DQ4" s="66">
        <f>CV4+CY4+DB4+DE4+DH4+DK4+DN4</f>
        <v>8</v>
      </c>
      <c r="DR4" s="47">
        <f>CW4+CZ4+DC4+DF4+DI4+DL4+DO4</f>
        <v>56000</v>
      </c>
      <c r="DS4" s="48">
        <f>X4+AV4+CR4+DP4</f>
        <v>0</v>
      </c>
      <c r="DT4" s="49">
        <f>Y4+AW4+BU4+CS4+DQ4</f>
        <v>32</v>
      </c>
      <c r="DU4" s="50">
        <f>Z4+AX4+BV4+CT4+DR4</f>
        <v>224000</v>
      </c>
    </row>
    <row r="5" spans="1:125" s="26" customFormat="1" ht="17.100000000000001" customHeight="1" thickBot="1" x14ac:dyDescent="0.25">
      <c r="A5" s="27" t="s">
        <v>23</v>
      </c>
      <c r="B5" s="19">
        <v>7000</v>
      </c>
      <c r="C5" s="29"/>
      <c r="D5" s="30"/>
      <c r="E5" s="2">
        <f t="shared" ref="E5:E21" si="0">$B5*D5</f>
        <v>0</v>
      </c>
      <c r="F5" s="29"/>
      <c r="G5" s="30"/>
      <c r="H5" s="2">
        <f t="shared" ref="H5:H21" si="1">$B5*G5</f>
        <v>0</v>
      </c>
      <c r="I5" s="29"/>
      <c r="J5" s="30"/>
      <c r="K5" s="2">
        <f t="shared" ref="K5:K21" si="2">$B5*J5</f>
        <v>0</v>
      </c>
      <c r="L5" s="31"/>
      <c r="M5" s="30">
        <v>2</v>
      </c>
      <c r="N5" s="2">
        <f t="shared" ref="N5:N21" si="3">$B5*M5</f>
        <v>14000</v>
      </c>
      <c r="O5" s="31"/>
      <c r="P5" s="30"/>
      <c r="Q5" s="2">
        <f t="shared" ref="Q5:Q21" si="4">$B5*P5</f>
        <v>0</v>
      </c>
      <c r="R5" s="32"/>
      <c r="S5" s="30"/>
      <c r="T5" s="2">
        <f t="shared" ref="T5:T21" si="5">$B5*S5</f>
        <v>0</v>
      </c>
      <c r="U5" s="33"/>
      <c r="V5" s="30"/>
      <c r="W5" s="64">
        <f t="shared" ref="W5:W21" si="6">$B5*V5</f>
        <v>0</v>
      </c>
      <c r="X5" s="70">
        <f t="shared" ref="X5:Z21" si="7">C5+F5+I5+L5+O5+R5+U5</f>
        <v>0</v>
      </c>
      <c r="Y5" s="67">
        <f t="shared" si="7"/>
        <v>2</v>
      </c>
      <c r="Z5" s="73">
        <f t="shared" si="7"/>
        <v>14000</v>
      </c>
      <c r="AA5" s="35"/>
      <c r="AB5" s="30"/>
      <c r="AC5" s="2">
        <f t="shared" ref="AC5:AC21" si="8">$B5*AB5</f>
        <v>0</v>
      </c>
      <c r="AD5" s="33"/>
      <c r="AE5" s="30"/>
      <c r="AF5" s="2">
        <f t="shared" ref="AF5:AF21" si="9">$B5*AE5</f>
        <v>0</v>
      </c>
      <c r="AG5" s="33"/>
      <c r="AH5" s="30">
        <v>2</v>
      </c>
      <c r="AI5" s="2">
        <f t="shared" ref="AI5:AI21" si="10">$B5*AH5</f>
        <v>14000</v>
      </c>
      <c r="AJ5" s="33"/>
      <c r="AK5" s="30"/>
      <c r="AL5" s="2">
        <f t="shared" ref="AL5:AL21" si="11">$B5*AK5</f>
        <v>0</v>
      </c>
      <c r="AM5" s="33"/>
      <c r="AN5" s="30"/>
      <c r="AO5" s="2">
        <f t="shared" ref="AO5:AO21" si="12">$B5*AN5</f>
        <v>0</v>
      </c>
      <c r="AP5" s="33">
        <v>15000</v>
      </c>
      <c r="AQ5" s="30"/>
      <c r="AR5" s="2">
        <f t="shared" ref="AR5:AR21" si="13">$B5*AQ5</f>
        <v>0</v>
      </c>
      <c r="AS5" s="33"/>
      <c r="AT5" s="30"/>
      <c r="AU5" s="2">
        <f t="shared" ref="AU5:AU21" si="14">$B5*AT5</f>
        <v>0</v>
      </c>
      <c r="AV5" s="70">
        <f t="shared" ref="AV5:AX21" si="15">AA5+AD5+AG5+AJ5+AM5+AP5+AS5</f>
        <v>15000</v>
      </c>
      <c r="AW5" s="67">
        <f t="shared" si="15"/>
        <v>2</v>
      </c>
      <c r="AX5" s="51">
        <f t="shared" si="15"/>
        <v>14000</v>
      </c>
      <c r="AY5" s="33"/>
      <c r="AZ5" s="30"/>
      <c r="BA5" s="2">
        <f t="shared" ref="BA5:BA21" si="16">$B5*AZ5</f>
        <v>0</v>
      </c>
      <c r="BB5" s="33"/>
      <c r="BC5" s="30">
        <v>3</v>
      </c>
      <c r="BD5" s="2">
        <f t="shared" ref="BD5:BD21" si="17">$B5*BC5</f>
        <v>21000</v>
      </c>
      <c r="BE5" s="33"/>
      <c r="BF5" s="30">
        <v>3</v>
      </c>
      <c r="BG5" s="2">
        <f t="shared" ref="BG5:BG21" si="18">$B5*BF5</f>
        <v>21000</v>
      </c>
      <c r="BH5" s="33"/>
      <c r="BI5" s="30">
        <v>2</v>
      </c>
      <c r="BJ5" s="2">
        <f t="shared" ref="BJ5:BJ21" si="19">$B5*BI5</f>
        <v>14000</v>
      </c>
      <c r="BK5" s="33"/>
      <c r="BL5" s="30">
        <v>1</v>
      </c>
      <c r="BM5" s="2">
        <f t="shared" ref="BM5:BM21" si="20">$B5*BL5</f>
        <v>7000</v>
      </c>
      <c r="BN5" s="33"/>
      <c r="BO5" s="30">
        <v>2</v>
      </c>
      <c r="BP5" s="2">
        <f t="shared" ref="BP5:BP21" si="21">$B5*BO5</f>
        <v>14000</v>
      </c>
      <c r="BQ5" s="33"/>
      <c r="BR5" s="30"/>
      <c r="BS5" s="2">
        <f t="shared" ref="BS5:BS21" si="22">$B5*BR5</f>
        <v>0</v>
      </c>
      <c r="BT5" s="70">
        <f t="shared" ref="BT5:BV21" si="23">AY5+BB5+BE5+BH5+BK5+BN5+BQ5</f>
        <v>0</v>
      </c>
      <c r="BU5" s="67">
        <f t="shared" si="23"/>
        <v>11</v>
      </c>
      <c r="BV5" s="51">
        <f t="shared" si="23"/>
        <v>77000</v>
      </c>
      <c r="BW5" s="33"/>
      <c r="BX5" s="30"/>
      <c r="BY5" s="2">
        <f t="shared" ref="BY5:BY21" si="24">$B5*BX5</f>
        <v>0</v>
      </c>
      <c r="BZ5" s="33"/>
      <c r="CA5" s="30">
        <v>1</v>
      </c>
      <c r="CB5" s="2">
        <f t="shared" ref="CB5:CB21" si="25">$B5*CA5</f>
        <v>7000</v>
      </c>
      <c r="CC5" s="33"/>
      <c r="CD5" s="30">
        <v>2</v>
      </c>
      <c r="CE5" s="2">
        <f t="shared" ref="CE5:CE21" si="26">$B5*CD5</f>
        <v>14000</v>
      </c>
      <c r="CF5" s="33">
        <v>20000</v>
      </c>
      <c r="CG5" s="30">
        <v>1</v>
      </c>
      <c r="CH5" s="2">
        <f t="shared" ref="CH5:CH21" si="27">$B5*CG5</f>
        <v>7000</v>
      </c>
      <c r="CI5" s="33"/>
      <c r="CJ5" s="30"/>
      <c r="CK5" s="2">
        <f t="shared" ref="CK5:CK21" si="28">$B5*CJ5</f>
        <v>0</v>
      </c>
      <c r="CL5" s="33"/>
      <c r="CM5" s="30">
        <v>2</v>
      </c>
      <c r="CN5" s="2">
        <f t="shared" ref="CN5:CN21" si="29">$B5*CM5</f>
        <v>14000</v>
      </c>
      <c r="CO5" s="33"/>
      <c r="CP5" s="30">
        <v>2</v>
      </c>
      <c r="CQ5" s="2">
        <f t="shared" ref="CQ5:CQ21" si="30">$B5*CP5</f>
        <v>14000</v>
      </c>
      <c r="CR5" s="70">
        <f t="shared" ref="CR5:CT21" si="31">BW5+BZ5+CC5+CF5+CI5+CL5+CO5</f>
        <v>20000</v>
      </c>
      <c r="CS5" s="67">
        <f t="shared" si="31"/>
        <v>8</v>
      </c>
      <c r="CT5" s="51">
        <f t="shared" si="31"/>
        <v>56000</v>
      </c>
      <c r="CU5" s="33"/>
      <c r="CV5" s="30"/>
      <c r="CW5" s="2">
        <f t="shared" ref="CW5:CW21" si="32">$B5*CV5</f>
        <v>0</v>
      </c>
      <c r="CX5" s="33"/>
      <c r="CY5" s="30">
        <v>2</v>
      </c>
      <c r="CZ5" s="2">
        <f t="shared" ref="CZ5:CZ21" si="33">$B5*CY5</f>
        <v>14000</v>
      </c>
      <c r="DA5" s="33"/>
      <c r="DB5" s="30"/>
      <c r="DC5" s="2">
        <f t="shared" ref="DC5:DC21" si="34">$B5*DB5</f>
        <v>0</v>
      </c>
      <c r="DD5" s="33"/>
      <c r="DE5" s="30">
        <v>2</v>
      </c>
      <c r="DF5" s="2">
        <f t="shared" ref="DF5:DF21" si="35">$B5*DE5</f>
        <v>14000</v>
      </c>
      <c r="DG5" s="33"/>
      <c r="DH5" s="30"/>
      <c r="DI5" s="2">
        <f t="shared" ref="DI5:DI21" si="36">$B5*DH5</f>
        <v>0</v>
      </c>
      <c r="DJ5" s="33"/>
      <c r="DK5" s="30">
        <v>1</v>
      </c>
      <c r="DL5" s="2">
        <f t="shared" ref="DL5:DL21" si="37">$B5*DK5</f>
        <v>7000</v>
      </c>
      <c r="DM5" s="33"/>
      <c r="DN5" s="30"/>
      <c r="DO5" s="2">
        <f t="shared" ref="DO5:DO21" si="38">$B5*DN5</f>
        <v>0</v>
      </c>
      <c r="DP5" s="70">
        <f t="shared" ref="DP5:DR21" si="39">CU5+CX5+DA5+DD5+DG5+DJ5+DM5</f>
        <v>0</v>
      </c>
      <c r="DQ5" s="67">
        <f t="shared" si="39"/>
        <v>5</v>
      </c>
      <c r="DR5" s="51">
        <f t="shared" si="39"/>
        <v>35000</v>
      </c>
      <c r="DS5" s="52">
        <f t="shared" ref="DS5:DS21" si="40">X5+AV5+CR5+DP5</f>
        <v>35000</v>
      </c>
      <c r="DT5" s="53">
        <f t="shared" ref="DT5:DU21" si="41">Y5+AW5+BU5+CS5+DQ5</f>
        <v>28</v>
      </c>
      <c r="DU5" s="54">
        <f t="shared" si="41"/>
        <v>196000</v>
      </c>
    </row>
    <row r="6" spans="1:125" s="26" customFormat="1" ht="17.100000000000001" customHeight="1" thickBot="1" x14ac:dyDescent="0.25">
      <c r="A6" s="27" t="s">
        <v>24</v>
      </c>
      <c r="B6" s="19">
        <v>7000</v>
      </c>
      <c r="C6" s="29"/>
      <c r="D6" s="30"/>
      <c r="E6" s="2">
        <f t="shared" si="0"/>
        <v>0</v>
      </c>
      <c r="F6" s="29"/>
      <c r="G6" s="30"/>
      <c r="H6" s="2">
        <f t="shared" si="1"/>
        <v>0</v>
      </c>
      <c r="I6" s="29"/>
      <c r="J6" s="30"/>
      <c r="K6" s="2">
        <f t="shared" si="2"/>
        <v>0</v>
      </c>
      <c r="L6" s="31"/>
      <c r="M6" s="30">
        <v>1</v>
      </c>
      <c r="N6" s="2">
        <f t="shared" si="3"/>
        <v>7000</v>
      </c>
      <c r="O6" s="31"/>
      <c r="P6" s="30"/>
      <c r="Q6" s="2">
        <f t="shared" si="4"/>
        <v>0</v>
      </c>
      <c r="R6" s="32"/>
      <c r="S6" s="30"/>
      <c r="T6" s="2">
        <f t="shared" si="5"/>
        <v>0</v>
      </c>
      <c r="U6" s="33"/>
      <c r="V6" s="30"/>
      <c r="W6" s="64">
        <f t="shared" si="6"/>
        <v>0</v>
      </c>
      <c r="X6" s="70">
        <f t="shared" si="7"/>
        <v>0</v>
      </c>
      <c r="Y6" s="67">
        <f t="shared" si="7"/>
        <v>1</v>
      </c>
      <c r="Z6" s="73">
        <f t="shared" si="7"/>
        <v>7000</v>
      </c>
      <c r="AA6" s="35"/>
      <c r="AB6" s="30"/>
      <c r="AC6" s="2">
        <f t="shared" si="8"/>
        <v>0</v>
      </c>
      <c r="AD6" s="33"/>
      <c r="AE6" s="30">
        <v>1</v>
      </c>
      <c r="AF6" s="2">
        <f t="shared" si="9"/>
        <v>7000</v>
      </c>
      <c r="AG6" s="33"/>
      <c r="AH6" s="30">
        <v>2</v>
      </c>
      <c r="AI6" s="2">
        <f t="shared" si="10"/>
        <v>14000</v>
      </c>
      <c r="AJ6" s="33"/>
      <c r="AK6" s="30"/>
      <c r="AL6" s="2">
        <f t="shared" si="11"/>
        <v>0</v>
      </c>
      <c r="AM6" s="33"/>
      <c r="AN6" s="30"/>
      <c r="AO6" s="2">
        <f t="shared" si="12"/>
        <v>0</v>
      </c>
      <c r="AP6" s="33"/>
      <c r="AQ6" s="30"/>
      <c r="AR6" s="2">
        <f t="shared" si="13"/>
        <v>0</v>
      </c>
      <c r="AS6" s="33"/>
      <c r="AT6" s="30"/>
      <c r="AU6" s="2">
        <f t="shared" si="14"/>
        <v>0</v>
      </c>
      <c r="AV6" s="70">
        <f t="shared" si="15"/>
        <v>0</v>
      </c>
      <c r="AW6" s="67">
        <f t="shared" si="15"/>
        <v>3</v>
      </c>
      <c r="AX6" s="51">
        <f t="shared" si="15"/>
        <v>21000</v>
      </c>
      <c r="AY6" s="33"/>
      <c r="AZ6" s="30"/>
      <c r="BA6" s="2">
        <f t="shared" si="16"/>
        <v>0</v>
      </c>
      <c r="BB6" s="33"/>
      <c r="BC6" s="30">
        <v>2</v>
      </c>
      <c r="BD6" s="2">
        <f t="shared" si="17"/>
        <v>14000</v>
      </c>
      <c r="BE6" s="33"/>
      <c r="BF6" s="30">
        <v>3</v>
      </c>
      <c r="BG6" s="2">
        <f t="shared" si="18"/>
        <v>21000</v>
      </c>
      <c r="BH6" s="33"/>
      <c r="BI6" s="30">
        <v>2</v>
      </c>
      <c r="BJ6" s="2">
        <f t="shared" si="19"/>
        <v>14000</v>
      </c>
      <c r="BK6" s="33"/>
      <c r="BL6" s="30"/>
      <c r="BM6" s="2">
        <f t="shared" si="20"/>
        <v>0</v>
      </c>
      <c r="BN6" s="33"/>
      <c r="BO6" s="30">
        <v>2</v>
      </c>
      <c r="BP6" s="2">
        <f t="shared" si="21"/>
        <v>14000</v>
      </c>
      <c r="BQ6" s="33"/>
      <c r="BR6" s="30">
        <v>2</v>
      </c>
      <c r="BS6" s="2">
        <f t="shared" si="22"/>
        <v>14000</v>
      </c>
      <c r="BT6" s="70">
        <f t="shared" si="23"/>
        <v>0</v>
      </c>
      <c r="BU6" s="67">
        <f t="shared" si="23"/>
        <v>11</v>
      </c>
      <c r="BV6" s="51">
        <f t="shared" si="23"/>
        <v>77000</v>
      </c>
      <c r="BW6" s="33"/>
      <c r="BX6" s="30"/>
      <c r="BY6" s="2">
        <f t="shared" si="24"/>
        <v>0</v>
      </c>
      <c r="BZ6" s="33"/>
      <c r="CA6" s="30">
        <v>1</v>
      </c>
      <c r="CB6" s="2">
        <f t="shared" si="25"/>
        <v>7000</v>
      </c>
      <c r="CC6" s="33"/>
      <c r="CD6" s="30">
        <v>2</v>
      </c>
      <c r="CE6" s="2">
        <f t="shared" si="26"/>
        <v>14000</v>
      </c>
      <c r="CF6" s="33"/>
      <c r="CG6" s="30">
        <v>1</v>
      </c>
      <c r="CH6" s="2">
        <f t="shared" si="27"/>
        <v>7000</v>
      </c>
      <c r="CI6" s="33"/>
      <c r="CJ6" s="30"/>
      <c r="CK6" s="2">
        <f t="shared" si="28"/>
        <v>0</v>
      </c>
      <c r="CL6" s="33"/>
      <c r="CM6" s="30">
        <v>2</v>
      </c>
      <c r="CN6" s="2">
        <f t="shared" si="29"/>
        <v>14000</v>
      </c>
      <c r="CO6" s="33"/>
      <c r="CP6" s="30"/>
      <c r="CQ6" s="2">
        <f t="shared" si="30"/>
        <v>0</v>
      </c>
      <c r="CR6" s="70">
        <f t="shared" si="31"/>
        <v>0</v>
      </c>
      <c r="CS6" s="67">
        <f t="shared" si="31"/>
        <v>6</v>
      </c>
      <c r="CT6" s="51">
        <f t="shared" si="31"/>
        <v>42000</v>
      </c>
      <c r="CU6" s="33"/>
      <c r="CV6" s="30"/>
      <c r="CW6" s="2">
        <f t="shared" si="32"/>
        <v>0</v>
      </c>
      <c r="CX6" s="33">
        <v>30000</v>
      </c>
      <c r="CY6" s="30">
        <v>2</v>
      </c>
      <c r="CZ6" s="2">
        <f t="shared" si="33"/>
        <v>14000</v>
      </c>
      <c r="DA6" s="33"/>
      <c r="DB6" s="30">
        <v>3</v>
      </c>
      <c r="DC6" s="2">
        <f t="shared" si="34"/>
        <v>21000</v>
      </c>
      <c r="DD6" s="33"/>
      <c r="DE6" s="30">
        <v>2</v>
      </c>
      <c r="DF6" s="2">
        <f t="shared" si="35"/>
        <v>14000</v>
      </c>
      <c r="DG6" s="33">
        <v>15000</v>
      </c>
      <c r="DH6" s="30"/>
      <c r="DI6" s="2">
        <f t="shared" si="36"/>
        <v>0</v>
      </c>
      <c r="DJ6" s="33"/>
      <c r="DK6" s="30"/>
      <c r="DL6" s="2">
        <f t="shared" si="37"/>
        <v>0</v>
      </c>
      <c r="DM6" s="33"/>
      <c r="DN6" s="30"/>
      <c r="DO6" s="2">
        <f t="shared" si="38"/>
        <v>0</v>
      </c>
      <c r="DP6" s="70">
        <f t="shared" si="39"/>
        <v>45000</v>
      </c>
      <c r="DQ6" s="67">
        <f t="shared" si="39"/>
        <v>7</v>
      </c>
      <c r="DR6" s="51">
        <f t="shared" si="39"/>
        <v>49000</v>
      </c>
      <c r="DS6" s="52">
        <f t="shared" si="40"/>
        <v>45000</v>
      </c>
      <c r="DT6" s="53">
        <f t="shared" si="41"/>
        <v>28</v>
      </c>
      <c r="DU6" s="54">
        <f t="shared" si="41"/>
        <v>196000</v>
      </c>
    </row>
    <row r="7" spans="1:125" s="26" customFormat="1" ht="17.100000000000001" customHeight="1" thickBot="1" x14ac:dyDescent="0.25">
      <c r="A7" s="27" t="s">
        <v>25</v>
      </c>
      <c r="B7" s="19">
        <v>7000</v>
      </c>
      <c r="C7" s="29"/>
      <c r="D7" s="30"/>
      <c r="E7" s="2">
        <f t="shared" si="0"/>
        <v>0</v>
      </c>
      <c r="F7" s="29"/>
      <c r="G7" s="30"/>
      <c r="H7" s="2">
        <f t="shared" si="1"/>
        <v>0</v>
      </c>
      <c r="I7" s="29"/>
      <c r="J7" s="30"/>
      <c r="K7" s="2">
        <f t="shared" si="2"/>
        <v>0</v>
      </c>
      <c r="L7" s="31"/>
      <c r="M7" s="30">
        <v>2</v>
      </c>
      <c r="N7" s="2">
        <f t="shared" si="3"/>
        <v>14000</v>
      </c>
      <c r="O7" s="31"/>
      <c r="P7" s="30"/>
      <c r="Q7" s="2">
        <f t="shared" si="4"/>
        <v>0</v>
      </c>
      <c r="R7" s="32"/>
      <c r="S7" s="30"/>
      <c r="T7" s="2">
        <f t="shared" si="5"/>
        <v>0</v>
      </c>
      <c r="U7" s="33"/>
      <c r="V7" s="30"/>
      <c r="W7" s="64">
        <f t="shared" si="6"/>
        <v>0</v>
      </c>
      <c r="X7" s="70">
        <f t="shared" si="7"/>
        <v>0</v>
      </c>
      <c r="Y7" s="67">
        <f t="shared" si="7"/>
        <v>2</v>
      </c>
      <c r="Z7" s="73">
        <f t="shared" si="7"/>
        <v>14000</v>
      </c>
      <c r="AA7" s="35"/>
      <c r="AB7" s="30"/>
      <c r="AC7" s="2">
        <f t="shared" si="8"/>
        <v>0</v>
      </c>
      <c r="AD7" s="33"/>
      <c r="AE7" s="30">
        <v>1</v>
      </c>
      <c r="AF7" s="2">
        <f t="shared" si="9"/>
        <v>7000</v>
      </c>
      <c r="AG7" s="33"/>
      <c r="AH7" s="30">
        <v>2</v>
      </c>
      <c r="AI7" s="2">
        <f t="shared" si="10"/>
        <v>14000</v>
      </c>
      <c r="AJ7" s="33"/>
      <c r="AK7" s="30"/>
      <c r="AL7" s="2">
        <f t="shared" si="11"/>
        <v>0</v>
      </c>
      <c r="AM7" s="33"/>
      <c r="AN7" s="30"/>
      <c r="AO7" s="2">
        <f t="shared" si="12"/>
        <v>0</v>
      </c>
      <c r="AP7" s="33"/>
      <c r="AQ7" s="30">
        <v>2</v>
      </c>
      <c r="AR7" s="2">
        <f t="shared" si="13"/>
        <v>14000</v>
      </c>
      <c r="AS7" s="33"/>
      <c r="AT7" s="30"/>
      <c r="AU7" s="2">
        <f t="shared" si="14"/>
        <v>0</v>
      </c>
      <c r="AV7" s="70">
        <f t="shared" si="15"/>
        <v>0</v>
      </c>
      <c r="AW7" s="67">
        <f t="shared" si="15"/>
        <v>5</v>
      </c>
      <c r="AX7" s="51">
        <f t="shared" si="15"/>
        <v>35000</v>
      </c>
      <c r="AY7" s="33"/>
      <c r="AZ7" s="30"/>
      <c r="BA7" s="2">
        <f t="shared" si="16"/>
        <v>0</v>
      </c>
      <c r="BB7" s="33"/>
      <c r="BC7" s="30">
        <v>4</v>
      </c>
      <c r="BD7" s="2">
        <f t="shared" si="17"/>
        <v>28000</v>
      </c>
      <c r="BE7" s="33"/>
      <c r="BF7" s="30">
        <v>2</v>
      </c>
      <c r="BG7" s="2">
        <f t="shared" si="18"/>
        <v>14000</v>
      </c>
      <c r="BH7" s="33"/>
      <c r="BI7" s="30"/>
      <c r="BJ7" s="2">
        <f t="shared" si="19"/>
        <v>0</v>
      </c>
      <c r="BK7" s="33">
        <v>50000</v>
      </c>
      <c r="BL7" s="30">
        <v>2</v>
      </c>
      <c r="BM7" s="2">
        <f t="shared" si="20"/>
        <v>14000</v>
      </c>
      <c r="BN7" s="33"/>
      <c r="BO7" s="30">
        <v>2</v>
      </c>
      <c r="BP7" s="2">
        <f t="shared" si="21"/>
        <v>14000</v>
      </c>
      <c r="BQ7" s="33"/>
      <c r="BR7" s="30">
        <v>2</v>
      </c>
      <c r="BS7" s="2">
        <f t="shared" si="22"/>
        <v>14000</v>
      </c>
      <c r="BT7" s="70">
        <f t="shared" si="23"/>
        <v>50000</v>
      </c>
      <c r="BU7" s="67">
        <f t="shared" si="23"/>
        <v>12</v>
      </c>
      <c r="BV7" s="51">
        <f t="shared" si="23"/>
        <v>84000</v>
      </c>
      <c r="BW7" s="33"/>
      <c r="BX7" s="30"/>
      <c r="BY7" s="2">
        <f t="shared" si="24"/>
        <v>0</v>
      </c>
      <c r="BZ7" s="33"/>
      <c r="CA7" s="30">
        <v>2</v>
      </c>
      <c r="CB7" s="2">
        <f t="shared" si="25"/>
        <v>14000</v>
      </c>
      <c r="CC7" s="33"/>
      <c r="CD7" s="30">
        <v>2</v>
      </c>
      <c r="CE7" s="2">
        <f t="shared" si="26"/>
        <v>14000</v>
      </c>
      <c r="CF7" s="33"/>
      <c r="CG7" s="30"/>
      <c r="CH7" s="2">
        <f t="shared" si="27"/>
        <v>0</v>
      </c>
      <c r="CI7" s="33"/>
      <c r="CJ7" s="30"/>
      <c r="CK7" s="2">
        <f t="shared" si="28"/>
        <v>0</v>
      </c>
      <c r="CL7" s="33"/>
      <c r="CM7" s="30">
        <v>2</v>
      </c>
      <c r="CN7" s="2">
        <f t="shared" si="29"/>
        <v>14000</v>
      </c>
      <c r="CO7" s="33"/>
      <c r="CP7" s="30">
        <v>2</v>
      </c>
      <c r="CQ7" s="2">
        <f t="shared" si="30"/>
        <v>14000</v>
      </c>
      <c r="CR7" s="70">
        <f t="shared" si="31"/>
        <v>0</v>
      </c>
      <c r="CS7" s="67">
        <f t="shared" si="31"/>
        <v>8</v>
      </c>
      <c r="CT7" s="51">
        <f t="shared" si="31"/>
        <v>56000</v>
      </c>
      <c r="CU7" s="33"/>
      <c r="CV7" s="30">
        <v>1</v>
      </c>
      <c r="CW7" s="2">
        <f t="shared" si="32"/>
        <v>7000</v>
      </c>
      <c r="CX7" s="33"/>
      <c r="CY7" s="30">
        <v>2</v>
      </c>
      <c r="CZ7" s="2">
        <f t="shared" si="33"/>
        <v>14000</v>
      </c>
      <c r="DA7" s="33"/>
      <c r="DB7" s="30">
        <v>2</v>
      </c>
      <c r="DC7" s="2">
        <f t="shared" si="34"/>
        <v>14000</v>
      </c>
      <c r="DD7" s="33"/>
      <c r="DE7" s="30">
        <v>1</v>
      </c>
      <c r="DF7" s="2">
        <f t="shared" si="35"/>
        <v>7000</v>
      </c>
      <c r="DG7" s="33"/>
      <c r="DH7" s="30"/>
      <c r="DI7" s="2">
        <f t="shared" si="36"/>
        <v>0</v>
      </c>
      <c r="DJ7" s="33"/>
      <c r="DK7" s="30"/>
      <c r="DL7" s="2">
        <f t="shared" si="37"/>
        <v>0</v>
      </c>
      <c r="DM7" s="33"/>
      <c r="DN7" s="30"/>
      <c r="DO7" s="2">
        <f t="shared" si="38"/>
        <v>0</v>
      </c>
      <c r="DP7" s="70">
        <f t="shared" si="39"/>
        <v>0</v>
      </c>
      <c r="DQ7" s="67">
        <f t="shared" si="39"/>
        <v>6</v>
      </c>
      <c r="DR7" s="51">
        <f t="shared" si="39"/>
        <v>42000</v>
      </c>
      <c r="DS7" s="52">
        <v>50000</v>
      </c>
      <c r="DT7" s="53">
        <f t="shared" si="41"/>
        <v>33</v>
      </c>
      <c r="DU7" s="54">
        <f t="shared" si="41"/>
        <v>231000</v>
      </c>
    </row>
    <row r="8" spans="1:125" s="26" customFormat="1" ht="17.100000000000001" customHeight="1" thickBot="1" x14ac:dyDescent="0.25">
      <c r="A8" s="27" t="s">
        <v>26</v>
      </c>
      <c r="B8" s="19">
        <v>7000</v>
      </c>
      <c r="C8" s="29"/>
      <c r="D8" s="30"/>
      <c r="E8" s="2">
        <f t="shared" si="0"/>
        <v>0</v>
      </c>
      <c r="F8" s="29"/>
      <c r="G8" s="30"/>
      <c r="H8" s="2">
        <f t="shared" si="1"/>
        <v>0</v>
      </c>
      <c r="I8" s="29"/>
      <c r="J8" s="30"/>
      <c r="K8" s="2">
        <f t="shared" si="2"/>
        <v>0</v>
      </c>
      <c r="L8" s="31"/>
      <c r="M8" s="30"/>
      <c r="N8" s="2">
        <f t="shared" si="3"/>
        <v>0</v>
      </c>
      <c r="O8" s="33"/>
      <c r="P8" s="30"/>
      <c r="Q8" s="2">
        <f t="shared" si="4"/>
        <v>0</v>
      </c>
      <c r="R8" s="32"/>
      <c r="S8" s="30"/>
      <c r="T8" s="2">
        <f t="shared" si="5"/>
        <v>0</v>
      </c>
      <c r="U8" s="33"/>
      <c r="V8" s="30"/>
      <c r="W8" s="64">
        <f t="shared" si="6"/>
        <v>0</v>
      </c>
      <c r="X8" s="70">
        <f t="shared" si="7"/>
        <v>0</v>
      </c>
      <c r="Y8" s="67">
        <f t="shared" si="7"/>
        <v>0</v>
      </c>
      <c r="Z8" s="73">
        <f t="shared" si="7"/>
        <v>0</v>
      </c>
      <c r="AA8" s="35"/>
      <c r="AB8" s="30"/>
      <c r="AC8" s="2">
        <f t="shared" si="8"/>
        <v>0</v>
      </c>
      <c r="AD8" s="33"/>
      <c r="AE8" s="30">
        <v>1</v>
      </c>
      <c r="AF8" s="2">
        <f t="shared" si="9"/>
        <v>7000</v>
      </c>
      <c r="AG8" s="33"/>
      <c r="AH8" s="30">
        <v>1</v>
      </c>
      <c r="AI8" s="2">
        <f t="shared" si="10"/>
        <v>7000</v>
      </c>
      <c r="AJ8" s="33"/>
      <c r="AK8" s="30"/>
      <c r="AL8" s="2">
        <f t="shared" si="11"/>
        <v>0</v>
      </c>
      <c r="AM8" s="33"/>
      <c r="AN8" s="30"/>
      <c r="AO8" s="2">
        <f t="shared" si="12"/>
        <v>0</v>
      </c>
      <c r="AP8" s="33">
        <v>3000</v>
      </c>
      <c r="AQ8" s="30"/>
      <c r="AR8" s="2">
        <f t="shared" si="13"/>
        <v>0</v>
      </c>
      <c r="AS8" s="33"/>
      <c r="AT8" s="30"/>
      <c r="AU8" s="2">
        <f t="shared" si="14"/>
        <v>0</v>
      </c>
      <c r="AV8" s="70">
        <f t="shared" si="15"/>
        <v>3000</v>
      </c>
      <c r="AW8" s="67">
        <f t="shared" si="15"/>
        <v>2</v>
      </c>
      <c r="AX8" s="51">
        <f t="shared" si="15"/>
        <v>14000</v>
      </c>
      <c r="AY8" s="33"/>
      <c r="AZ8" s="30"/>
      <c r="BA8" s="2">
        <f t="shared" si="16"/>
        <v>0</v>
      </c>
      <c r="BB8" s="33">
        <v>10000</v>
      </c>
      <c r="BC8" s="30">
        <v>3</v>
      </c>
      <c r="BD8" s="2">
        <f t="shared" si="17"/>
        <v>21000</v>
      </c>
      <c r="BE8" s="33"/>
      <c r="BF8" s="30">
        <v>3</v>
      </c>
      <c r="BG8" s="2">
        <f t="shared" si="18"/>
        <v>21000</v>
      </c>
      <c r="BH8" s="33"/>
      <c r="BI8" s="30">
        <v>2</v>
      </c>
      <c r="BJ8" s="2">
        <f t="shared" si="19"/>
        <v>14000</v>
      </c>
      <c r="BK8" s="33"/>
      <c r="BL8" s="30"/>
      <c r="BM8" s="2">
        <f t="shared" si="20"/>
        <v>0</v>
      </c>
      <c r="BN8" s="33"/>
      <c r="BO8" s="30">
        <v>1</v>
      </c>
      <c r="BP8" s="2">
        <f t="shared" si="21"/>
        <v>7000</v>
      </c>
      <c r="BQ8" s="33"/>
      <c r="BR8" s="30"/>
      <c r="BS8" s="2">
        <f t="shared" si="22"/>
        <v>0</v>
      </c>
      <c r="BT8" s="70">
        <f t="shared" si="23"/>
        <v>10000</v>
      </c>
      <c r="BU8" s="67">
        <f t="shared" si="23"/>
        <v>9</v>
      </c>
      <c r="BV8" s="51">
        <f t="shared" si="23"/>
        <v>63000</v>
      </c>
      <c r="BW8" s="33"/>
      <c r="BX8" s="30"/>
      <c r="BY8" s="2">
        <f t="shared" si="24"/>
        <v>0</v>
      </c>
      <c r="BZ8" s="33"/>
      <c r="CA8" s="30">
        <v>1</v>
      </c>
      <c r="CB8" s="2">
        <f t="shared" si="25"/>
        <v>7000</v>
      </c>
      <c r="CC8" s="33">
        <v>4000</v>
      </c>
      <c r="CD8" s="30">
        <v>2</v>
      </c>
      <c r="CE8" s="2">
        <f t="shared" si="26"/>
        <v>14000</v>
      </c>
      <c r="CF8" s="33"/>
      <c r="CG8" s="30"/>
      <c r="CH8" s="2">
        <f t="shared" si="27"/>
        <v>0</v>
      </c>
      <c r="CI8" s="33"/>
      <c r="CJ8" s="30"/>
      <c r="CK8" s="2">
        <f t="shared" si="28"/>
        <v>0</v>
      </c>
      <c r="CL8" s="33"/>
      <c r="CM8" s="30"/>
      <c r="CN8" s="2">
        <f t="shared" si="29"/>
        <v>0</v>
      </c>
      <c r="CO8" s="33"/>
      <c r="CP8" s="99">
        <v>1.5</v>
      </c>
      <c r="CQ8" s="2">
        <f t="shared" si="30"/>
        <v>10500</v>
      </c>
      <c r="CR8" s="70">
        <f t="shared" si="31"/>
        <v>4000</v>
      </c>
      <c r="CS8" s="100">
        <f t="shared" si="31"/>
        <v>4.5</v>
      </c>
      <c r="CT8" s="51">
        <f t="shared" si="31"/>
        <v>31500</v>
      </c>
      <c r="CU8" s="33"/>
      <c r="CV8" s="30">
        <v>1</v>
      </c>
      <c r="CW8" s="2">
        <f t="shared" si="32"/>
        <v>7000</v>
      </c>
      <c r="CX8" s="33">
        <v>10000</v>
      </c>
      <c r="CY8" s="30">
        <v>2</v>
      </c>
      <c r="CZ8" s="2">
        <f t="shared" si="33"/>
        <v>14000</v>
      </c>
      <c r="DA8" s="33"/>
      <c r="DB8" s="99">
        <v>2.5</v>
      </c>
      <c r="DC8" s="2">
        <f t="shared" si="34"/>
        <v>17500</v>
      </c>
      <c r="DD8" s="33"/>
      <c r="DE8" s="30"/>
      <c r="DF8" s="2">
        <f t="shared" si="35"/>
        <v>0</v>
      </c>
      <c r="DG8" s="33"/>
      <c r="DH8" s="30"/>
      <c r="DI8" s="2">
        <f t="shared" si="36"/>
        <v>0</v>
      </c>
      <c r="DJ8" s="33">
        <v>6000</v>
      </c>
      <c r="DK8" s="30"/>
      <c r="DL8" s="2">
        <f t="shared" si="37"/>
        <v>0</v>
      </c>
      <c r="DM8" s="33"/>
      <c r="DN8" s="30"/>
      <c r="DO8" s="2">
        <f t="shared" si="38"/>
        <v>0</v>
      </c>
      <c r="DP8" s="70">
        <f t="shared" si="39"/>
        <v>16000</v>
      </c>
      <c r="DQ8" s="100">
        <f t="shared" si="39"/>
        <v>5.5</v>
      </c>
      <c r="DR8" s="51">
        <f t="shared" si="39"/>
        <v>38500</v>
      </c>
      <c r="DS8" s="52">
        <v>33000</v>
      </c>
      <c r="DT8" s="53">
        <f t="shared" si="41"/>
        <v>21</v>
      </c>
      <c r="DU8" s="54">
        <f t="shared" si="41"/>
        <v>147000</v>
      </c>
    </row>
    <row r="9" spans="1:125" s="26" customFormat="1" ht="17.100000000000001" customHeight="1" thickBot="1" x14ac:dyDescent="0.25">
      <c r="A9" s="27" t="s">
        <v>27</v>
      </c>
      <c r="B9" s="19">
        <v>7000</v>
      </c>
      <c r="C9" s="29"/>
      <c r="D9" s="30"/>
      <c r="E9" s="2">
        <f t="shared" si="0"/>
        <v>0</v>
      </c>
      <c r="F9" s="29"/>
      <c r="G9" s="30"/>
      <c r="H9" s="2">
        <f t="shared" si="1"/>
        <v>0</v>
      </c>
      <c r="I9" s="29"/>
      <c r="J9" s="30"/>
      <c r="K9" s="2">
        <f t="shared" si="2"/>
        <v>0</v>
      </c>
      <c r="L9" s="31"/>
      <c r="M9" s="30">
        <v>2</v>
      </c>
      <c r="N9" s="2">
        <f t="shared" si="3"/>
        <v>14000</v>
      </c>
      <c r="O9" s="31"/>
      <c r="P9" s="30"/>
      <c r="Q9" s="2">
        <f t="shared" si="4"/>
        <v>0</v>
      </c>
      <c r="R9" s="31"/>
      <c r="S9" s="30"/>
      <c r="T9" s="2">
        <f t="shared" si="5"/>
        <v>0</v>
      </c>
      <c r="U9" s="33"/>
      <c r="V9" s="30"/>
      <c r="W9" s="64">
        <f t="shared" si="6"/>
        <v>0</v>
      </c>
      <c r="X9" s="70">
        <f t="shared" si="7"/>
        <v>0</v>
      </c>
      <c r="Y9" s="67">
        <f t="shared" si="7"/>
        <v>2</v>
      </c>
      <c r="Z9" s="73">
        <f t="shared" si="7"/>
        <v>14000</v>
      </c>
      <c r="AA9" s="35"/>
      <c r="AB9" s="30"/>
      <c r="AC9" s="2">
        <f t="shared" si="8"/>
        <v>0</v>
      </c>
      <c r="AD9" s="33"/>
      <c r="AE9" s="30">
        <v>1</v>
      </c>
      <c r="AF9" s="2">
        <f t="shared" si="9"/>
        <v>7000</v>
      </c>
      <c r="AG9" s="33"/>
      <c r="AH9" s="30">
        <v>2</v>
      </c>
      <c r="AI9" s="2">
        <f t="shared" si="10"/>
        <v>14000</v>
      </c>
      <c r="AJ9" s="33"/>
      <c r="AK9" s="30"/>
      <c r="AL9" s="2">
        <f t="shared" si="11"/>
        <v>0</v>
      </c>
      <c r="AM9" s="33"/>
      <c r="AN9" s="30"/>
      <c r="AO9" s="2">
        <f t="shared" si="12"/>
        <v>0</v>
      </c>
      <c r="AP9" s="33"/>
      <c r="AQ9" s="30"/>
      <c r="AR9" s="2">
        <f t="shared" si="13"/>
        <v>0</v>
      </c>
      <c r="AS9" s="33"/>
      <c r="AT9" s="30"/>
      <c r="AU9" s="2">
        <f t="shared" si="14"/>
        <v>0</v>
      </c>
      <c r="AV9" s="70">
        <f t="shared" si="15"/>
        <v>0</v>
      </c>
      <c r="AW9" s="67">
        <f t="shared" si="15"/>
        <v>3</v>
      </c>
      <c r="AX9" s="51">
        <f t="shared" si="15"/>
        <v>21000</v>
      </c>
      <c r="AY9" s="33"/>
      <c r="AZ9" s="30"/>
      <c r="BA9" s="2">
        <f t="shared" si="16"/>
        <v>0</v>
      </c>
      <c r="BB9" s="33"/>
      <c r="BC9" s="30">
        <v>3</v>
      </c>
      <c r="BD9" s="2">
        <f t="shared" si="17"/>
        <v>21000</v>
      </c>
      <c r="BE9" s="33"/>
      <c r="BF9" s="30">
        <v>3</v>
      </c>
      <c r="BG9" s="2">
        <f t="shared" si="18"/>
        <v>21000</v>
      </c>
      <c r="BH9" s="33"/>
      <c r="BI9" s="30">
        <v>1</v>
      </c>
      <c r="BJ9" s="2">
        <f t="shared" si="19"/>
        <v>7000</v>
      </c>
      <c r="BK9" s="33"/>
      <c r="BL9" s="30">
        <v>1</v>
      </c>
      <c r="BM9" s="2">
        <f t="shared" si="20"/>
        <v>7000</v>
      </c>
      <c r="BN9" s="33"/>
      <c r="BO9" s="30">
        <v>2</v>
      </c>
      <c r="BP9" s="2">
        <f t="shared" si="21"/>
        <v>14000</v>
      </c>
      <c r="BQ9" s="33"/>
      <c r="BR9" s="30">
        <v>2</v>
      </c>
      <c r="BS9" s="2">
        <f t="shared" si="22"/>
        <v>14000</v>
      </c>
      <c r="BT9" s="70">
        <f t="shared" si="23"/>
        <v>0</v>
      </c>
      <c r="BU9" s="67">
        <f t="shared" si="23"/>
        <v>12</v>
      </c>
      <c r="BV9" s="51">
        <f t="shared" si="23"/>
        <v>84000</v>
      </c>
      <c r="BW9" s="33"/>
      <c r="BX9" s="30">
        <v>1</v>
      </c>
      <c r="BY9" s="2">
        <f t="shared" si="24"/>
        <v>7000</v>
      </c>
      <c r="BZ9" s="33"/>
      <c r="CA9" s="30">
        <v>2</v>
      </c>
      <c r="CB9" s="2">
        <f t="shared" si="25"/>
        <v>14000</v>
      </c>
      <c r="CC9" s="33"/>
      <c r="CD9" s="30">
        <v>2</v>
      </c>
      <c r="CE9" s="2">
        <f t="shared" si="26"/>
        <v>14000</v>
      </c>
      <c r="CF9" s="33"/>
      <c r="CG9" s="30">
        <v>1</v>
      </c>
      <c r="CH9" s="2">
        <f t="shared" si="27"/>
        <v>7000</v>
      </c>
      <c r="CI9" s="33"/>
      <c r="CJ9" s="30"/>
      <c r="CK9" s="2">
        <f t="shared" si="28"/>
        <v>0</v>
      </c>
      <c r="CL9" s="33"/>
      <c r="CM9" s="30">
        <v>2</v>
      </c>
      <c r="CN9" s="2">
        <f t="shared" si="29"/>
        <v>14000</v>
      </c>
      <c r="CO9" s="33"/>
      <c r="CP9" s="30">
        <v>2</v>
      </c>
      <c r="CQ9" s="2">
        <f t="shared" si="30"/>
        <v>14000</v>
      </c>
      <c r="CR9" s="70">
        <f t="shared" si="31"/>
        <v>0</v>
      </c>
      <c r="CS9" s="67">
        <f t="shared" si="31"/>
        <v>10</v>
      </c>
      <c r="CT9" s="51">
        <f t="shared" si="31"/>
        <v>70000</v>
      </c>
      <c r="CU9" s="33"/>
      <c r="CV9" s="30">
        <v>1</v>
      </c>
      <c r="CW9" s="2">
        <f t="shared" si="32"/>
        <v>7000</v>
      </c>
      <c r="CX9" s="33"/>
      <c r="CY9" s="30">
        <v>2</v>
      </c>
      <c r="CZ9" s="2">
        <f t="shared" si="33"/>
        <v>14000</v>
      </c>
      <c r="DA9" s="33"/>
      <c r="DB9" s="30">
        <v>2</v>
      </c>
      <c r="DC9" s="2">
        <f t="shared" si="34"/>
        <v>14000</v>
      </c>
      <c r="DD9" s="33"/>
      <c r="DE9" s="30">
        <v>2</v>
      </c>
      <c r="DF9" s="2">
        <f t="shared" si="35"/>
        <v>14000</v>
      </c>
      <c r="DG9" s="33"/>
      <c r="DH9" s="30"/>
      <c r="DI9" s="2">
        <f t="shared" si="36"/>
        <v>0</v>
      </c>
      <c r="DJ9" s="33"/>
      <c r="DK9" s="30"/>
      <c r="DL9" s="2">
        <f t="shared" si="37"/>
        <v>0</v>
      </c>
      <c r="DM9" s="33"/>
      <c r="DN9" s="30"/>
      <c r="DO9" s="2">
        <f t="shared" si="38"/>
        <v>0</v>
      </c>
      <c r="DP9" s="70">
        <f t="shared" si="39"/>
        <v>0</v>
      </c>
      <c r="DQ9" s="67">
        <f t="shared" si="39"/>
        <v>7</v>
      </c>
      <c r="DR9" s="51">
        <f t="shared" si="39"/>
        <v>49000</v>
      </c>
      <c r="DS9" s="52">
        <f t="shared" si="40"/>
        <v>0</v>
      </c>
      <c r="DT9" s="53">
        <f t="shared" si="41"/>
        <v>34</v>
      </c>
      <c r="DU9" s="54">
        <f t="shared" si="41"/>
        <v>238000</v>
      </c>
    </row>
    <row r="10" spans="1:125" s="26" customFormat="1" ht="17.100000000000001" customHeight="1" thickBot="1" x14ac:dyDescent="0.25">
      <c r="A10" s="27" t="s">
        <v>52</v>
      </c>
      <c r="B10" s="19">
        <v>7000</v>
      </c>
      <c r="C10" s="29"/>
      <c r="D10" s="30"/>
      <c r="E10" s="2">
        <f t="shared" si="0"/>
        <v>0</v>
      </c>
      <c r="F10" s="29"/>
      <c r="G10" s="30"/>
      <c r="H10" s="2">
        <f t="shared" si="1"/>
        <v>0</v>
      </c>
      <c r="I10" s="29"/>
      <c r="J10" s="30"/>
      <c r="K10" s="2">
        <f t="shared" si="2"/>
        <v>0</v>
      </c>
      <c r="L10" s="31"/>
      <c r="M10" s="30">
        <v>2</v>
      </c>
      <c r="N10" s="2">
        <f t="shared" si="3"/>
        <v>14000</v>
      </c>
      <c r="O10" s="31"/>
      <c r="P10" s="30"/>
      <c r="Q10" s="2">
        <f t="shared" si="4"/>
        <v>0</v>
      </c>
      <c r="R10" s="31"/>
      <c r="S10" s="30"/>
      <c r="T10" s="2">
        <f t="shared" si="5"/>
        <v>0</v>
      </c>
      <c r="U10" s="33"/>
      <c r="V10" s="30"/>
      <c r="W10" s="64">
        <f t="shared" si="6"/>
        <v>0</v>
      </c>
      <c r="X10" s="70">
        <f t="shared" si="7"/>
        <v>0</v>
      </c>
      <c r="Y10" s="67">
        <f t="shared" si="7"/>
        <v>2</v>
      </c>
      <c r="Z10" s="73">
        <f t="shared" si="7"/>
        <v>14000</v>
      </c>
      <c r="AA10" s="35"/>
      <c r="AB10" s="30"/>
      <c r="AC10" s="2">
        <f t="shared" si="8"/>
        <v>0</v>
      </c>
      <c r="AD10" s="33"/>
      <c r="AE10" s="30">
        <v>1</v>
      </c>
      <c r="AF10" s="2">
        <f t="shared" si="9"/>
        <v>7000</v>
      </c>
      <c r="AG10" s="33"/>
      <c r="AH10" s="30">
        <v>2</v>
      </c>
      <c r="AI10" s="2">
        <f t="shared" si="10"/>
        <v>14000</v>
      </c>
      <c r="AJ10" s="33"/>
      <c r="AK10" s="30"/>
      <c r="AL10" s="2">
        <f t="shared" si="11"/>
        <v>0</v>
      </c>
      <c r="AM10" s="33"/>
      <c r="AN10" s="30"/>
      <c r="AO10" s="2">
        <f t="shared" si="12"/>
        <v>0</v>
      </c>
      <c r="AP10" s="33"/>
      <c r="AQ10" s="30"/>
      <c r="AR10" s="2">
        <f t="shared" si="13"/>
        <v>0</v>
      </c>
      <c r="AS10" s="33"/>
      <c r="AT10" s="30"/>
      <c r="AU10" s="2">
        <f t="shared" si="14"/>
        <v>0</v>
      </c>
      <c r="AV10" s="70">
        <f t="shared" si="15"/>
        <v>0</v>
      </c>
      <c r="AW10" s="67">
        <f t="shared" si="15"/>
        <v>3</v>
      </c>
      <c r="AX10" s="51">
        <f t="shared" si="15"/>
        <v>21000</v>
      </c>
      <c r="AY10" s="33"/>
      <c r="AZ10" s="99"/>
      <c r="BA10" s="2">
        <f t="shared" si="16"/>
        <v>0</v>
      </c>
      <c r="BB10" s="33"/>
      <c r="BC10" s="30">
        <v>3</v>
      </c>
      <c r="BD10" s="2">
        <f t="shared" si="17"/>
        <v>21000</v>
      </c>
      <c r="BE10" s="33"/>
      <c r="BF10" s="30">
        <v>3</v>
      </c>
      <c r="BG10" s="2">
        <f t="shared" si="18"/>
        <v>21000</v>
      </c>
      <c r="BH10" s="33"/>
      <c r="BI10" s="30">
        <v>2</v>
      </c>
      <c r="BJ10" s="2">
        <f t="shared" si="19"/>
        <v>14000</v>
      </c>
      <c r="BK10" s="33"/>
      <c r="BL10" s="30"/>
      <c r="BM10" s="2">
        <f t="shared" si="20"/>
        <v>0</v>
      </c>
      <c r="BN10" s="33"/>
      <c r="BO10" s="30">
        <v>2</v>
      </c>
      <c r="BP10" s="2">
        <f t="shared" si="21"/>
        <v>14000</v>
      </c>
      <c r="BQ10" s="33"/>
      <c r="BR10" s="30">
        <v>2</v>
      </c>
      <c r="BS10" s="2">
        <f t="shared" si="22"/>
        <v>14000</v>
      </c>
      <c r="BT10" s="70">
        <f t="shared" si="23"/>
        <v>0</v>
      </c>
      <c r="BU10" s="67">
        <f t="shared" si="23"/>
        <v>12</v>
      </c>
      <c r="BV10" s="51">
        <f t="shared" si="23"/>
        <v>84000</v>
      </c>
      <c r="BW10" s="33"/>
      <c r="BX10" s="30">
        <v>1</v>
      </c>
      <c r="BY10" s="2">
        <f t="shared" si="24"/>
        <v>7000</v>
      </c>
      <c r="BZ10" s="33"/>
      <c r="CA10" s="30"/>
      <c r="CB10" s="2">
        <f t="shared" si="25"/>
        <v>0</v>
      </c>
      <c r="CC10" s="33"/>
      <c r="CD10" s="30">
        <v>2</v>
      </c>
      <c r="CE10" s="2">
        <f t="shared" si="26"/>
        <v>14000</v>
      </c>
      <c r="CF10" s="33"/>
      <c r="CG10" s="30">
        <v>1</v>
      </c>
      <c r="CH10" s="2">
        <f t="shared" si="27"/>
        <v>7000</v>
      </c>
      <c r="CI10" s="33"/>
      <c r="CJ10" s="30"/>
      <c r="CK10" s="2">
        <f t="shared" si="28"/>
        <v>0</v>
      </c>
      <c r="CL10" s="33"/>
      <c r="CM10" s="30">
        <v>2</v>
      </c>
      <c r="CN10" s="2">
        <f t="shared" si="29"/>
        <v>14000</v>
      </c>
      <c r="CO10" s="33"/>
      <c r="CP10" s="30">
        <v>2</v>
      </c>
      <c r="CQ10" s="2">
        <f t="shared" si="30"/>
        <v>14000</v>
      </c>
      <c r="CR10" s="70">
        <f t="shared" si="31"/>
        <v>0</v>
      </c>
      <c r="CS10" s="67">
        <f t="shared" si="31"/>
        <v>8</v>
      </c>
      <c r="CT10" s="51">
        <f t="shared" si="31"/>
        <v>56000</v>
      </c>
      <c r="CU10" s="33"/>
      <c r="CV10" s="30">
        <v>1</v>
      </c>
      <c r="CW10" s="2">
        <f t="shared" si="32"/>
        <v>7000</v>
      </c>
      <c r="CX10" s="33"/>
      <c r="CY10" s="30">
        <v>2</v>
      </c>
      <c r="CZ10" s="2">
        <f t="shared" si="33"/>
        <v>14000</v>
      </c>
      <c r="DA10" s="33"/>
      <c r="DB10" s="30">
        <v>3</v>
      </c>
      <c r="DC10" s="2">
        <f t="shared" si="34"/>
        <v>21000</v>
      </c>
      <c r="DD10" s="33"/>
      <c r="DE10" s="99">
        <v>1.5</v>
      </c>
      <c r="DF10" s="2">
        <f t="shared" si="35"/>
        <v>10500</v>
      </c>
      <c r="DG10" s="33"/>
      <c r="DH10" s="30"/>
      <c r="DI10" s="2">
        <f t="shared" si="36"/>
        <v>0</v>
      </c>
      <c r="DJ10" s="33"/>
      <c r="DK10" s="30"/>
      <c r="DL10" s="2">
        <f t="shared" si="37"/>
        <v>0</v>
      </c>
      <c r="DM10" s="33"/>
      <c r="DN10" s="30"/>
      <c r="DO10" s="2">
        <f t="shared" si="38"/>
        <v>0</v>
      </c>
      <c r="DP10" s="70">
        <f t="shared" si="39"/>
        <v>0</v>
      </c>
      <c r="DQ10" s="100">
        <f t="shared" si="39"/>
        <v>7.5</v>
      </c>
      <c r="DR10" s="51">
        <f t="shared" si="39"/>
        <v>52500</v>
      </c>
      <c r="DS10" s="52">
        <f t="shared" si="40"/>
        <v>0</v>
      </c>
      <c r="DT10" s="107">
        <f t="shared" si="41"/>
        <v>32.5</v>
      </c>
      <c r="DU10" s="54">
        <f t="shared" si="41"/>
        <v>227500</v>
      </c>
    </row>
    <row r="11" spans="1:125" s="26" customFormat="1" ht="17.100000000000001" customHeight="1" thickBot="1" x14ac:dyDescent="0.25">
      <c r="A11" s="27" t="s">
        <v>29</v>
      </c>
      <c r="B11" s="19">
        <v>7000</v>
      </c>
      <c r="C11" s="29"/>
      <c r="D11" s="30"/>
      <c r="E11" s="2">
        <f t="shared" si="0"/>
        <v>0</v>
      </c>
      <c r="F11" s="29"/>
      <c r="G11" s="30"/>
      <c r="H11" s="2">
        <f t="shared" si="1"/>
        <v>0</v>
      </c>
      <c r="I11" s="29"/>
      <c r="J11" s="30"/>
      <c r="K11" s="2">
        <f t="shared" si="2"/>
        <v>0</v>
      </c>
      <c r="L11" s="31"/>
      <c r="M11" s="30">
        <v>2</v>
      </c>
      <c r="N11" s="2">
        <f t="shared" si="3"/>
        <v>14000</v>
      </c>
      <c r="O11" s="31">
        <v>300000</v>
      </c>
      <c r="P11" s="30"/>
      <c r="Q11" s="2">
        <f t="shared" si="4"/>
        <v>0</v>
      </c>
      <c r="R11" s="31"/>
      <c r="S11" s="30"/>
      <c r="T11" s="2">
        <f t="shared" si="5"/>
        <v>0</v>
      </c>
      <c r="U11" s="33"/>
      <c r="V11" s="30"/>
      <c r="W11" s="64">
        <f t="shared" si="6"/>
        <v>0</v>
      </c>
      <c r="X11" s="70">
        <f t="shared" si="7"/>
        <v>300000</v>
      </c>
      <c r="Y11" s="67">
        <f t="shared" si="7"/>
        <v>2</v>
      </c>
      <c r="Z11" s="73">
        <f t="shared" si="7"/>
        <v>14000</v>
      </c>
      <c r="AA11" s="35"/>
      <c r="AB11" s="30"/>
      <c r="AC11" s="2">
        <f t="shared" si="8"/>
        <v>0</v>
      </c>
      <c r="AD11" s="33"/>
      <c r="AE11" s="30">
        <v>1</v>
      </c>
      <c r="AF11" s="2">
        <f t="shared" si="9"/>
        <v>7000</v>
      </c>
      <c r="AG11" s="33"/>
      <c r="AH11" s="30">
        <v>2</v>
      </c>
      <c r="AI11" s="2">
        <f t="shared" si="10"/>
        <v>14000</v>
      </c>
      <c r="AJ11" s="33"/>
      <c r="AK11" s="30"/>
      <c r="AL11" s="2">
        <f t="shared" si="11"/>
        <v>0</v>
      </c>
      <c r="AM11" s="33"/>
      <c r="AN11" s="30"/>
      <c r="AO11" s="2">
        <f t="shared" si="12"/>
        <v>0</v>
      </c>
      <c r="AP11" s="33"/>
      <c r="AQ11" s="30"/>
      <c r="AR11" s="2">
        <f t="shared" si="13"/>
        <v>0</v>
      </c>
      <c r="AS11" s="33"/>
      <c r="AT11" s="30"/>
      <c r="AU11" s="2">
        <f t="shared" si="14"/>
        <v>0</v>
      </c>
      <c r="AV11" s="70">
        <f t="shared" si="15"/>
        <v>0</v>
      </c>
      <c r="AW11" s="67">
        <f t="shared" si="15"/>
        <v>3</v>
      </c>
      <c r="AX11" s="51">
        <f t="shared" si="15"/>
        <v>21000</v>
      </c>
      <c r="AY11" s="33"/>
      <c r="AZ11" s="30"/>
      <c r="BA11" s="2">
        <f t="shared" si="16"/>
        <v>0</v>
      </c>
      <c r="BB11" s="33"/>
      <c r="BC11" s="30">
        <v>3</v>
      </c>
      <c r="BD11" s="2">
        <f t="shared" si="17"/>
        <v>21000</v>
      </c>
      <c r="BE11" s="33"/>
      <c r="BF11" s="30">
        <v>3</v>
      </c>
      <c r="BG11" s="2">
        <f t="shared" si="18"/>
        <v>21000</v>
      </c>
      <c r="BH11" s="33"/>
      <c r="BI11" s="30">
        <v>2</v>
      </c>
      <c r="BJ11" s="2">
        <f t="shared" si="19"/>
        <v>14000</v>
      </c>
      <c r="BK11" s="33"/>
      <c r="BL11" s="30">
        <v>1</v>
      </c>
      <c r="BM11" s="2">
        <f t="shared" si="20"/>
        <v>7000</v>
      </c>
      <c r="BN11" s="33"/>
      <c r="BO11" s="30">
        <v>2</v>
      </c>
      <c r="BP11" s="2">
        <f t="shared" si="21"/>
        <v>14000</v>
      </c>
      <c r="BQ11" s="33"/>
      <c r="BR11" s="30"/>
      <c r="BS11" s="2">
        <f t="shared" si="22"/>
        <v>0</v>
      </c>
      <c r="BT11" s="70">
        <f t="shared" si="23"/>
        <v>0</v>
      </c>
      <c r="BU11" s="67">
        <f t="shared" si="23"/>
        <v>11</v>
      </c>
      <c r="BV11" s="51">
        <f t="shared" si="23"/>
        <v>77000</v>
      </c>
      <c r="BW11" s="33"/>
      <c r="BX11" s="30"/>
      <c r="BY11" s="2">
        <f t="shared" si="24"/>
        <v>0</v>
      </c>
      <c r="BZ11" s="33"/>
      <c r="CA11" s="30">
        <v>1</v>
      </c>
      <c r="CB11" s="2">
        <f t="shared" si="25"/>
        <v>7000</v>
      </c>
      <c r="CC11" s="33"/>
      <c r="CD11" s="30">
        <v>2</v>
      </c>
      <c r="CE11" s="2">
        <f t="shared" si="26"/>
        <v>14000</v>
      </c>
      <c r="CF11" s="33"/>
      <c r="CG11" s="30"/>
      <c r="CH11" s="2">
        <f t="shared" si="27"/>
        <v>0</v>
      </c>
      <c r="CI11" s="33"/>
      <c r="CJ11" s="30"/>
      <c r="CK11" s="2">
        <f t="shared" si="28"/>
        <v>0</v>
      </c>
      <c r="CL11" s="33"/>
      <c r="CM11" s="30">
        <v>2</v>
      </c>
      <c r="CN11" s="2">
        <f t="shared" si="29"/>
        <v>14000</v>
      </c>
      <c r="CO11" s="33"/>
      <c r="CP11" s="30">
        <v>2</v>
      </c>
      <c r="CQ11" s="2">
        <f t="shared" si="30"/>
        <v>14000</v>
      </c>
      <c r="CR11" s="70">
        <f t="shared" si="31"/>
        <v>0</v>
      </c>
      <c r="CS11" s="67">
        <f t="shared" si="31"/>
        <v>7</v>
      </c>
      <c r="CT11" s="51">
        <f t="shared" si="31"/>
        <v>49000</v>
      </c>
      <c r="CU11" s="33"/>
      <c r="CV11" s="30">
        <v>1</v>
      </c>
      <c r="CW11" s="2">
        <f t="shared" si="32"/>
        <v>7000</v>
      </c>
      <c r="CX11" s="33"/>
      <c r="CY11" s="30">
        <v>2</v>
      </c>
      <c r="CZ11" s="2">
        <f t="shared" si="33"/>
        <v>14000</v>
      </c>
      <c r="DA11" s="33"/>
      <c r="DB11" s="30">
        <v>3</v>
      </c>
      <c r="DC11" s="2">
        <f t="shared" si="34"/>
        <v>21000</v>
      </c>
      <c r="DD11" s="33"/>
      <c r="DE11" s="30">
        <v>2</v>
      </c>
      <c r="DF11" s="2">
        <f t="shared" si="35"/>
        <v>14000</v>
      </c>
      <c r="DG11" s="33"/>
      <c r="DH11" s="30"/>
      <c r="DI11" s="2">
        <f t="shared" si="36"/>
        <v>0</v>
      </c>
      <c r="DJ11" s="33"/>
      <c r="DK11" s="30"/>
      <c r="DL11" s="2">
        <f t="shared" si="37"/>
        <v>0</v>
      </c>
      <c r="DM11" s="33"/>
      <c r="DN11" s="30"/>
      <c r="DO11" s="2">
        <f t="shared" si="38"/>
        <v>0</v>
      </c>
      <c r="DP11" s="70">
        <f t="shared" si="39"/>
        <v>0</v>
      </c>
      <c r="DQ11" s="67">
        <f t="shared" si="39"/>
        <v>8</v>
      </c>
      <c r="DR11" s="51">
        <f t="shared" si="39"/>
        <v>56000</v>
      </c>
      <c r="DS11" s="52">
        <f t="shared" si="40"/>
        <v>300000</v>
      </c>
      <c r="DT11" s="53">
        <f t="shared" si="41"/>
        <v>31</v>
      </c>
      <c r="DU11" s="54">
        <f t="shared" si="41"/>
        <v>217000</v>
      </c>
    </row>
    <row r="12" spans="1:125" s="26" customFormat="1" ht="17.100000000000001" customHeight="1" thickBot="1" x14ac:dyDescent="0.25">
      <c r="A12" s="27" t="s">
        <v>30</v>
      </c>
      <c r="B12" s="19">
        <v>7000</v>
      </c>
      <c r="C12" s="29"/>
      <c r="D12" s="30"/>
      <c r="E12" s="2">
        <f t="shared" si="0"/>
        <v>0</v>
      </c>
      <c r="F12" s="29"/>
      <c r="G12" s="30"/>
      <c r="H12" s="2">
        <f t="shared" si="1"/>
        <v>0</v>
      </c>
      <c r="I12" s="29"/>
      <c r="J12" s="30"/>
      <c r="K12" s="2">
        <f t="shared" si="2"/>
        <v>0</v>
      </c>
      <c r="L12" s="33"/>
      <c r="M12" s="30"/>
      <c r="N12" s="2">
        <f t="shared" si="3"/>
        <v>0</v>
      </c>
      <c r="O12" s="31"/>
      <c r="P12" s="30"/>
      <c r="Q12" s="2">
        <f t="shared" si="4"/>
        <v>0</v>
      </c>
      <c r="R12" s="31"/>
      <c r="S12" s="30"/>
      <c r="T12" s="2">
        <f t="shared" si="5"/>
        <v>0</v>
      </c>
      <c r="U12" s="33"/>
      <c r="V12" s="30"/>
      <c r="W12" s="64">
        <f t="shared" si="6"/>
        <v>0</v>
      </c>
      <c r="X12" s="70">
        <f t="shared" si="7"/>
        <v>0</v>
      </c>
      <c r="Y12" s="67">
        <f t="shared" si="7"/>
        <v>0</v>
      </c>
      <c r="Z12" s="73">
        <f t="shared" si="7"/>
        <v>0</v>
      </c>
      <c r="AA12" s="35"/>
      <c r="AB12" s="30"/>
      <c r="AC12" s="2">
        <f t="shared" si="8"/>
        <v>0</v>
      </c>
      <c r="AD12" s="33"/>
      <c r="AE12" s="30"/>
      <c r="AF12" s="2">
        <f t="shared" si="9"/>
        <v>0</v>
      </c>
      <c r="AG12" s="33"/>
      <c r="AH12" s="30"/>
      <c r="AI12" s="2">
        <f t="shared" si="10"/>
        <v>0</v>
      </c>
      <c r="AJ12" s="33"/>
      <c r="AK12" s="30"/>
      <c r="AL12" s="2">
        <f t="shared" si="11"/>
        <v>0</v>
      </c>
      <c r="AM12" s="33"/>
      <c r="AN12" s="30"/>
      <c r="AO12" s="2">
        <f t="shared" si="12"/>
        <v>0</v>
      </c>
      <c r="AP12" s="33"/>
      <c r="AQ12" s="30"/>
      <c r="AR12" s="2">
        <f t="shared" si="13"/>
        <v>0</v>
      </c>
      <c r="AS12" s="33"/>
      <c r="AT12" s="30"/>
      <c r="AU12" s="2">
        <f t="shared" si="14"/>
        <v>0</v>
      </c>
      <c r="AV12" s="70">
        <f t="shared" si="15"/>
        <v>0</v>
      </c>
      <c r="AW12" s="67">
        <f t="shared" si="15"/>
        <v>0</v>
      </c>
      <c r="AX12" s="51">
        <f t="shared" si="15"/>
        <v>0</v>
      </c>
      <c r="AY12" s="33"/>
      <c r="AZ12" s="30"/>
      <c r="BA12" s="2">
        <f t="shared" si="16"/>
        <v>0</v>
      </c>
      <c r="BB12" s="33"/>
      <c r="BC12" s="30"/>
      <c r="BD12" s="2">
        <f t="shared" si="17"/>
        <v>0</v>
      </c>
      <c r="BE12" s="33"/>
      <c r="BF12" s="30">
        <v>1</v>
      </c>
      <c r="BG12" s="2">
        <f t="shared" si="18"/>
        <v>7000</v>
      </c>
      <c r="BH12" s="33"/>
      <c r="BI12" s="30">
        <v>1</v>
      </c>
      <c r="BJ12" s="2">
        <f t="shared" si="19"/>
        <v>7000</v>
      </c>
      <c r="BK12" s="33"/>
      <c r="BL12" s="30"/>
      <c r="BM12" s="2">
        <f t="shared" si="20"/>
        <v>0</v>
      </c>
      <c r="BN12" s="33"/>
      <c r="BO12" s="30"/>
      <c r="BP12" s="2">
        <f t="shared" si="21"/>
        <v>0</v>
      </c>
      <c r="BQ12" s="33"/>
      <c r="BR12" s="30"/>
      <c r="BS12" s="2">
        <f t="shared" si="22"/>
        <v>0</v>
      </c>
      <c r="BT12" s="70">
        <f t="shared" si="23"/>
        <v>0</v>
      </c>
      <c r="BU12" s="67">
        <f t="shared" si="23"/>
        <v>2</v>
      </c>
      <c r="BV12" s="51">
        <f t="shared" si="23"/>
        <v>14000</v>
      </c>
      <c r="BW12" s="33"/>
      <c r="BX12" s="30"/>
      <c r="BY12" s="2">
        <f t="shared" si="24"/>
        <v>0</v>
      </c>
      <c r="BZ12" s="33"/>
      <c r="CA12" s="30">
        <v>1</v>
      </c>
      <c r="CB12" s="2">
        <f t="shared" si="25"/>
        <v>7000</v>
      </c>
      <c r="CC12" s="33"/>
      <c r="CD12" s="30"/>
      <c r="CE12" s="2">
        <f t="shared" si="26"/>
        <v>0</v>
      </c>
      <c r="CF12" s="33"/>
      <c r="CG12" s="30"/>
      <c r="CH12" s="2">
        <f t="shared" si="27"/>
        <v>0</v>
      </c>
      <c r="CI12" s="33"/>
      <c r="CJ12" s="30">
        <v>1</v>
      </c>
      <c r="CK12" s="2">
        <f t="shared" si="28"/>
        <v>7000</v>
      </c>
      <c r="CL12" s="33"/>
      <c r="CM12" s="30"/>
      <c r="CN12" s="2">
        <f t="shared" si="29"/>
        <v>0</v>
      </c>
      <c r="CO12" s="33">
        <v>30000</v>
      </c>
      <c r="CP12" s="30"/>
      <c r="CQ12" s="2">
        <f t="shared" si="30"/>
        <v>0</v>
      </c>
      <c r="CR12" s="70">
        <f t="shared" si="31"/>
        <v>30000</v>
      </c>
      <c r="CS12" s="67">
        <f t="shared" si="31"/>
        <v>2</v>
      </c>
      <c r="CT12" s="51">
        <f t="shared" si="31"/>
        <v>14000</v>
      </c>
      <c r="CU12" s="33"/>
      <c r="CV12" s="30"/>
      <c r="CW12" s="2">
        <f t="shared" si="32"/>
        <v>0</v>
      </c>
      <c r="CX12" s="33"/>
      <c r="CY12" s="30">
        <v>1</v>
      </c>
      <c r="CZ12" s="2">
        <f t="shared" si="33"/>
        <v>7000</v>
      </c>
      <c r="DA12" s="33"/>
      <c r="DB12" s="30">
        <v>2</v>
      </c>
      <c r="DC12" s="2">
        <f t="shared" si="34"/>
        <v>14000</v>
      </c>
      <c r="DD12" s="33"/>
      <c r="DE12" s="30"/>
      <c r="DF12" s="2">
        <f t="shared" si="35"/>
        <v>0</v>
      </c>
      <c r="DG12" s="33">
        <v>20000</v>
      </c>
      <c r="DH12" s="30"/>
      <c r="DI12" s="2">
        <f t="shared" si="36"/>
        <v>0</v>
      </c>
      <c r="DJ12" s="33"/>
      <c r="DK12" s="30"/>
      <c r="DL12" s="2">
        <f t="shared" si="37"/>
        <v>0</v>
      </c>
      <c r="DM12" s="33"/>
      <c r="DN12" s="30"/>
      <c r="DO12" s="2">
        <f t="shared" si="38"/>
        <v>0</v>
      </c>
      <c r="DP12" s="70">
        <f t="shared" si="39"/>
        <v>20000</v>
      </c>
      <c r="DQ12" s="67">
        <f t="shared" si="39"/>
        <v>3</v>
      </c>
      <c r="DR12" s="51">
        <f t="shared" si="39"/>
        <v>21000</v>
      </c>
      <c r="DS12" s="52">
        <f t="shared" si="40"/>
        <v>50000</v>
      </c>
      <c r="DT12" s="53">
        <f t="shared" si="41"/>
        <v>7</v>
      </c>
      <c r="DU12" s="54">
        <f t="shared" si="41"/>
        <v>49000</v>
      </c>
    </row>
    <row r="13" spans="1:125" s="26" customFormat="1" ht="17.100000000000001" customHeight="1" thickBot="1" x14ac:dyDescent="0.25">
      <c r="A13" s="27" t="s">
        <v>31</v>
      </c>
      <c r="B13" s="19">
        <v>7000</v>
      </c>
      <c r="C13" s="29"/>
      <c r="D13" s="30"/>
      <c r="E13" s="2">
        <f t="shared" si="0"/>
        <v>0</v>
      </c>
      <c r="F13" s="29"/>
      <c r="G13" s="30"/>
      <c r="H13" s="2">
        <f t="shared" si="1"/>
        <v>0</v>
      </c>
      <c r="I13" s="29"/>
      <c r="J13" s="30"/>
      <c r="K13" s="2">
        <f t="shared" si="2"/>
        <v>0</v>
      </c>
      <c r="L13" s="31"/>
      <c r="M13" s="30"/>
      <c r="N13" s="2">
        <f t="shared" si="3"/>
        <v>0</v>
      </c>
      <c r="O13" s="31"/>
      <c r="P13" s="30"/>
      <c r="Q13" s="2">
        <f t="shared" si="4"/>
        <v>0</v>
      </c>
      <c r="R13" s="31"/>
      <c r="S13" s="30"/>
      <c r="T13" s="2">
        <f t="shared" si="5"/>
        <v>0</v>
      </c>
      <c r="U13" s="33"/>
      <c r="V13" s="30"/>
      <c r="W13" s="64">
        <f t="shared" si="6"/>
        <v>0</v>
      </c>
      <c r="X13" s="70">
        <f t="shared" si="7"/>
        <v>0</v>
      </c>
      <c r="Y13" s="67">
        <f t="shared" si="7"/>
        <v>0</v>
      </c>
      <c r="Z13" s="73">
        <f t="shared" si="7"/>
        <v>0</v>
      </c>
      <c r="AA13" s="35"/>
      <c r="AB13" s="30"/>
      <c r="AC13" s="2">
        <f t="shared" si="8"/>
        <v>0</v>
      </c>
      <c r="AD13" s="33"/>
      <c r="AE13" s="30"/>
      <c r="AF13" s="2">
        <f t="shared" si="9"/>
        <v>0</v>
      </c>
      <c r="AG13" s="33"/>
      <c r="AH13" s="30"/>
      <c r="AI13" s="2">
        <f t="shared" si="10"/>
        <v>0</v>
      </c>
      <c r="AJ13" s="33"/>
      <c r="AK13" s="30"/>
      <c r="AL13" s="2">
        <f t="shared" si="11"/>
        <v>0</v>
      </c>
      <c r="AM13" s="33"/>
      <c r="AN13" s="30"/>
      <c r="AO13" s="2">
        <f t="shared" si="12"/>
        <v>0</v>
      </c>
      <c r="AP13" s="33"/>
      <c r="AQ13" s="30"/>
      <c r="AR13" s="2">
        <f t="shared" si="13"/>
        <v>0</v>
      </c>
      <c r="AS13" s="33"/>
      <c r="AT13" s="30"/>
      <c r="AU13" s="2">
        <f t="shared" si="14"/>
        <v>0</v>
      </c>
      <c r="AV13" s="70">
        <f t="shared" si="15"/>
        <v>0</v>
      </c>
      <c r="AW13" s="67">
        <f t="shared" si="15"/>
        <v>0</v>
      </c>
      <c r="AX13" s="51">
        <f t="shared" si="15"/>
        <v>0</v>
      </c>
      <c r="AY13" s="33"/>
      <c r="AZ13" s="30"/>
      <c r="BA13" s="2">
        <f t="shared" si="16"/>
        <v>0</v>
      </c>
      <c r="BB13" s="33"/>
      <c r="BC13" s="30"/>
      <c r="BD13" s="2">
        <f t="shared" si="17"/>
        <v>0</v>
      </c>
      <c r="BE13" s="33"/>
      <c r="BF13" s="30"/>
      <c r="BG13" s="2">
        <f t="shared" si="18"/>
        <v>0</v>
      </c>
      <c r="BH13" s="33"/>
      <c r="BI13" s="30"/>
      <c r="BJ13" s="2">
        <f t="shared" si="19"/>
        <v>0</v>
      </c>
      <c r="BK13" s="33"/>
      <c r="BL13" s="30"/>
      <c r="BM13" s="2">
        <f t="shared" si="20"/>
        <v>0</v>
      </c>
      <c r="BN13" s="33"/>
      <c r="BO13" s="30"/>
      <c r="BP13" s="2">
        <f t="shared" si="21"/>
        <v>0</v>
      </c>
      <c r="BQ13" s="33"/>
      <c r="BR13" s="30"/>
      <c r="BS13" s="2">
        <f t="shared" si="22"/>
        <v>0</v>
      </c>
      <c r="BT13" s="70">
        <f t="shared" si="23"/>
        <v>0</v>
      </c>
      <c r="BU13" s="67">
        <f t="shared" si="23"/>
        <v>0</v>
      </c>
      <c r="BV13" s="51">
        <f t="shared" si="23"/>
        <v>0</v>
      </c>
      <c r="BW13" s="33"/>
      <c r="BX13" s="30"/>
      <c r="BY13" s="2">
        <f t="shared" si="24"/>
        <v>0</v>
      </c>
      <c r="BZ13" s="33"/>
      <c r="CA13" s="30"/>
      <c r="CB13" s="2">
        <f t="shared" si="25"/>
        <v>0</v>
      </c>
      <c r="CC13" s="33"/>
      <c r="CD13" s="30"/>
      <c r="CE13" s="2">
        <f t="shared" si="26"/>
        <v>0</v>
      </c>
      <c r="CF13" s="33"/>
      <c r="CG13" s="30"/>
      <c r="CH13" s="2">
        <f t="shared" si="27"/>
        <v>0</v>
      </c>
      <c r="CI13" s="33"/>
      <c r="CJ13" s="30"/>
      <c r="CK13" s="2">
        <f t="shared" si="28"/>
        <v>0</v>
      </c>
      <c r="CL13" s="33"/>
      <c r="CM13" s="30"/>
      <c r="CN13" s="2">
        <f t="shared" si="29"/>
        <v>0</v>
      </c>
      <c r="CO13" s="33"/>
      <c r="CP13" s="30"/>
      <c r="CQ13" s="2">
        <f t="shared" si="30"/>
        <v>0</v>
      </c>
      <c r="CR13" s="70">
        <f t="shared" si="31"/>
        <v>0</v>
      </c>
      <c r="CS13" s="67">
        <f t="shared" si="31"/>
        <v>0</v>
      </c>
      <c r="CT13" s="51">
        <f t="shared" si="31"/>
        <v>0</v>
      </c>
      <c r="CU13" s="33"/>
      <c r="CV13" s="30"/>
      <c r="CW13" s="2">
        <f t="shared" si="32"/>
        <v>0</v>
      </c>
      <c r="CX13" s="33"/>
      <c r="CY13" s="30"/>
      <c r="CZ13" s="2">
        <f t="shared" si="33"/>
        <v>0</v>
      </c>
      <c r="DA13" s="33"/>
      <c r="DB13" s="30"/>
      <c r="DC13" s="2">
        <f t="shared" si="34"/>
        <v>0</v>
      </c>
      <c r="DD13" s="33"/>
      <c r="DE13" s="30"/>
      <c r="DF13" s="2">
        <f t="shared" si="35"/>
        <v>0</v>
      </c>
      <c r="DG13" s="33"/>
      <c r="DH13" s="30"/>
      <c r="DI13" s="2">
        <f t="shared" si="36"/>
        <v>0</v>
      </c>
      <c r="DJ13" s="33"/>
      <c r="DK13" s="30"/>
      <c r="DL13" s="2">
        <f t="shared" si="37"/>
        <v>0</v>
      </c>
      <c r="DM13" s="33"/>
      <c r="DN13" s="30"/>
      <c r="DO13" s="2">
        <f t="shared" si="38"/>
        <v>0</v>
      </c>
      <c r="DP13" s="70">
        <f t="shared" si="39"/>
        <v>0</v>
      </c>
      <c r="DQ13" s="67">
        <f t="shared" si="39"/>
        <v>0</v>
      </c>
      <c r="DR13" s="51">
        <f t="shared" si="39"/>
        <v>0</v>
      </c>
      <c r="DS13" s="52">
        <f t="shared" si="40"/>
        <v>0</v>
      </c>
      <c r="DT13" s="53">
        <f t="shared" si="41"/>
        <v>0</v>
      </c>
      <c r="DU13" s="54">
        <f t="shared" si="41"/>
        <v>0</v>
      </c>
    </row>
    <row r="14" spans="1:125" s="26" customFormat="1" ht="17.100000000000001" customHeight="1" thickBot="1" x14ac:dyDescent="0.25">
      <c r="A14" s="27" t="s">
        <v>32</v>
      </c>
      <c r="B14" s="19">
        <v>7000</v>
      </c>
      <c r="C14" s="29"/>
      <c r="D14" s="30"/>
      <c r="E14" s="2">
        <f t="shared" si="0"/>
        <v>0</v>
      </c>
      <c r="F14" s="29"/>
      <c r="G14" s="30"/>
      <c r="H14" s="2">
        <f t="shared" si="1"/>
        <v>0</v>
      </c>
      <c r="I14" s="29"/>
      <c r="J14" s="30"/>
      <c r="K14" s="2">
        <f t="shared" si="2"/>
        <v>0</v>
      </c>
      <c r="L14" s="31"/>
      <c r="M14" s="30">
        <v>2</v>
      </c>
      <c r="N14" s="2">
        <f t="shared" si="3"/>
        <v>14000</v>
      </c>
      <c r="O14" s="31"/>
      <c r="P14" s="30"/>
      <c r="Q14" s="2">
        <f t="shared" si="4"/>
        <v>0</v>
      </c>
      <c r="R14" s="31"/>
      <c r="S14" s="30"/>
      <c r="T14" s="2">
        <f t="shared" si="5"/>
        <v>0</v>
      </c>
      <c r="U14" s="33"/>
      <c r="V14" s="30"/>
      <c r="W14" s="64">
        <f t="shared" si="6"/>
        <v>0</v>
      </c>
      <c r="X14" s="70">
        <f t="shared" si="7"/>
        <v>0</v>
      </c>
      <c r="Y14" s="67">
        <f t="shared" si="7"/>
        <v>2</v>
      </c>
      <c r="Z14" s="73">
        <f t="shared" si="7"/>
        <v>14000</v>
      </c>
      <c r="AA14" s="35"/>
      <c r="AB14" s="30"/>
      <c r="AC14" s="2">
        <f t="shared" si="8"/>
        <v>0</v>
      </c>
      <c r="AD14" s="33"/>
      <c r="AE14" s="30">
        <v>1</v>
      </c>
      <c r="AF14" s="2">
        <f t="shared" si="9"/>
        <v>7000</v>
      </c>
      <c r="AG14" s="33"/>
      <c r="AH14" s="30">
        <v>2</v>
      </c>
      <c r="AI14" s="2">
        <f t="shared" si="10"/>
        <v>14000</v>
      </c>
      <c r="AJ14" s="33"/>
      <c r="AK14" s="30"/>
      <c r="AL14" s="2">
        <f t="shared" si="11"/>
        <v>0</v>
      </c>
      <c r="AM14" s="33"/>
      <c r="AN14" s="30"/>
      <c r="AO14" s="2">
        <f t="shared" si="12"/>
        <v>0</v>
      </c>
      <c r="AP14" s="33"/>
      <c r="AQ14" s="30"/>
      <c r="AR14" s="2">
        <f t="shared" si="13"/>
        <v>0</v>
      </c>
      <c r="AS14" s="33"/>
      <c r="AT14" s="30"/>
      <c r="AU14" s="2">
        <f t="shared" si="14"/>
        <v>0</v>
      </c>
      <c r="AV14" s="70">
        <f t="shared" si="15"/>
        <v>0</v>
      </c>
      <c r="AW14" s="67">
        <f t="shared" si="15"/>
        <v>3</v>
      </c>
      <c r="AX14" s="51">
        <f t="shared" si="15"/>
        <v>21000</v>
      </c>
      <c r="AY14" s="33"/>
      <c r="AZ14" s="30">
        <v>1</v>
      </c>
      <c r="BA14" s="2">
        <f t="shared" si="16"/>
        <v>7000</v>
      </c>
      <c r="BB14" s="33"/>
      <c r="BC14" s="30">
        <v>3</v>
      </c>
      <c r="BD14" s="2">
        <f t="shared" si="17"/>
        <v>21000</v>
      </c>
      <c r="BE14" s="33"/>
      <c r="BF14" s="30">
        <v>3</v>
      </c>
      <c r="BG14" s="2">
        <f t="shared" si="18"/>
        <v>21000</v>
      </c>
      <c r="BH14" s="33"/>
      <c r="BI14" s="30">
        <v>2</v>
      </c>
      <c r="BJ14" s="2">
        <f t="shared" si="19"/>
        <v>14000</v>
      </c>
      <c r="BK14" s="33"/>
      <c r="BL14" s="30">
        <v>1</v>
      </c>
      <c r="BM14" s="2">
        <f t="shared" si="20"/>
        <v>7000</v>
      </c>
      <c r="BN14" s="33"/>
      <c r="BO14" s="30">
        <v>2</v>
      </c>
      <c r="BP14" s="2">
        <f t="shared" si="21"/>
        <v>14000</v>
      </c>
      <c r="BQ14" s="33"/>
      <c r="BR14" s="30">
        <v>2</v>
      </c>
      <c r="BS14" s="2">
        <f t="shared" si="22"/>
        <v>14000</v>
      </c>
      <c r="BT14" s="70">
        <f t="shared" si="23"/>
        <v>0</v>
      </c>
      <c r="BU14" s="67">
        <f t="shared" si="23"/>
        <v>14</v>
      </c>
      <c r="BV14" s="51">
        <f t="shared" si="23"/>
        <v>98000</v>
      </c>
      <c r="BW14" s="33"/>
      <c r="BX14" s="30">
        <v>1</v>
      </c>
      <c r="BY14" s="2">
        <f t="shared" si="24"/>
        <v>7000</v>
      </c>
      <c r="BZ14" s="33"/>
      <c r="CA14" s="30">
        <v>2</v>
      </c>
      <c r="CB14" s="2">
        <f t="shared" si="25"/>
        <v>14000</v>
      </c>
      <c r="CC14" s="33"/>
      <c r="CD14" s="30">
        <v>2</v>
      </c>
      <c r="CE14" s="2">
        <f t="shared" si="26"/>
        <v>14000</v>
      </c>
      <c r="CF14" s="33"/>
      <c r="CG14" s="30">
        <v>1</v>
      </c>
      <c r="CH14" s="2">
        <f t="shared" si="27"/>
        <v>7000</v>
      </c>
      <c r="CI14" s="33"/>
      <c r="CJ14" s="30"/>
      <c r="CK14" s="2">
        <f t="shared" si="28"/>
        <v>0</v>
      </c>
      <c r="CL14" s="33"/>
      <c r="CM14" s="30">
        <v>2</v>
      </c>
      <c r="CN14" s="2">
        <f t="shared" si="29"/>
        <v>14000</v>
      </c>
      <c r="CO14" s="33"/>
      <c r="CP14" s="30">
        <v>2</v>
      </c>
      <c r="CQ14" s="2">
        <f t="shared" si="30"/>
        <v>14000</v>
      </c>
      <c r="CR14" s="70">
        <f t="shared" si="31"/>
        <v>0</v>
      </c>
      <c r="CS14" s="67">
        <f t="shared" si="31"/>
        <v>10</v>
      </c>
      <c r="CT14" s="51">
        <f t="shared" si="31"/>
        <v>70000</v>
      </c>
      <c r="CU14" s="33"/>
      <c r="CV14" s="30">
        <v>1</v>
      </c>
      <c r="CW14" s="2">
        <f t="shared" si="32"/>
        <v>7000</v>
      </c>
      <c r="CX14" s="33"/>
      <c r="CY14" s="30">
        <v>2</v>
      </c>
      <c r="CZ14" s="2">
        <f t="shared" si="33"/>
        <v>14000</v>
      </c>
      <c r="DA14" s="33"/>
      <c r="DB14" s="30">
        <v>3</v>
      </c>
      <c r="DC14" s="2">
        <f t="shared" si="34"/>
        <v>21000</v>
      </c>
      <c r="DD14" s="33"/>
      <c r="DE14" s="30">
        <v>2</v>
      </c>
      <c r="DF14" s="2">
        <f t="shared" si="35"/>
        <v>14000</v>
      </c>
      <c r="DG14" s="33">
        <v>30000</v>
      </c>
      <c r="DH14" s="30">
        <v>1</v>
      </c>
      <c r="DI14" s="2">
        <f t="shared" si="36"/>
        <v>7000</v>
      </c>
      <c r="DJ14" s="33"/>
      <c r="DK14" s="30"/>
      <c r="DL14" s="2">
        <f t="shared" si="37"/>
        <v>0</v>
      </c>
      <c r="DM14" s="33"/>
      <c r="DN14" s="30"/>
      <c r="DO14" s="2">
        <f t="shared" si="38"/>
        <v>0</v>
      </c>
      <c r="DP14" s="70">
        <f t="shared" si="39"/>
        <v>30000</v>
      </c>
      <c r="DQ14" s="67">
        <f t="shared" si="39"/>
        <v>9</v>
      </c>
      <c r="DR14" s="51">
        <f t="shared" si="39"/>
        <v>63000</v>
      </c>
      <c r="DS14" s="52">
        <f t="shared" si="40"/>
        <v>30000</v>
      </c>
      <c r="DT14" s="53">
        <f t="shared" si="41"/>
        <v>38</v>
      </c>
      <c r="DU14" s="54">
        <f t="shared" si="41"/>
        <v>266000</v>
      </c>
    </row>
    <row r="15" spans="1:125" s="26" customFormat="1" ht="17.100000000000001" customHeight="1" thickBot="1" x14ac:dyDescent="0.25">
      <c r="A15" s="27" t="s">
        <v>36</v>
      </c>
      <c r="B15" s="19">
        <v>7000</v>
      </c>
      <c r="C15" s="29"/>
      <c r="D15" s="30"/>
      <c r="E15" s="2">
        <f t="shared" si="0"/>
        <v>0</v>
      </c>
      <c r="F15" s="29"/>
      <c r="G15" s="30"/>
      <c r="H15" s="2">
        <f t="shared" si="1"/>
        <v>0</v>
      </c>
      <c r="I15" s="29"/>
      <c r="J15" s="30"/>
      <c r="K15" s="2">
        <f t="shared" si="2"/>
        <v>0</v>
      </c>
      <c r="L15" s="31"/>
      <c r="M15" s="30"/>
      <c r="N15" s="2">
        <f t="shared" si="3"/>
        <v>0</v>
      </c>
      <c r="O15" s="31"/>
      <c r="P15" s="30"/>
      <c r="Q15" s="2">
        <f t="shared" si="4"/>
        <v>0</v>
      </c>
      <c r="R15" s="31"/>
      <c r="S15" s="30"/>
      <c r="T15" s="2">
        <f t="shared" si="5"/>
        <v>0</v>
      </c>
      <c r="U15" s="33"/>
      <c r="V15" s="30"/>
      <c r="W15" s="64">
        <f t="shared" si="6"/>
        <v>0</v>
      </c>
      <c r="X15" s="70">
        <f t="shared" si="7"/>
        <v>0</v>
      </c>
      <c r="Y15" s="67">
        <f t="shared" si="7"/>
        <v>0</v>
      </c>
      <c r="Z15" s="73">
        <f t="shared" si="7"/>
        <v>0</v>
      </c>
      <c r="AA15" s="35"/>
      <c r="AB15" s="30"/>
      <c r="AC15" s="2">
        <f t="shared" si="8"/>
        <v>0</v>
      </c>
      <c r="AD15" s="33"/>
      <c r="AE15" s="30">
        <v>1</v>
      </c>
      <c r="AF15" s="2">
        <f t="shared" si="9"/>
        <v>7000</v>
      </c>
      <c r="AG15" s="33"/>
      <c r="AH15" s="30">
        <v>2</v>
      </c>
      <c r="AI15" s="2">
        <f t="shared" si="10"/>
        <v>14000</v>
      </c>
      <c r="AJ15" s="33"/>
      <c r="AK15" s="30"/>
      <c r="AL15" s="2">
        <f t="shared" si="11"/>
        <v>0</v>
      </c>
      <c r="AM15" s="33"/>
      <c r="AN15" s="30"/>
      <c r="AO15" s="2">
        <f t="shared" si="12"/>
        <v>0</v>
      </c>
      <c r="AP15" s="33"/>
      <c r="AQ15" s="30"/>
      <c r="AR15" s="2">
        <f t="shared" si="13"/>
        <v>0</v>
      </c>
      <c r="AS15" s="33"/>
      <c r="AT15" s="30"/>
      <c r="AU15" s="2">
        <f t="shared" si="14"/>
        <v>0</v>
      </c>
      <c r="AV15" s="70">
        <f t="shared" si="15"/>
        <v>0</v>
      </c>
      <c r="AW15" s="67">
        <f t="shared" si="15"/>
        <v>3</v>
      </c>
      <c r="AX15" s="51">
        <f t="shared" si="15"/>
        <v>21000</v>
      </c>
      <c r="AY15" s="33"/>
      <c r="AZ15" s="30"/>
      <c r="BA15" s="2">
        <f t="shared" si="16"/>
        <v>0</v>
      </c>
      <c r="BB15" s="33"/>
      <c r="BC15" s="30">
        <v>3</v>
      </c>
      <c r="BD15" s="2">
        <f t="shared" si="17"/>
        <v>21000</v>
      </c>
      <c r="BE15" s="33"/>
      <c r="BF15" s="30">
        <v>3</v>
      </c>
      <c r="BG15" s="2">
        <f t="shared" si="18"/>
        <v>21000</v>
      </c>
      <c r="BH15" s="33"/>
      <c r="BI15" s="30"/>
      <c r="BJ15" s="2">
        <f t="shared" si="19"/>
        <v>0</v>
      </c>
      <c r="BK15" s="33"/>
      <c r="BL15" s="30">
        <v>1</v>
      </c>
      <c r="BM15" s="2">
        <f t="shared" si="20"/>
        <v>7000</v>
      </c>
      <c r="BN15" s="33"/>
      <c r="BO15" s="30">
        <v>2</v>
      </c>
      <c r="BP15" s="2">
        <f t="shared" si="21"/>
        <v>14000</v>
      </c>
      <c r="BQ15" s="33"/>
      <c r="BR15" s="30">
        <v>2</v>
      </c>
      <c r="BS15" s="2">
        <f t="shared" si="22"/>
        <v>14000</v>
      </c>
      <c r="BT15" s="70">
        <f t="shared" si="23"/>
        <v>0</v>
      </c>
      <c r="BU15" s="67">
        <f t="shared" si="23"/>
        <v>11</v>
      </c>
      <c r="BV15" s="51">
        <f t="shared" si="23"/>
        <v>77000</v>
      </c>
      <c r="BW15" s="33"/>
      <c r="BX15" s="30"/>
      <c r="BY15" s="2">
        <f t="shared" si="24"/>
        <v>0</v>
      </c>
      <c r="BZ15" s="33"/>
      <c r="CA15" s="30">
        <v>1</v>
      </c>
      <c r="CB15" s="2">
        <f t="shared" si="25"/>
        <v>7000</v>
      </c>
      <c r="CC15" s="33"/>
      <c r="CD15" s="30">
        <v>2</v>
      </c>
      <c r="CE15" s="2">
        <f t="shared" si="26"/>
        <v>14000</v>
      </c>
      <c r="CF15" s="33"/>
      <c r="CG15" s="30">
        <v>1</v>
      </c>
      <c r="CH15" s="2">
        <f t="shared" si="27"/>
        <v>7000</v>
      </c>
      <c r="CI15" s="33"/>
      <c r="CJ15" s="30"/>
      <c r="CK15" s="2">
        <f t="shared" si="28"/>
        <v>0</v>
      </c>
      <c r="CL15" s="33"/>
      <c r="CM15" s="30"/>
      <c r="CN15" s="2">
        <f t="shared" si="29"/>
        <v>0</v>
      </c>
      <c r="CO15" s="33"/>
      <c r="CP15" s="30">
        <v>2</v>
      </c>
      <c r="CQ15" s="2">
        <f t="shared" si="30"/>
        <v>14000</v>
      </c>
      <c r="CR15" s="70">
        <f t="shared" si="31"/>
        <v>0</v>
      </c>
      <c r="CS15" s="67">
        <f t="shared" si="31"/>
        <v>6</v>
      </c>
      <c r="CT15" s="51">
        <f t="shared" si="31"/>
        <v>42000</v>
      </c>
      <c r="CU15" s="33"/>
      <c r="CV15" s="30">
        <v>1</v>
      </c>
      <c r="CW15" s="2">
        <f t="shared" si="32"/>
        <v>7000</v>
      </c>
      <c r="CX15" s="33"/>
      <c r="CY15" s="30">
        <v>2</v>
      </c>
      <c r="CZ15" s="2">
        <f t="shared" si="33"/>
        <v>14000</v>
      </c>
      <c r="DA15" s="33"/>
      <c r="DB15" s="30">
        <v>3</v>
      </c>
      <c r="DC15" s="2">
        <f t="shared" si="34"/>
        <v>21000</v>
      </c>
      <c r="DD15" s="33"/>
      <c r="DE15" s="30"/>
      <c r="DF15" s="2">
        <f t="shared" si="35"/>
        <v>0</v>
      </c>
      <c r="DG15" s="33"/>
      <c r="DH15" s="30"/>
      <c r="DI15" s="2">
        <f t="shared" si="36"/>
        <v>0</v>
      </c>
      <c r="DJ15" s="33"/>
      <c r="DK15" s="30">
        <v>1</v>
      </c>
      <c r="DL15" s="2">
        <f t="shared" si="37"/>
        <v>7000</v>
      </c>
      <c r="DM15" s="33"/>
      <c r="DN15" s="30"/>
      <c r="DO15" s="2">
        <f t="shared" si="38"/>
        <v>0</v>
      </c>
      <c r="DP15" s="70">
        <f t="shared" si="39"/>
        <v>0</v>
      </c>
      <c r="DQ15" s="67">
        <f t="shared" si="39"/>
        <v>7</v>
      </c>
      <c r="DR15" s="51">
        <f t="shared" si="39"/>
        <v>49000</v>
      </c>
      <c r="DS15" s="52">
        <f t="shared" si="40"/>
        <v>0</v>
      </c>
      <c r="DT15" s="53">
        <f t="shared" si="41"/>
        <v>27</v>
      </c>
      <c r="DU15" s="54">
        <f t="shared" si="41"/>
        <v>189000</v>
      </c>
    </row>
    <row r="16" spans="1:125" s="26" customFormat="1" ht="17.100000000000001" customHeight="1" thickBot="1" x14ac:dyDescent="0.25">
      <c r="A16" s="79" t="s">
        <v>33</v>
      </c>
      <c r="B16" s="114">
        <v>7000</v>
      </c>
      <c r="C16" s="81"/>
      <c r="D16" s="82"/>
      <c r="E16" s="83">
        <f t="shared" si="0"/>
        <v>0</v>
      </c>
      <c r="F16" s="81"/>
      <c r="G16" s="82"/>
      <c r="H16" s="83">
        <f t="shared" si="1"/>
        <v>0</v>
      </c>
      <c r="I16" s="81"/>
      <c r="J16" s="82"/>
      <c r="K16" s="83">
        <f t="shared" si="2"/>
        <v>0</v>
      </c>
      <c r="L16" s="84"/>
      <c r="M16" s="82"/>
      <c r="N16" s="83">
        <f t="shared" si="3"/>
        <v>0</v>
      </c>
      <c r="O16" s="84"/>
      <c r="P16" s="82"/>
      <c r="Q16" s="83">
        <f t="shared" si="4"/>
        <v>0</v>
      </c>
      <c r="R16" s="84"/>
      <c r="S16" s="82"/>
      <c r="T16" s="83">
        <f t="shared" si="5"/>
        <v>0</v>
      </c>
      <c r="U16" s="84"/>
      <c r="V16" s="82"/>
      <c r="W16" s="85">
        <f t="shared" si="6"/>
        <v>0</v>
      </c>
      <c r="X16" s="86">
        <f t="shared" si="7"/>
        <v>0</v>
      </c>
      <c r="Y16" s="87">
        <f t="shared" si="7"/>
        <v>0</v>
      </c>
      <c r="Z16" s="88">
        <f t="shared" si="7"/>
        <v>0</v>
      </c>
      <c r="AA16" s="89"/>
      <c r="AB16" s="82"/>
      <c r="AC16" s="83">
        <f t="shared" si="8"/>
        <v>0</v>
      </c>
      <c r="AD16" s="84"/>
      <c r="AE16" s="82"/>
      <c r="AF16" s="83">
        <f t="shared" si="9"/>
        <v>0</v>
      </c>
      <c r="AG16" s="84"/>
      <c r="AH16" s="82"/>
      <c r="AI16" s="83">
        <f t="shared" si="10"/>
        <v>0</v>
      </c>
      <c r="AJ16" s="84"/>
      <c r="AK16" s="82"/>
      <c r="AL16" s="83">
        <f t="shared" si="11"/>
        <v>0</v>
      </c>
      <c r="AM16" s="84"/>
      <c r="AN16" s="82"/>
      <c r="AO16" s="83">
        <f t="shared" si="12"/>
        <v>0</v>
      </c>
      <c r="AP16" s="84"/>
      <c r="AQ16" s="82"/>
      <c r="AR16" s="83">
        <f t="shared" si="13"/>
        <v>0</v>
      </c>
      <c r="AS16" s="84"/>
      <c r="AT16" s="82"/>
      <c r="AU16" s="83">
        <f t="shared" si="14"/>
        <v>0</v>
      </c>
      <c r="AV16" s="86">
        <f t="shared" si="15"/>
        <v>0</v>
      </c>
      <c r="AW16" s="87">
        <f t="shared" si="15"/>
        <v>0</v>
      </c>
      <c r="AX16" s="90">
        <f t="shared" si="15"/>
        <v>0</v>
      </c>
      <c r="AY16" s="84"/>
      <c r="AZ16" s="82"/>
      <c r="BA16" s="83">
        <f t="shared" si="16"/>
        <v>0</v>
      </c>
      <c r="BB16" s="84"/>
      <c r="BC16" s="82"/>
      <c r="BD16" s="83">
        <f t="shared" si="17"/>
        <v>0</v>
      </c>
      <c r="BE16" s="84"/>
      <c r="BF16" s="82"/>
      <c r="BG16" s="83">
        <f t="shared" si="18"/>
        <v>0</v>
      </c>
      <c r="BH16" s="84"/>
      <c r="BI16" s="82"/>
      <c r="BJ16" s="83">
        <f t="shared" si="19"/>
        <v>0</v>
      </c>
      <c r="BK16" s="84"/>
      <c r="BL16" s="82"/>
      <c r="BM16" s="83">
        <f t="shared" si="20"/>
        <v>0</v>
      </c>
      <c r="BN16" s="84"/>
      <c r="BO16" s="82"/>
      <c r="BP16" s="83">
        <f t="shared" si="21"/>
        <v>0</v>
      </c>
      <c r="BQ16" s="84"/>
      <c r="BR16" s="82"/>
      <c r="BS16" s="83">
        <f t="shared" si="22"/>
        <v>0</v>
      </c>
      <c r="BT16" s="86">
        <f t="shared" si="23"/>
        <v>0</v>
      </c>
      <c r="BU16" s="87">
        <f t="shared" si="23"/>
        <v>0</v>
      </c>
      <c r="BV16" s="90">
        <f t="shared" si="23"/>
        <v>0</v>
      </c>
      <c r="BW16" s="84"/>
      <c r="BX16" s="82"/>
      <c r="BY16" s="83">
        <f t="shared" si="24"/>
        <v>0</v>
      </c>
      <c r="BZ16" s="84"/>
      <c r="CA16" s="82"/>
      <c r="CB16" s="83">
        <f t="shared" si="25"/>
        <v>0</v>
      </c>
      <c r="CC16" s="84"/>
      <c r="CD16" s="82"/>
      <c r="CE16" s="83">
        <f t="shared" si="26"/>
        <v>0</v>
      </c>
      <c r="CF16" s="84"/>
      <c r="CG16" s="82"/>
      <c r="CH16" s="83">
        <f t="shared" si="27"/>
        <v>0</v>
      </c>
      <c r="CI16" s="84"/>
      <c r="CJ16" s="82"/>
      <c r="CK16" s="83">
        <f t="shared" si="28"/>
        <v>0</v>
      </c>
      <c r="CL16" s="84"/>
      <c r="CM16" s="82"/>
      <c r="CN16" s="83">
        <f t="shared" si="29"/>
        <v>0</v>
      </c>
      <c r="CO16" s="84"/>
      <c r="CP16" s="82"/>
      <c r="CQ16" s="83">
        <f t="shared" si="30"/>
        <v>0</v>
      </c>
      <c r="CR16" s="86">
        <f t="shared" si="31"/>
        <v>0</v>
      </c>
      <c r="CS16" s="87">
        <f t="shared" si="31"/>
        <v>0</v>
      </c>
      <c r="CT16" s="90">
        <f t="shared" si="31"/>
        <v>0</v>
      </c>
      <c r="CU16" s="84"/>
      <c r="CV16" s="82"/>
      <c r="CW16" s="83">
        <f t="shared" si="32"/>
        <v>0</v>
      </c>
      <c r="CX16" s="84"/>
      <c r="CY16" s="82"/>
      <c r="CZ16" s="83">
        <f t="shared" si="33"/>
        <v>0</v>
      </c>
      <c r="DA16" s="84"/>
      <c r="DB16" s="82"/>
      <c r="DC16" s="83">
        <f t="shared" si="34"/>
        <v>0</v>
      </c>
      <c r="DD16" s="84"/>
      <c r="DE16" s="82"/>
      <c r="DF16" s="83">
        <f t="shared" si="35"/>
        <v>0</v>
      </c>
      <c r="DG16" s="84"/>
      <c r="DH16" s="82"/>
      <c r="DI16" s="83">
        <f t="shared" si="36"/>
        <v>0</v>
      </c>
      <c r="DJ16" s="84"/>
      <c r="DK16" s="82"/>
      <c r="DL16" s="83">
        <f t="shared" si="37"/>
        <v>0</v>
      </c>
      <c r="DM16" s="84"/>
      <c r="DN16" s="82"/>
      <c r="DO16" s="83">
        <f t="shared" si="38"/>
        <v>0</v>
      </c>
      <c r="DP16" s="86">
        <f t="shared" si="39"/>
        <v>0</v>
      </c>
      <c r="DQ16" s="87">
        <f t="shared" si="39"/>
        <v>0</v>
      </c>
      <c r="DR16" s="90">
        <f t="shared" si="39"/>
        <v>0</v>
      </c>
      <c r="DS16" s="91">
        <f t="shared" si="40"/>
        <v>0</v>
      </c>
      <c r="DT16" s="92">
        <f t="shared" si="41"/>
        <v>0</v>
      </c>
      <c r="DU16" s="88">
        <f t="shared" si="41"/>
        <v>0</v>
      </c>
    </row>
    <row r="17" spans="1:125" s="26" customFormat="1" ht="17.100000000000001" customHeight="1" thickBot="1" x14ac:dyDescent="0.25">
      <c r="A17" s="27" t="s">
        <v>39</v>
      </c>
      <c r="B17" s="19">
        <v>7000</v>
      </c>
      <c r="C17" s="29"/>
      <c r="D17" s="30"/>
      <c r="E17" s="2">
        <f t="shared" si="0"/>
        <v>0</v>
      </c>
      <c r="F17" s="29"/>
      <c r="G17" s="30"/>
      <c r="H17" s="2">
        <f t="shared" si="1"/>
        <v>0</v>
      </c>
      <c r="I17" s="29"/>
      <c r="J17" s="30"/>
      <c r="K17" s="2">
        <f t="shared" si="2"/>
        <v>0</v>
      </c>
      <c r="L17" s="31"/>
      <c r="M17" s="30">
        <v>2</v>
      </c>
      <c r="N17" s="2">
        <f t="shared" si="3"/>
        <v>14000</v>
      </c>
      <c r="O17" s="31">
        <v>15000</v>
      </c>
      <c r="P17" s="30"/>
      <c r="Q17" s="2">
        <f t="shared" si="4"/>
        <v>0</v>
      </c>
      <c r="R17" s="31"/>
      <c r="S17" s="30"/>
      <c r="T17" s="2">
        <f t="shared" si="5"/>
        <v>0</v>
      </c>
      <c r="U17" s="33"/>
      <c r="V17" s="30"/>
      <c r="W17" s="64">
        <f t="shared" si="6"/>
        <v>0</v>
      </c>
      <c r="X17" s="70">
        <f t="shared" si="7"/>
        <v>15000</v>
      </c>
      <c r="Y17" s="67">
        <f t="shared" si="7"/>
        <v>2</v>
      </c>
      <c r="Z17" s="73">
        <f t="shared" si="7"/>
        <v>14000</v>
      </c>
      <c r="AA17" s="35"/>
      <c r="AB17" s="30"/>
      <c r="AC17" s="2">
        <f t="shared" si="8"/>
        <v>0</v>
      </c>
      <c r="AD17" s="33"/>
      <c r="AE17" s="30">
        <v>1</v>
      </c>
      <c r="AF17" s="2">
        <f t="shared" si="9"/>
        <v>7000</v>
      </c>
      <c r="AG17" s="33"/>
      <c r="AH17" s="30">
        <v>2</v>
      </c>
      <c r="AI17" s="2">
        <f t="shared" si="10"/>
        <v>14000</v>
      </c>
      <c r="AJ17" s="33"/>
      <c r="AK17" s="30"/>
      <c r="AL17" s="2">
        <f t="shared" si="11"/>
        <v>0</v>
      </c>
      <c r="AM17" s="33"/>
      <c r="AN17" s="30"/>
      <c r="AO17" s="2">
        <f t="shared" si="12"/>
        <v>0</v>
      </c>
      <c r="AP17" s="33"/>
      <c r="AQ17" s="30"/>
      <c r="AR17" s="2">
        <f t="shared" si="13"/>
        <v>0</v>
      </c>
      <c r="AS17" s="33"/>
      <c r="AT17" s="30"/>
      <c r="AU17" s="2">
        <f t="shared" si="14"/>
        <v>0</v>
      </c>
      <c r="AV17" s="70">
        <f t="shared" si="15"/>
        <v>0</v>
      </c>
      <c r="AW17" s="67">
        <f t="shared" si="15"/>
        <v>3</v>
      </c>
      <c r="AX17" s="51">
        <f t="shared" si="15"/>
        <v>21000</v>
      </c>
      <c r="AY17" s="33"/>
      <c r="AZ17" s="99"/>
      <c r="BA17" s="2">
        <f t="shared" si="16"/>
        <v>0</v>
      </c>
      <c r="BB17" s="33"/>
      <c r="BC17" s="99">
        <v>2.5</v>
      </c>
      <c r="BD17" s="2">
        <f t="shared" si="17"/>
        <v>17500</v>
      </c>
      <c r="BE17" s="33"/>
      <c r="BF17" s="30">
        <v>3</v>
      </c>
      <c r="BG17" s="2">
        <f t="shared" si="18"/>
        <v>21000</v>
      </c>
      <c r="BH17" s="33">
        <v>20000</v>
      </c>
      <c r="BI17" s="30">
        <v>2</v>
      </c>
      <c r="BJ17" s="2">
        <f t="shared" si="19"/>
        <v>14000</v>
      </c>
      <c r="BK17" s="33"/>
      <c r="BL17" s="30">
        <v>1</v>
      </c>
      <c r="BM17" s="2">
        <f t="shared" si="20"/>
        <v>7000</v>
      </c>
      <c r="BN17" s="33"/>
      <c r="BO17" s="30"/>
      <c r="BP17" s="2">
        <f t="shared" si="21"/>
        <v>0</v>
      </c>
      <c r="BQ17" s="33"/>
      <c r="BR17" s="30">
        <v>2</v>
      </c>
      <c r="BS17" s="2">
        <f t="shared" si="22"/>
        <v>14000</v>
      </c>
      <c r="BT17" s="70">
        <f t="shared" si="23"/>
        <v>20000</v>
      </c>
      <c r="BU17" s="100">
        <f t="shared" si="23"/>
        <v>10.5</v>
      </c>
      <c r="BV17" s="51">
        <f t="shared" si="23"/>
        <v>73500</v>
      </c>
      <c r="BW17" s="33"/>
      <c r="BX17" s="30">
        <v>1</v>
      </c>
      <c r="BY17" s="2">
        <f t="shared" si="24"/>
        <v>7000</v>
      </c>
      <c r="BZ17" s="33">
        <v>20000</v>
      </c>
      <c r="CA17" s="30">
        <v>1</v>
      </c>
      <c r="CB17" s="2">
        <f t="shared" si="25"/>
        <v>7000</v>
      </c>
      <c r="CC17" s="33"/>
      <c r="CD17" s="30">
        <v>2</v>
      </c>
      <c r="CE17" s="2">
        <f t="shared" si="26"/>
        <v>14000</v>
      </c>
      <c r="CF17" s="33"/>
      <c r="CG17" s="30">
        <v>1</v>
      </c>
      <c r="CH17" s="2">
        <f t="shared" si="27"/>
        <v>7000</v>
      </c>
      <c r="CI17" s="33">
        <v>30000</v>
      </c>
      <c r="CJ17" s="30"/>
      <c r="CK17" s="2">
        <f t="shared" si="28"/>
        <v>0</v>
      </c>
      <c r="CL17" s="33"/>
      <c r="CM17" s="30">
        <v>2</v>
      </c>
      <c r="CN17" s="2">
        <f t="shared" si="29"/>
        <v>14000</v>
      </c>
      <c r="CO17" s="33"/>
      <c r="CP17" s="30"/>
      <c r="CQ17" s="2">
        <f t="shared" si="30"/>
        <v>0</v>
      </c>
      <c r="CR17" s="70">
        <f t="shared" si="31"/>
        <v>50000</v>
      </c>
      <c r="CS17" s="67">
        <f t="shared" si="31"/>
        <v>7</v>
      </c>
      <c r="CT17" s="51">
        <f t="shared" si="31"/>
        <v>49000</v>
      </c>
      <c r="CU17" s="33"/>
      <c r="CV17" s="30">
        <v>1</v>
      </c>
      <c r="CW17" s="2">
        <f t="shared" si="32"/>
        <v>7000</v>
      </c>
      <c r="CX17" s="33"/>
      <c r="CY17" s="30">
        <v>2</v>
      </c>
      <c r="CZ17" s="2">
        <f t="shared" si="33"/>
        <v>14000</v>
      </c>
      <c r="DA17" s="33"/>
      <c r="DB17" s="99">
        <v>2.5</v>
      </c>
      <c r="DC17" s="2">
        <f t="shared" si="34"/>
        <v>17500</v>
      </c>
      <c r="DD17" s="33">
        <v>30000</v>
      </c>
      <c r="DE17" s="99">
        <v>1.5</v>
      </c>
      <c r="DF17" s="2">
        <f t="shared" si="35"/>
        <v>10500</v>
      </c>
      <c r="DG17" s="33"/>
      <c r="DH17" s="30"/>
      <c r="DI17" s="2">
        <f t="shared" si="36"/>
        <v>0</v>
      </c>
      <c r="DJ17" s="33"/>
      <c r="DK17" s="30"/>
      <c r="DL17" s="2">
        <f t="shared" si="37"/>
        <v>0</v>
      </c>
      <c r="DM17" s="33"/>
      <c r="DN17" s="30"/>
      <c r="DO17" s="2">
        <f t="shared" si="38"/>
        <v>0</v>
      </c>
      <c r="DP17" s="70">
        <f t="shared" si="39"/>
        <v>30000</v>
      </c>
      <c r="DQ17" s="67">
        <f t="shared" si="39"/>
        <v>7</v>
      </c>
      <c r="DR17" s="51">
        <f t="shared" si="39"/>
        <v>49000</v>
      </c>
      <c r="DS17" s="52">
        <v>115000</v>
      </c>
      <c r="DT17" s="107">
        <f t="shared" si="41"/>
        <v>29.5</v>
      </c>
      <c r="DU17" s="54">
        <f t="shared" si="41"/>
        <v>206500</v>
      </c>
    </row>
    <row r="18" spans="1:125" s="26" customFormat="1" ht="17.100000000000001" customHeight="1" thickBot="1" x14ac:dyDescent="0.25">
      <c r="A18" s="27" t="s">
        <v>38</v>
      </c>
      <c r="B18" s="19">
        <v>7000</v>
      </c>
      <c r="C18" s="29"/>
      <c r="D18" s="30"/>
      <c r="E18" s="2">
        <f t="shared" si="0"/>
        <v>0</v>
      </c>
      <c r="F18" s="29"/>
      <c r="G18" s="30"/>
      <c r="H18" s="2">
        <f t="shared" si="1"/>
        <v>0</v>
      </c>
      <c r="I18" s="29"/>
      <c r="J18" s="30"/>
      <c r="K18" s="2">
        <f t="shared" si="2"/>
        <v>0</v>
      </c>
      <c r="L18" s="31"/>
      <c r="M18" s="30"/>
      <c r="N18" s="2">
        <f t="shared" si="3"/>
        <v>0</v>
      </c>
      <c r="O18" s="31"/>
      <c r="P18" s="30"/>
      <c r="Q18" s="2">
        <f t="shared" si="4"/>
        <v>0</v>
      </c>
      <c r="R18" s="31"/>
      <c r="S18" s="30"/>
      <c r="T18" s="2">
        <f t="shared" si="5"/>
        <v>0</v>
      </c>
      <c r="U18" s="33"/>
      <c r="V18" s="30"/>
      <c r="W18" s="64">
        <f t="shared" si="6"/>
        <v>0</v>
      </c>
      <c r="X18" s="70">
        <f t="shared" si="7"/>
        <v>0</v>
      </c>
      <c r="Y18" s="67">
        <f t="shared" si="7"/>
        <v>0</v>
      </c>
      <c r="Z18" s="73">
        <f t="shared" si="7"/>
        <v>0</v>
      </c>
      <c r="AA18" s="35"/>
      <c r="AB18" s="30"/>
      <c r="AC18" s="2">
        <f t="shared" si="8"/>
        <v>0</v>
      </c>
      <c r="AD18" s="33"/>
      <c r="AE18" s="30"/>
      <c r="AF18" s="2">
        <f t="shared" si="9"/>
        <v>0</v>
      </c>
      <c r="AG18" s="33"/>
      <c r="AH18" s="30"/>
      <c r="AI18" s="2">
        <f t="shared" si="10"/>
        <v>0</v>
      </c>
      <c r="AJ18" s="33"/>
      <c r="AK18" s="30"/>
      <c r="AL18" s="2">
        <f t="shared" si="11"/>
        <v>0</v>
      </c>
      <c r="AM18" s="33"/>
      <c r="AN18" s="30">
        <v>1</v>
      </c>
      <c r="AO18" s="2">
        <f t="shared" si="12"/>
        <v>7000</v>
      </c>
      <c r="AP18" s="33">
        <v>22000</v>
      </c>
      <c r="AQ18" s="30"/>
      <c r="AR18" s="2">
        <f t="shared" si="13"/>
        <v>0</v>
      </c>
      <c r="AS18" s="33"/>
      <c r="AT18" s="30"/>
      <c r="AU18" s="2">
        <f t="shared" si="14"/>
        <v>0</v>
      </c>
      <c r="AV18" s="70">
        <f t="shared" si="15"/>
        <v>22000</v>
      </c>
      <c r="AW18" s="67">
        <f t="shared" si="15"/>
        <v>1</v>
      </c>
      <c r="AX18" s="51">
        <f t="shared" si="15"/>
        <v>7000</v>
      </c>
      <c r="AY18" s="33"/>
      <c r="AZ18" s="30">
        <v>1</v>
      </c>
      <c r="BA18" s="2">
        <f t="shared" si="16"/>
        <v>7000</v>
      </c>
      <c r="BB18" s="33"/>
      <c r="BC18" s="30">
        <v>1</v>
      </c>
      <c r="BD18" s="2">
        <f t="shared" si="17"/>
        <v>7000</v>
      </c>
      <c r="BE18" s="33"/>
      <c r="BF18" s="30"/>
      <c r="BG18" s="2">
        <f t="shared" si="18"/>
        <v>0</v>
      </c>
      <c r="BH18" s="33"/>
      <c r="BI18" s="30"/>
      <c r="BJ18" s="2">
        <f t="shared" si="19"/>
        <v>0</v>
      </c>
      <c r="BK18" s="33"/>
      <c r="BL18" s="30">
        <v>1</v>
      </c>
      <c r="BM18" s="2">
        <f t="shared" si="20"/>
        <v>7000</v>
      </c>
      <c r="BN18" s="33"/>
      <c r="BO18" s="30"/>
      <c r="BP18" s="2">
        <f t="shared" si="21"/>
        <v>0</v>
      </c>
      <c r="BQ18" s="33">
        <v>20000</v>
      </c>
      <c r="BR18" s="30"/>
      <c r="BS18" s="2">
        <f t="shared" si="22"/>
        <v>0</v>
      </c>
      <c r="BT18" s="70">
        <f t="shared" si="23"/>
        <v>20000</v>
      </c>
      <c r="BU18" s="67">
        <f t="shared" si="23"/>
        <v>3</v>
      </c>
      <c r="BV18" s="51">
        <f t="shared" si="23"/>
        <v>21000</v>
      </c>
      <c r="BW18" s="33"/>
      <c r="BX18" s="30"/>
      <c r="BY18" s="2">
        <f t="shared" si="24"/>
        <v>0</v>
      </c>
      <c r="BZ18" s="33"/>
      <c r="CA18" s="30">
        <v>1</v>
      </c>
      <c r="CB18" s="2">
        <f t="shared" si="25"/>
        <v>7000</v>
      </c>
      <c r="CC18" s="33">
        <v>20000</v>
      </c>
      <c r="CD18" s="30"/>
      <c r="CE18" s="2">
        <f t="shared" si="26"/>
        <v>0</v>
      </c>
      <c r="CF18" s="33"/>
      <c r="CG18" s="30"/>
      <c r="CH18" s="2">
        <f t="shared" si="27"/>
        <v>0</v>
      </c>
      <c r="CI18" s="33"/>
      <c r="CJ18" s="30">
        <v>1</v>
      </c>
      <c r="CK18" s="2">
        <f t="shared" si="28"/>
        <v>7000</v>
      </c>
      <c r="CL18" s="33"/>
      <c r="CM18" s="30"/>
      <c r="CN18" s="2">
        <f t="shared" si="29"/>
        <v>0</v>
      </c>
      <c r="CO18" s="33">
        <v>50000</v>
      </c>
      <c r="CP18" s="30"/>
      <c r="CQ18" s="2">
        <f t="shared" si="30"/>
        <v>0</v>
      </c>
      <c r="CR18" s="70">
        <f t="shared" si="31"/>
        <v>70000</v>
      </c>
      <c r="CS18" s="67">
        <f t="shared" si="31"/>
        <v>2</v>
      </c>
      <c r="CT18" s="51">
        <f t="shared" si="31"/>
        <v>14000</v>
      </c>
      <c r="CU18" s="33"/>
      <c r="CV18" s="30"/>
      <c r="CW18" s="2">
        <f t="shared" si="32"/>
        <v>0</v>
      </c>
      <c r="CX18" s="33"/>
      <c r="CY18" s="30"/>
      <c r="CZ18" s="2">
        <f t="shared" si="33"/>
        <v>0</v>
      </c>
      <c r="DA18" s="33"/>
      <c r="DB18" s="30"/>
      <c r="DC18" s="2">
        <f t="shared" si="34"/>
        <v>0</v>
      </c>
      <c r="DD18" s="33"/>
      <c r="DE18" s="30"/>
      <c r="DF18" s="2">
        <f t="shared" si="35"/>
        <v>0</v>
      </c>
      <c r="DG18" s="33"/>
      <c r="DH18" s="30"/>
      <c r="DI18" s="2">
        <f t="shared" si="36"/>
        <v>0</v>
      </c>
      <c r="DJ18" s="33"/>
      <c r="DK18" s="30"/>
      <c r="DL18" s="2">
        <f t="shared" si="37"/>
        <v>0</v>
      </c>
      <c r="DM18" s="33"/>
      <c r="DN18" s="30"/>
      <c r="DO18" s="2">
        <f t="shared" si="38"/>
        <v>0</v>
      </c>
      <c r="DP18" s="70">
        <f t="shared" si="39"/>
        <v>0</v>
      </c>
      <c r="DQ18" s="67">
        <f t="shared" si="39"/>
        <v>0</v>
      </c>
      <c r="DR18" s="51">
        <f t="shared" si="39"/>
        <v>0</v>
      </c>
      <c r="DS18" s="52">
        <v>112000</v>
      </c>
      <c r="DT18" s="53">
        <f t="shared" si="41"/>
        <v>6</v>
      </c>
      <c r="DU18" s="54">
        <f t="shared" si="41"/>
        <v>42000</v>
      </c>
    </row>
    <row r="19" spans="1:125" s="26" customFormat="1" ht="17.100000000000001" customHeight="1" x14ac:dyDescent="0.2">
      <c r="A19" s="27" t="s">
        <v>40</v>
      </c>
      <c r="B19" s="19">
        <v>7000</v>
      </c>
      <c r="C19" s="29"/>
      <c r="D19" s="30"/>
      <c r="E19" s="2">
        <f t="shared" si="0"/>
        <v>0</v>
      </c>
      <c r="F19" s="29"/>
      <c r="G19" s="30"/>
      <c r="H19" s="2">
        <f t="shared" si="1"/>
        <v>0</v>
      </c>
      <c r="I19" s="29"/>
      <c r="J19" s="30"/>
      <c r="K19" s="2">
        <f t="shared" si="2"/>
        <v>0</v>
      </c>
      <c r="L19" s="31"/>
      <c r="M19" s="30">
        <v>2</v>
      </c>
      <c r="N19" s="2">
        <f t="shared" si="3"/>
        <v>14000</v>
      </c>
      <c r="O19" s="31"/>
      <c r="P19" s="30"/>
      <c r="Q19" s="2">
        <f t="shared" si="4"/>
        <v>0</v>
      </c>
      <c r="R19" s="31"/>
      <c r="S19" s="30"/>
      <c r="T19" s="2">
        <f t="shared" si="5"/>
        <v>0</v>
      </c>
      <c r="U19" s="33"/>
      <c r="V19" s="30"/>
      <c r="W19" s="64">
        <f t="shared" si="6"/>
        <v>0</v>
      </c>
      <c r="X19" s="70">
        <f t="shared" si="7"/>
        <v>0</v>
      </c>
      <c r="Y19" s="67">
        <f t="shared" si="7"/>
        <v>2</v>
      </c>
      <c r="Z19" s="73">
        <f t="shared" si="7"/>
        <v>14000</v>
      </c>
      <c r="AA19" s="35"/>
      <c r="AB19" s="30"/>
      <c r="AC19" s="2">
        <f t="shared" si="8"/>
        <v>0</v>
      </c>
      <c r="AD19" s="33"/>
      <c r="AE19" s="30">
        <v>1</v>
      </c>
      <c r="AF19" s="2">
        <f t="shared" si="9"/>
        <v>7000</v>
      </c>
      <c r="AG19" s="33"/>
      <c r="AH19" s="30">
        <v>2</v>
      </c>
      <c r="AI19" s="2">
        <f t="shared" si="10"/>
        <v>14000</v>
      </c>
      <c r="AJ19" s="33"/>
      <c r="AK19" s="30"/>
      <c r="AL19" s="2">
        <f t="shared" si="11"/>
        <v>0</v>
      </c>
      <c r="AM19" s="33"/>
      <c r="AN19" s="30"/>
      <c r="AO19" s="2">
        <f t="shared" si="12"/>
        <v>0</v>
      </c>
      <c r="AP19" s="33"/>
      <c r="AQ19" s="30">
        <v>2</v>
      </c>
      <c r="AR19" s="2">
        <f t="shared" si="13"/>
        <v>14000</v>
      </c>
      <c r="AS19" s="33"/>
      <c r="AT19" s="30"/>
      <c r="AU19" s="2">
        <f t="shared" si="14"/>
        <v>0</v>
      </c>
      <c r="AV19" s="70">
        <f t="shared" si="15"/>
        <v>0</v>
      </c>
      <c r="AW19" s="67">
        <f t="shared" si="15"/>
        <v>5</v>
      </c>
      <c r="AX19" s="51">
        <f>AC19+AF19+AI19+AL19+AO19+AR19+AU19</f>
        <v>35000</v>
      </c>
      <c r="AY19" s="33"/>
      <c r="AZ19" s="30"/>
      <c r="BA19" s="2">
        <f t="shared" si="16"/>
        <v>0</v>
      </c>
      <c r="BB19" s="33"/>
      <c r="BC19" s="30">
        <v>3</v>
      </c>
      <c r="BD19" s="2">
        <f t="shared" si="17"/>
        <v>21000</v>
      </c>
      <c r="BE19" s="33"/>
      <c r="BF19" s="30">
        <v>3</v>
      </c>
      <c r="BG19" s="2">
        <f t="shared" si="18"/>
        <v>21000</v>
      </c>
      <c r="BH19" s="33"/>
      <c r="BI19" s="30">
        <v>2</v>
      </c>
      <c r="BJ19" s="2">
        <f t="shared" si="19"/>
        <v>14000</v>
      </c>
      <c r="BK19" s="33"/>
      <c r="BL19" s="30">
        <v>2</v>
      </c>
      <c r="BM19" s="2">
        <f t="shared" si="20"/>
        <v>14000</v>
      </c>
      <c r="BN19" s="33"/>
      <c r="BO19" s="30"/>
      <c r="BP19" s="2">
        <f t="shared" si="21"/>
        <v>0</v>
      </c>
      <c r="BQ19" s="33"/>
      <c r="BR19" s="30">
        <v>2</v>
      </c>
      <c r="BS19" s="2">
        <f t="shared" si="22"/>
        <v>14000</v>
      </c>
      <c r="BT19" s="70">
        <f t="shared" si="23"/>
        <v>0</v>
      </c>
      <c r="BU19" s="67">
        <f t="shared" si="23"/>
        <v>12</v>
      </c>
      <c r="BV19" s="51">
        <f t="shared" si="23"/>
        <v>84000</v>
      </c>
      <c r="BW19" s="33"/>
      <c r="BX19" s="30"/>
      <c r="BY19" s="2">
        <f t="shared" si="24"/>
        <v>0</v>
      </c>
      <c r="BZ19" s="33"/>
      <c r="CA19" s="30">
        <v>1</v>
      </c>
      <c r="CB19" s="2">
        <f t="shared" si="25"/>
        <v>7000</v>
      </c>
      <c r="CC19" s="33"/>
      <c r="CD19" s="30">
        <v>2</v>
      </c>
      <c r="CE19" s="2">
        <f t="shared" si="26"/>
        <v>14000</v>
      </c>
      <c r="CF19" s="33"/>
      <c r="CG19" s="30">
        <v>1</v>
      </c>
      <c r="CH19" s="2">
        <f t="shared" si="27"/>
        <v>7000</v>
      </c>
      <c r="CI19" s="33"/>
      <c r="CJ19" s="30"/>
      <c r="CK19" s="2">
        <f t="shared" si="28"/>
        <v>0</v>
      </c>
      <c r="CL19" s="33"/>
      <c r="CM19" s="30">
        <v>2</v>
      </c>
      <c r="CN19" s="2">
        <f t="shared" si="29"/>
        <v>14000</v>
      </c>
      <c r="CO19" s="33"/>
      <c r="CP19" s="30">
        <v>2</v>
      </c>
      <c r="CQ19" s="2">
        <f t="shared" si="30"/>
        <v>14000</v>
      </c>
      <c r="CR19" s="70">
        <f t="shared" si="31"/>
        <v>0</v>
      </c>
      <c r="CS19" s="67">
        <f t="shared" si="31"/>
        <v>8</v>
      </c>
      <c r="CT19" s="51">
        <f t="shared" si="31"/>
        <v>56000</v>
      </c>
      <c r="CU19" s="33"/>
      <c r="CV19" s="30"/>
      <c r="CW19" s="2">
        <f t="shared" si="32"/>
        <v>0</v>
      </c>
      <c r="CX19" s="33"/>
      <c r="CY19" s="30">
        <v>2</v>
      </c>
      <c r="CZ19" s="2">
        <f t="shared" si="33"/>
        <v>14000</v>
      </c>
      <c r="DA19" s="33"/>
      <c r="DB19" s="30">
        <v>2</v>
      </c>
      <c r="DC19" s="2">
        <f t="shared" si="34"/>
        <v>14000</v>
      </c>
      <c r="DD19" s="33"/>
      <c r="DE19" s="30">
        <v>1</v>
      </c>
      <c r="DF19" s="2">
        <f t="shared" si="35"/>
        <v>7000</v>
      </c>
      <c r="DG19" s="33"/>
      <c r="DH19" s="30"/>
      <c r="DI19" s="2">
        <f t="shared" si="36"/>
        <v>0</v>
      </c>
      <c r="DJ19" s="33"/>
      <c r="DK19" s="30"/>
      <c r="DL19" s="2">
        <f t="shared" si="37"/>
        <v>0</v>
      </c>
      <c r="DM19" s="33"/>
      <c r="DN19" s="30"/>
      <c r="DO19" s="2">
        <f t="shared" si="38"/>
        <v>0</v>
      </c>
      <c r="DP19" s="70">
        <f t="shared" si="39"/>
        <v>0</v>
      </c>
      <c r="DQ19" s="67">
        <f t="shared" si="39"/>
        <v>5</v>
      </c>
      <c r="DR19" s="51">
        <f t="shared" si="39"/>
        <v>35000</v>
      </c>
      <c r="DS19" s="52">
        <f t="shared" si="40"/>
        <v>0</v>
      </c>
      <c r="DT19" s="53">
        <f t="shared" si="41"/>
        <v>32</v>
      </c>
      <c r="DU19" s="54">
        <f>Z19+AX19+BV19+CT19+DR19</f>
        <v>224000</v>
      </c>
    </row>
    <row r="20" spans="1:125" s="26" customFormat="1" ht="17.100000000000001" customHeight="1" x14ac:dyDescent="0.2">
      <c r="A20" s="79" t="s">
        <v>35</v>
      </c>
      <c r="B20" s="80"/>
      <c r="C20" s="81"/>
      <c r="D20" s="82"/>
      <c r="E20" s="83">
        <f t="shared" si="0"/>
        <v>0</v>
      </c>
      <c r="F20" s="81"/>
      <c r="G20" s="82"/>
      <c r="H20" s="83">
        <f t="shared" si="1"/>
        <v>0</v>
      </c>
      <c r="I20" s="81"/>
      <c r="J20" s="82"/>
      <c r="K20" s="83">
        <f t="shared" si="2"/>
        <v>0</v>
      </c>
      <c r="L20" s="84"/>
      <c r="M20" s="82"/>
      <c r="N20" s="83">
        <f t="shared" si="3"/>
        <v>0</v>
      </c>
      <c r="O20" s="84"/>
      <c r="P20" s="82"/>
      <c r="Q20" s="83">
        <f t="shared" si="4"/>
        <v>0</v>
      </c>
      <c r="R20" s="84"/>
      <c r="S20" s="82"/>
      <c r="T20" s="83">
        <f t="shared" si="5"/>
        <v>0</v>
      </c>
      <c r="U20" s="84"/>
      <c r="V20" s="82"/>
      <c r="W20" s="85">
        <f t="shared" si="6"/>
        <v>0</v>
      </c>
      <c r="X20" s="86">
        <f t="shared" si="7"/>
        <v>0</v>
      </c>
      <c r="Y20" s="87">
        <f t="shared" si="7"/>
        <v>0</v>
      </c>
      <c r="Z20" s="88">
        <f t="shared" si="7"/>
        <v>0</v>
      </c>
      <c r="AA20" s="89"/>
      <c r="AB20" s="82"/>
      <c r="AC20" s="83">
        <f t="shared" si="8"/>
        <v>0</v>
      </c>
      <c r="AD20" s="84"/>
      <c r="AE20" s="82"/>
      <c r="AF20" s="83">
        <f t="shared" si="9"/>
        <v>0</v>
      </c>
      <c r="AG20" s="84"/>
      <c r="AH20" s="82"/>
      <c r="AI20" s="83">
        <f t="shared" si="10"/>
        <v>0</v>
      </c>
      <c r="AJ20" s="84"/>
      <c r="AK20" s="82"/>
      <c r="AL20" s="83">
        <f t="shared" si="11"/>
        <v>0</v>
      </c>
      <c r="AM20" s="84"/>
      <c r="AN20" s="82"/>
      <c r="AO20" s="83">
        <f t="shared" si="12"/>
        <v>0</v>
      </c>
      <c r="AP20" s="84"/>
      <c r="AQ20" s="82"/>
      <c r="AR20" s="83">
        <f t="shared" si="13"/>
        <v>0</v>
      </c>
      <c r="AS20" s="84"/>
      <c r="AT20" s="82"/>
      <c r="AU20" s="83">
        <f t="shared" si="14"/>
        <v>0</v>
      </c>
      <c r="AV20" s="86">
        <f t="shared" si="15"/>
        <v>0</v>
      </c>
      <c r="AW20" s="87">
        <f t="shared" si="15"/>
        <v>0</v>
      </c>
      <c r="AX20" s="90">
        <f t="shared" si="15"/>
        <v>0</v>
      </c>
      <c r="AY20" s="84"/>
      <c r="AZ20" s="82"/>
      <c r="BA20" s="83">
        <f t="shared" si="16"/>
        <v>0</v>
      </c>
      <c r="BB20" s="84"/>
      <c r="BC20" s="82"/>
      <c r="BD20" s="83">
        <f t="shared" si="17"/>
        <v>0</v>
      </c>
      <c r="BE20" s="84"/>
      <c r="BF20" s="82"/>
      <c r="BG20" s="83">
        <f t="shared" si="18"/>
        <v>0</v>
      </c>
      <c r="BH20" s="84"/>
      <c r="BI20" s="82"/>
      <c r="BJ20" s="83">
        <f t="shared" si="19"/>
        <v>0</v>
      </c>
      <c r="BK20" s="84"/>
      <c r="BL20" s="82"/>
      <c r="BM20" s="83">
        <f t="shared" si="20"/>
        <v>0</v>
      </c>
      <c r="BN20" s="84"/>
      <c r="BO20" s="82"/>
      <c r="BP20" s="83">
        <f t="shared" si="21"/>
        <v>0</v>
      </c>
      <c r="BQ20" s="84"/>
      <c r="BR20" s="82"/>
      <c r="BS20" s="83">
        <f t="shared" si="22"/>
        <v>0</v>
      </c>
      <c r="BT20" s="86">
        <f t="shared" si="23"/>
        <v>0</v>
      </c>
      <c r="BU20" s="87">
        <f t="shared" si="23"/>
        <v>0</v>
      </c>
      <c r="BV20" s="90">
        <f t="shared" si="23"/>
        <v>0</v>
      </c>
      <c r="BW20" s="84"/>
      <c r="BX20" s="82"/>
      <c r="BY20" s="83">
        <f t="shared" si="24"/>
        <v>0</v>
      </c>
      <c r="BZ20" s="84"/>
      <c r="CA20" s="82"/>
      <c r="CB20" s="83">
        <f t="shared" si="25"/>
        <v>0</v>
      </c>
      <c r="CC20" s="84"/>
      <c r="CD20" s="82"/>
      <c r="CE20" s="83">
        <f t="shared" si="26"/>
        <v>0</v>
      </c>
      <c r="CF20" s="84"/>
      <c r="CG20" s="82"/>
      <c r="CH20" s="83">
        <f t="shared" si="27"/>
        <v>0</v>
      </c>
      <c r="CI20" s="84"/>
      <c r="CJ20" s="82"/>
      <c r="CK20" s="83">
        <f t="shared" si="28"/>
        <v>0</v>
      </c>
      <c r="CL20" s="84"/>
      <c r="CM20" s="82"/>
      <c r="CN20" s="83">
        <f t="shared" si="29"/>
        <v>0</v>
      </c>
      <c r="CO20" s="84"/>
      <c r="CP20" s="82"/>
      <c r="CQ20" s="83">
        <f t="shared" si="30"/>
        <v>0</v>
      </c>
      <c r="CR20" s="86">
        <f t="shared" si="31"/>
        <v>0</v>
      </c>
      <c r="CS20" s="87">
        <f t="shared" si="31"/>
        <v>0</v>
      </c>
      <c r="CT20" s="51">
        <f t="shared" si="31"/>
        <v>0</v>
      </c>
      <c r="CU20" s="84"/>
      <c r="CV20" s="82"/>
      <c r="CW20" s="83">
        <f t="shared" si="32"/>
        <v>0</v>
      </c>
      <c r="CX20" s="84"/>
      <c r="CY20" s="82"/>
      <c r="CZ20" s="83">
        <f t="shared" si="33"/>
        <v>0</v>
      </c>
      <c r="DA20" s="84"/>
      <c r="DB20" s="82"/>
      <c r="DC20" s="83">
        <f t="shared" si="34"/>
        <v>0</v>
      </c>
      <c r="DD20" s="84"/>
      <c r="DE20" s="82"/>
      <c r="DF20" s="83">
        <f t="shared" si="35"/>
        <v>0</v>
      </c>
      <c r="DG20" s="84"/>
      <c r="DH20" s="82"/>
      <c r="DI20" s="83">
        <f t="shared" si="36"/>
        <v>0</v>
      </c>
      <c r="DJ20" s="84"/>
      <c r="DK20" s="82"/>
      <c r="DL20" s="83">
        <f t="shared" si="37"/>
        <v>0</v>
      </c>
      <c r="DM20" s="84"/>
      <c r="DN20" s="82"/>
      <c r="DO20" s="83">
        <f t="shared" si="38"/>
        <v>0</v>
      </c>
      <c r="DP20" s="86">
        <f t="shared" si="39"/>
        <v>0</v>
      </c>
      <c r="DQ20" s="87">
        <f t="shared" si="39"/>
        <v>0</v>
      </c>
      <c r="DR20" s="90">
        <f t="shared" si="39"/>
        <v>0</v>
      </c>
      <c r="DS20" s="91">
        <f t="shared" si="40"/>
        <v>0</v>
      </c>
      <c r="DT20" s="92">
        <f t="shared" si="41"/>
        <v>0</v>
      </c>
      <c r="DU20" s="88">
        <f t="shared" si="41"/>
        <v>0</v>
      </c>
    </row>
    <row r="21" spans="1:125" s="26" customFormat="1" ht="17.100000000000001" customHeight="1" thickBot="1" x14ac:dyDescent="0.25">
      <c r="A21" s="36" t="s">
        <v>34</v>
      </c>
      <c r="B21" s="37">
        <v>5000</v>
      </c>
      <c r="C21" s="38"/>
      <c r="D21" s="39"/>
      <c r="E21" s="3">
        <f t="shared" si="0"/>
        <v>0</v>
      </c>
      <c r="F21" s="38"/>
      <c r="G21" s="39"/>
      <c r="H21" s="3">
        <f t="shared" si="1"/>
        <v>0</v>
      </c>
      <c r="I21" s="38"/>
      <c r="J21" s="39"/>
      <c r="K21" s="3">
        <f t="shared" si="2"/>
        <v>0</v>
      </c>
      <c r="L21" s="110">
        <v>25000</v>
      </c>
      <c r="M21" s="39"/>
      <c r="N21" s="3">
        <f t="shared" si="3"/>
        <v>0</v>
      </c>
      <c r="O21" s="40"/>
      <c r="P21" s="39"/>
      <c r="Q21" s="3">
        <f t="shared" si="4"/>
        <v>0</v>
      </c>
      <c r="R21" s="110">
        <v>25000</v>
      </c>
      <c r="S21" s="39"/>
      <c r="T21" s="3">
        <f t="shared" si="5"/>
        <v>0</v>
      </c>
      <c r="U21" s="41"/>
      <c r="V21" s="39"/>
      <c r="W21" s="65">
        <f t="shared" si="6"/>
        <v>0</v>
      </c>
      <c r="X21" s="71">
        <f t="shared" si="7"/>
        <v>50000</v>
      </c>
      <c r="Y21" s="68">
        <f t="shared" si="7"/>
        <v>0</v>
      </c>
      <c r="Z21" s="74">
        <f t="shared" si="7"/>
        <v>0</v>
      </c>
      <c r="AA21" s="42"/>
      <c r="AB21" s="39"/>
      <c r="AC21" s="3">
        <f t="shared" si="8"/>
        <v>0</v>
      </c>
      <c r="AD21" s="110">
        <v>50000</v>
      </c>
      <c r="AE21" s="39"/>
      <c r="AF21" s="3">
        <f t="shared" si="9"/>
        <v>0</v>
      </c>
      <c r="AG21" s="41"/>
      <c r="AH21" s="39"/>
      <c r="AI21" s="3">
        <f t="shared" si="10"/>
        <v>0</v>
      </c>
      <c r="AJ21" s="110">
        <v>25000</v>
      </c>
      <c r="AK21" s="39"/>
      <c r="AL21" s="3">
        <f t="shared" si="11"/>
        <v>0</v>
      </c>
      <c r="AM21" s="41"/>
      <c r="AN21" s="39"/>
      <c r="AO21" s="3">
        <f t="shared" si="12"/>
        <v>0</v>
      </c>
      <c r="AP21" s="110">
        <v>25000</v>
      </c>
      <c r="AQ21" s="39"/>
      <c r="AR21" s="3">
        <f t="shared" si="13"/>
        <v>0</v>
      </c>
      <c r="AS21" s="41"/>
      <c r="AT21" s="39"/>
      <c r="AU21" s="3">
        <f t="shared" si="14"/>
        <v>0</v>
      </c>
      <c r="AV21" s="71">
        <f t="shared" si="15"/>
        <v>100000</v>
      </c>
      <c r="AW21" s="68">
        <f t="shared" si="15"/>
        <v>0</v>
      </c>
      <c r="AX21" s="55">
        <f t="shared" si="15"/>
        <v>0</v>
      </c>
      <c r="AY21" s="41"/>
      <c r="AZ21" s="39"/>
      <c r="BA21" s="3">
        <f t="shared" si="16"/>
        <v>0</v>
      </c>
      <c r="BB21" s="110">
        <v>25000</v>
      </c>
      <c r="BC21" s="39"/>
      <c r="BD21" s="3">
        <f t="shared" si="17"/>
        <v>0</v>
      </c>
      <c r="BE21" s="41"/>
      <c r="BF21" s="39"/>
      <c r="BG21" s="3">
        <f t="shared" si="18"/>
        <v>0</v>
      </c>
      <c r="BH21" s="110">
        <v>25000</v>
      </c>
      <c r="BI21" s="39"/>
      <c r="BJ21" s="3">
        <f t="shared" si="19"/>
        <v>0</v>
      </c>
      <c r="BK21" s="41"/>
      <c r="BL21" s="39"/>
      <c r="BM21" s="3">
        <f t="shared" si="20"/>
        <v>0</v>
      </c>
      <c r="BN21" s="110">
        <v>25000</v>
      </c>
      <c r="BO21" s="39"/>
      <c r="BP21" s="3">
        <f t="shared" si="21"/>
        <v>0</v>
      </c>
      <c r="BQ21" s="41"/>
      <c r="BR21" s="39"/>
      <c r="BS21" s="3">
        <f t="shared" si="22"/>
        <v>0</v>
      </c>
      <c r="BT21" s="71">
        <f t="shared" si="23"/>
        <v>75000</v>
      </c>
      <c r="BU21" s="68">
        <f t="shared" si="23"/>
        <v>0</v>
      </c>
      <c r="BV21" s="55">
        <f t="shared" si="23"/>
        <v>0</v>
      </c>
      <c r="BW21" s="41"/>
      <c r="BX21" s="39"/>
      <c r="BY21" s="3">
        <f t="shared" si="24"/>
        <v>0</v>
      </c>
      <c r="BZ21" s="110">
        <v>25000</v>
      </c>
      <c r="CA21" s="39"/>
      <c r="CB21" s="3">
        <f t="shared" si="25"/>
        <v>0</v>
      </c>
      <c r="CC21" s="41"/>
      <c r="CD21" s="39"/>
      <c r="CE21" s="3">
        <f t="shared" si="26"/>
        <v>0</v>
      </c>
      <c r="CF21" s="110">
        <v>25000</v>
      </c>
      <c r="CG21" s="39"/>
      <c r="CH21" s="3">
        <f t="shared" si="27"/>
        <v>0</v>
      </c>
      <c r="CI21" s="41"/>
      <c r="CJ21" s="39"/>
      <c r="CK21" s="3">
        <f t="shared" si="28"/>
        <v>0</v>
      </c>
      <c r="CL21" s="110">
        <v>25000</v>
      </c>
      <c r="CM21" s="39"/>
      <c r="CN21" s="3">
        <f t="shared" si="29"/>
        <v>0</v>
      </c>
      <c r="CO21" s="41"/>
      <c r="CP21" s="39"/>
      <c r="CQ21" s="3">
        <f t="shared" si="30"/>
        <v>0</v>
      </c>
      <c r="CR21" s="71">
        <f t="shared" si="31"/>
        <v>75000</v>
      </c>
      <c r="CS21" s="68">
        <f t="shared" si="31"/>
        <v>0</v>
      </c>
      <c r="CT21" s="51">
        <f t="shared" si="31"/>
        <v>0</v>
      </c>
      <c r="CU21" s="41"/>
      <c r="CV21" s="39"/>
      <c r="CW21" s="3">
        <f t="shared" si="32"/>
        <v>0</v>
      </c>
      <c r="CX21" s="110">
        <v>25000</v>
      </c>
      <c r="CY21" s="39"/>
      <c r="CZ21" s="3">
        <f t="shared" si="33"/>
        <v>0</v>
      </c>
      <c r="DA21" s="41"/>
      <c r="DB21" s="39"/>
      <c r="DC21" s="3">
        <f t="shared" si="34"/>
        <v>0</v>
      </c>
      <c r="DD21" s="110">
        <v>25000</v>
      </c>
      <c r="DE21" s="39"/>
      <c r="DF21" s="3">
        <f t="shared" si="35"/>
        <v>0</v>
      </c>
      <c r="DG21" s="41"/>
      <c r="DH21" s="39"/>
      <c r="DI21" s="3">
        <f t="shared" si="36"/>
        <v>0</v>
      </c>
      <c r="DJ21" s="110">
        <v>25000</v>
      </c>
      <c r="DK21" s="39"/>
      <c r="DL21" s="3">
        <f t="shared" si="37"/>
        <v>0</v>
      </c>
      <c r="DM21" s="41"/>
      <c r="DN21" s="39"/>
      <c r="DO21" s="3">
        <f t="shared" si="38"/>
        <v>0</v>
      </c>
      <c r="DP21" s="71">
        <f t="shared" si="39"/>
        <v>75000</v>
      </c>
      <c r="DQ21" s="68">
        <f t="shared" si="39"/>
        <v>0</v>
      </c>
      <c r="DR21" s="55">
        <f t="shared" si="39"/>
        <v>0</v>
      </c>
      <c r="DS21" s="56">
        <f t="shared" si="40"/>
        <v>300000</v>
      </c>
      <c r="DT21" s="57">
        <f t="shared" si="41"/>
        <v>0</v>
      </c>
      <c r="DU21" s="58">
        <f t="shared" si="41"/>
        <v>0</v>
      </c>
    </row>
    <row r="22" spans="1:125" ht="17.100000000000001" customHeight="1" thickBot="1" x14ac:dyDescent="0.3">
      <c r="X22" s="59">
        <f>SUM(X4:X21)</f>
        <v>365000</v>
      </c>
      <c r="Z22" s="75">
        <f>SUM(Z4:Z21)</f>
        <v>133000</v>
      </c>
      <c r="AV22" s="59">
        <f>SUM(AV4:AV21)</f>
        <v>140000</v>
      </c>
      <c r="AX22" s="59">
        <f>SUM(AX4:AX21)</f>
        <v>259000</v>
      </c>
      <c r="BT22" s="59">
        <f>SUM(BT4:BT21)</f>
        <v>175000</v>
      </c>
      <c r="BV22" s="59">
        <f>SUM(BV4:BV21)</f>
        <v>1004500</v>
      </c>
      <c r="CR22" s="59">
        <f>SUM(CR4:CR21)</f>
        <v>249000</v>
      </c>
      <c r="CT22" s="59">
        <f>SUM(CT4:CT21)</f>
        <v>661500</v>
      </c>
      <c r="DP22" s="59">
        <f>SUM(DP4:DP21)</f>
        <v>216000</v>
      </c>
      <c r="DR22" s="59">
        <f>SUM(DR4:DR21)</f>
        <v>595000</v>
      </c>
      <c r="DS22" s="60">
        <f>SUM(DS4:DS21)</f>
        <v>1070000</v>
      </c>
      <c r="DT22" s="61">
        <f>SUM(DT4:DT21)</f>
        <v>379</v>
      </c>
      <c r="DU22" s="62">
        <f>SUM(DU4:DU21)</f>
        <v>2653000</v>
      </c>
    </row>
    <row r="23" spans="1:125" ht="17.100000000000001" customHeight="1" x14ac:dyDescent="0.25">
      <c r="DS23" s="44"/>
      <c r="DT23" s="46"/>
      <c r="DU23" s="44"/>
    </row>
    <row r="24" spans="1:125" ht="17.100000000000001" customHeight="1" x14ac:dyDescent="0.25"/>
    <row r="25" spans="1:125" ht="17.100000000000001" customHeight="1" x14ac:dyDescent="0.25"/>
    <row r="26" spans="1:125" ht="17.100000000000001" customHeight="1" x14ac:dyDescent="0.25"/>
    <row r="27" spans="1:125" ht="17.100000000000001" customHeight="1" x14ac:dyDescent="0.25"/>
    <row r="28" spans="1:125" ht="17.100000000000001" customHeight="1" x14ac:dyDescent="0.25"/>
    <row r="29" spans="1:125" ht="17.100000000000001" customHeight="1" x14ac:dyDescent="0.25"/>
  </sheetData>
  <sheetProtection formatCells="0" formatColumns="0" formatRows="0" insertColumns="0" insertRows="0" insertHyperlinks="0" deleteColumns="0" deleteRows="0" sort="0" autoFilter="0" pivotTables="0"/>
  <mergeCells count="82">
    <mergeCell ref="AJ1:AL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BT1:BV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DD1:DF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C2:E2"/>
    <mergeCell ref="F2:H2"/>
    <mergeCell ref="I2:K2"/>
    <mergeCell ref="L2:N2"/>
    <mergeCell ref="O2:Q2"/>
    <mergeCell ref="DG1:DI1"/>
    <mergeCell ref="DJ1:DL1"/>
    <mergeCell ref="DM1:DO1"/>
    <mergeCell ref="DP1:DR1"/>
    <mergeCell ref="DS1:DU1"/>
    <mergeCell ref="AY2:BA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CI2:CK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DS2:DU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</mergeCells>
  <printOptions horizontalCentered="1"/>
  <pageMargins left="0.19685039370078741" right="0.19685039370078741" top="0.19685039370078741" bottom="0.19685039370078741" header="0" footer="0"/>
  <pageSetup paperSize="9" scale="74" fitToHeight="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B3C7-E835-44A2-89CD-97E675B67682}">
  <sheetPr>
    <pageSetUpPr fitToPage="1"/>
  </sheetPr>
  <dimension ref="A1:DX32"/>
  <sheetViews>
    <sheetView topLeftCell="A2" zoomScaleNormal="100" workbookViewId="0">
      <pane xSplit="1" topLeftCell="DU1" activePane="topRight" state="frozen"/>
      <selection pane="topRight" activeCell="DX23" sqref="DX23"/>
    </sheetView>
  </sheetViews>
  <sheetFormatPr baseColWidth="10" defaultRowHeight="15" x14ac:dyDescent="0.25"/>
  <cols>
    <col min="1" max="1" width="30.7109375" style="5" bestFit="1" customWidth="1"/>
    <col min="2" max="2" width="8" style="43" bestFit="1" customWidth="1"/>
    <col min="3" max="3" width="8.7109375" style="5" hidden="1" customWidth="1"/>
    <col min="4" max="4" width="2.7109375" style="5" hidden="1" customWidth="1"/>
    <col min="5" max="6" width="8.7109375" style="5" hidden="1" customWidth="1"/>
    <col min="7" max="7" width="2.7109375" style="5" hidden="1" customWidth="1"/>
    <col min="8" max="9" width="8.7109375" style="5" hidden="1" customWidth="1"/>
    <col min="10" max="10" width="2.7109375" style="5" hidden="1" customWidth="1"/>
    <col min="11" max="12" width="8.7109375" style="5" hidden="1" customWidth="1"/>
    <col min="13" max="13" width="2.7109375" style="5" hidden="1" customWidth="1"/>
    <col min="14" max="15" width="8.7109375" style="5" hidden="1" customWidth="1"/>
    <col min="16" max="16" width="2.7109375" style="5" hidden="1" customWidth="1"/>
    <col min="17" max="18" width="8.7109375" style="5" hidden="1" customWidth="1"/>
    <col min="19" max="19" width="2.7109375" style="5" hidden="1" customWidth="1"/>
    <col min="20" max="20" width="8.7109375" style="5" hidden="1" customWidth="1"/>
    <col min="21" max="21" width="8.7109375" style="5" customWidth="1"/>
    <col min="22" max="22" width="2.7109375" style="5" customWidth="1"/>
    <col min="23" max="23" width="8.7109375" style="5" customWidth="1"/>
    <col min="24" max="24" width="9.42578125" style="5" bestFit="1" customWidth="1"/>
    <col min="25" max="25" width="2.7109375" style="5" customWidth="1"/>
    <col min="26" max="26" width="10.42578125" style="45" bestFit="1" customWidth="1"/>
    <col min="27" max="27" width="8.7109375" style="5" customWidth="1"/>
    <col min="28" max="28" width="2.7109375" style="5" customWidth="1"/>
    <col min="29" max="30" width="8.7109375" style="5" customWidth="1"/>
    <col min="31" max="31" width="2.7109375" style="5" customWidth="1"/>
    <col min="32" max="33" width="8.7109375" style="5" customWidth="1"/>
    <col min="34" max="34" width="2.7109375" style="5" customWidth="1"/>
    <col min="35" max="36" width="8.7109375" style="5" customWidth="1"/>
    <col min="37" max="37" width="2.7109375" style="5" customWidth="1"/>
    <col min="38" max="39" width="8.7109375" style="5" customWidth="1"/>
    <col min="40" max="40" width="2.7109375" style="5" customWidth="1"/>
    <col min="41" max="42" width="8.7109375" style="5" customWidth="1"/>
    <col min="43" max="43" width="3.5703125" style="5" customWidth="1"/>
    <col min="44" max="45" width="8.7109375" style="5" customWidth="1"/>
    <col min="46" max="46" width="2.7109375" style="5" customWidth="1"/>
    <col min="47" max="47" width="8.7109375" style="5" customWidth="1"/>
    <col min="48" max="48" width="11.28515625" style="5" customWidth="1"/>
    <col min="49" max="49" width="4.85546875" style="5" customWidth="1"/>
    <col min="50" max="50" width="13.140625" style="5" customWidth="1"/>
    <col min="51" max="51" width="8.7109375" style="5" customWidth="1"/>
    <col min="52" max="52" width="4.28515625" style="5" customWidth="1"/>
    <col min="53" max="54" width="8.7109375" style="5" customWidth="1"/>
    <col min="55" max="55" width="4.42578125" style="5" customWidth="1"/>
    <col min="56" max="57" width="8.7109375" style="5" customWidth="1"/>
    <col min="58" max="58" width="2.7109375" style="5" customWidth="1"/>
    <col min="59" max="60" width="8.7109375" style="5" customWidth="1"/>
    <col min="61" max="61" width="2.7109375" style="5" customWidth="1"/>
    <col min="62" max="63" width="8.7109375" style="5" customWidth="1"/>
    <col min="64" max="64" width="2.7109375" style="5" customWidth="1"/>
    <col min="65" max="66" width="8.7109375" style="5" customWidth="1"/>
    <col min="67" max="67" width="4.140625" style="5" customWidth="1"/>
    <col min="68" max="69" width="8.7109375" style="5" customWidth="1"/>
    <col min="70" max="70" width="2.7109375" style="5" customWidth="1"/>
    <col min="71" max="71" width="8.7109375" style="5" customWidth="1"/>
    <col min="72" max="72" width="10.42578125" style="5" bestFit="1" customWidth="1"/>
    <col min="73" max="73" width="6" style="5" customWidth="1"/>
    <col min="74" max="74" width="12.7109375" style="5" customWidth="1"/>
    <col min="75" max="75" width="8.7109375" style="5" customWidth="1"/>
    <col min="76" max="76" width="2.7109375" style="5" customWidth="1"/>
    <col min="77" max="78" width="8.7109375" style="5" customWidth="1"/>
    <col min="79" max="79" width="2.7109375" style="5" customWidth="1"/>
    <col min="80" max="81" width="8.7109375" style="5" customWidth="1"/>
    <col min="82" max="82" width="4.140625" style="5" customWidth="1"/>
    <col min="83" max="84" width="8.7109375" style="5" customWidth="1"/>
    <col min="85" max="85" width="2.7109375" style="5" customWidth="1"/>
    <col min="86" max="86" width="8.7109375" style="5" customWidth="1"/>
    <col min="87" max="87" width="10.28515625" style="5" customWidth="1"/>
    <col min="88" max="88" width="4" style="5" customWidth="1"/>
    <col min="89" max="90" width="8.7109375" style="5" customWidth="1"/>
    <col min="91" max="91" width="4.7109375" style="5" customWidth="1"/>
    <col min="92" max="93" width="8.7109375" style="5" customWidth="1"/>
    <col min="94" max="94" width="2.7109375" style="5" customWidth="1"/>
    <col min="95" max="95" width="8.7109375" style="5" customWidth="1"/>
    <col min="96" max="96" width="10.42578125" style="5" bestFit="1" customWidth="1"/>
    <col min="97" max="97" width="4.42578125" style="5" customWidth="1"/>
    <col min="98" max="98" width="13" style="5" customWidth="1"/>
    <col min="99" max="99" width="8.7109375" style="5" customWidth="1"/>
    <col min="100" max="100" width="2.7109375" style="5" customWidth="1"/>
    <col min="101" max="102" width="8.7109375" style="5" customWidth="1"/>
    <col min="103" max="103" width="2.7109375" style="5" customWidth="1"/>
    <col min="104" max="105" width="8.7109375" style="5" customWidth="1"/>
    <col min="106" max="106" width="4.28515625" style="5" customWidth="1"/>
    <col min="107" max="108" width="8.7109375" style="5" customWidth="1"/>
    <col min="109" max="109" width="2.7109375" style="5" customWidth="1"/>
    <col min="110" max="111" width="8.7109375" style="5" customWidth="1"/>
    <col min="112" max="112" width="2.7109375" style="5" customWidth="1"/>
    <col min="113" max="114" width="8.7109375" style="5" customWidth="1"/>
    <col min="115" max="115" width="2.7109375" style="5" customWidth="1"/>
    <col min="116" max="117" width="8.7109375" style="5" customWidth="1"/>
    <col min="118" max="118" width="4.140625" style="5" customWidth="1"/>
    <col min="119" max="119" width="8.7109375" style="5" customWidth="1"/>
    <col min="120" max="120" width="10.42578125" style="5" bestFit="1" customWidth="1"/>
    <col min="121" max="121" width="5.140625" style="5" customWidth="1"/>
    <col min="122" max="122" width="12.5703125" style="5" customWidth="1"/>
    <col min="123" max="123" width="12.28515625" style="5" customWidth="1"/>
    <col min="124" max="124" width="6.5703125" style="5" customWidth="1"/>
    <col min="125" max="125" width="14.42578125" style="5" customWidth="1"/>
    <col min="126" max="16384" width="11.42578125" style="5"/>
  </cols>
  <sheetData>
    <row r="1" spans="1:128" ht="26.25" x14ac:dyDescent="0.4">
      <c r="A1" s="4" t="s">
        <v>46</v>
      </c>
      <c r="B1" s="76" t="s">
        <v>0</v>
      </c>
      <c r="C1" s="232">
        <v>1</v>
      </c>
      <c r="D1" s="233"/>
      <c r="E1" s="233"/>
      <c r="F1" s="232">
        <v>2</v>
      </c>
      <c r="G1" s="233"/>
      <c r="H1" s="233"/>
      <c r="I1" s="232">
        <v>3</v>
      </c>
      <c r="J1" s="233"/>
      <c r="K1" s="233"/>
      <c r="L1" s="233">
        <v>4</v>
      </c>
      <c r="M1" s="233"/>
      <c r="N1" s="233"/>
      <c r="O1" s="233">
        <v>5</v>
      </c>
      <c r="P1" s="233"/>
      <c r="Q1" s="233"/>
      <c r="R1" s="233">
        <v>6</v>
      </c>
      <c r="S1" s="233"/>
      <c r="T1" s="233"/>
      <c r="U1" s="233">
        <v>1</v>
      </c>
      <c r="V1" s="233"/>
      <c r="W1" s="300"/>
      <c r="X1" s="216" t="s">
        <v>1</v>
      </c>
      <c r="Y1" s="217"/>
      <c r="Z1" s="218"/>
      <c r="AA1" s="234">
        <v>2</v>
      </c>
      <c r="AB1" s="227"/>
      <c r="AC1" s="227"/>
      <c r="AD1" s="227">
        <v>3</v>
      </c>
      <c r="AE1" s="227"/>
      <c r="AF1" s="227"/>
      <c r="AG1" s="227">
        <v>4</v>
      </c>
      <c r="AH1" s="227"/>
      <c r="AI1" s="227"/>
      <c r="AJ1" s="227">
        <v>5</v>
      </c>
      <c r="AK1" s="227"/>
      <c r="AL1" s="227"/>
      <c r="AM1" s="227">
        <v>6</v>
      </c>
      <c r="AN1" s="227"/>
      <c r="AO1" s="227"/>
      <c r="AP1" s="227">
        <v>7</v>
      </c>
      <c r="AQ1" s="227"/>
      <c r="AR1" s="227"/>
      <c r="AS1" s="227">
        <v>8</v>
      </c>
      <c r="AT1" s="227"/>
      <c r="AU1" s="228"/>
      <c r="AV1" s="216" t="s">
        <v>1</v>
      </c>
      <c r="AW1" s="217"/>
      <c r="AX1" s="218"/>
      <c r="AY1" s="229">
        <v>9</v>
      </c>
      <c r="AZ1" s="230"/>
      <c r="BA1" s="230"/>
      <c r="BB1" s="230">
        <v>10</v>
      </c>
      <c r="BC1" s="230"/>
      <c r="BD1" s="230"/>
      <c r="BE1" s="230">
        <v>11</v>
      </c>
      <c r="BF1" s="230"/>
      <c r="BG1" s="230"/>
      <c r="BH1" s="230">
        <v>12</v>
      </c>
      <c r="BI1" s="230"/>
      <c r="BJ1" s="230"/>
      <c r="BK1" s="230">
        <v>13</v>
      </c>
      <c r="BL1" s="230"/>
      <c r="BM1" s="230"/>
      <c r="BN1" s="230">
        <v>14</v>
      </c>
      <c r="BO1" s="230"/>
      <c r="BP1" s="230"/>
      <c r="BQ1" s="230">
        <v>15</v>
      </c>
      <c r="BR1" s="230"/>
      <c r="BS1" s="231"/>
      <c r="BT1" s="216" t="s">
        <v>1</v>
      </c>
      <c r="BU1" s="217"/>
      <c r="BV1" s="218"/>
      <c r="BW1" s="223">
        <v>16</v>
      </c>
      <c r="BX1" s="224"/>
      <c r="BY1" s="224"/>
      <c r="BZ1" s="224">
        <v>17</v>
      </c>
      <c r="CA1" s="224"/>
      <c r="CB1" s="224"/>
      <c r="CC1" s="224">
        <v>18</v>
      </c>
      <c r="CD1" s="224"/>
      <c r="CE1" s="224"/>
      <c r="CF1" s="224">
        <v>19</v>
      </c>
      <c r="CG1" s="224"/>
      <c r="CH1" s="224"/>
      <c r="CI1" s="224">
        <v>20</v>
      </c>
      <c r="CJ1" s="224"/>
      <c r="CK1" s="224"/>
      <c r="CL1" s="224">
        <v>21</v>
      </c>
      <c r="CM1" s="224"/>
      <c r="CN1" s="224"/>
      <c r="CO1" s="224">
        <v>22</v>
      </c>
      <c r="CP1" s="224"/>
      <c r="CQ1" s="225"/>
      <c r="CR1" s="216" t="s">
        <v>1</v>
      </c>
      <c r="CS1" s="217"/>
      <c r="CT1" s="218"/>
      <c r="CU1" s="234">
        <v>23</v>
      </c>
      <c r="CV1" s="227"/>
      <c r="CW1" s="227"/>
      <c r="CX1" s="227">
        <v>24</v>
      </c>
      <c r="CY1" s="227"/>
      <c r="CZ1" s="227"/>
      <c r="DA1" s="227">
        <v>25</v>
      </c>
      <c r="DB1" s="227"/>
      <c r="DC1" s="227"/>
      <c r="DD1" s="227">
        <v>26</v>
      </c>
      <c r="DE1" s="227"/>
      <c r="DF1" s="227"/>
      <c r="DG1" s="227">
        <v>27</v>
      </c>
      <c r="DH1" s="227"/>
      <c r="DI1" s="227"/>
      <c r="DJ1" s="227">
        <v>28</v>
      </c>
      <c r="DK1" s="227"/>
      <c r="DL1" s="227"/>
      <c r="DM1" s="227">
        <v>29</v>
      </c>
      <c r="DN1" s="227"/>
      <c r="DO1" s="228"/>
      <c r="DP1" s="216" t="s">
        <v>1</v>
      </c>
      <c r="DQ1" s="217"/>
      <c r="DR1" s="218"/>
      <c r="DS1" s="227">
        <v>30</v>
      </c>
      <c r="DT1" s="227"/>
      <c r="DU1" s="228"/>
      <c r="DV1" s="219" t="s">
        <v>1</v>
      </c>
      <c r="DW1" s="220"/>
      <c r="DX1" s="221"/>
    </row>
    <row r="2" spans="1:128" ht="19.5" thickBot="1" x14ac:dyDescent="0.3">
      <c r="A2" s="6" t="s">
        <v>2</v>
      </c>
      <c r="B2" s="77" t="s">
        <v>3</v>
      </c>
      <c r="C2" s="222" t="s">
        <v>10</v>
      </c>
      <c r="D2" s="207"/>
      <c r="E2" s="207"/>
      <c r="F2" s="222" t="s">
        <v>11</v>
      </c>
      <c r="G2" s="207"/>
      <c r="H2" s="207"/>
      <c r="I2" s="222" t="s">
        <v>4</v>
      </c>
      <c r="J2" s="207"/>
      <c r="K2" s="207"/>
      <c r="L2" s="207" t="s">
        <v>5</v>
      </c>
      <c r="M2" s="207"/>
      <c r="N2" s="207"/>
      <c r="O2" s="207" t="s">
        <v>6</v>
      </c>
      <c r="P2" s="207"/>
      <c r="Q2" s="207"/>
      <c r="R2" s="207" t="s">
        <v>7</v>
      </c>
      <c r="S2" s="207"/>
      <c r="T2" s="207"/>
      <c r="U2" s="207" t="s">
        <v>8</v>
      </c>
      <c r="V2" s="207"/>
      <c r="W2" s="299"/>
      <c r="X2" s="197" t="s">
        <v>9</v>
      </c>
      <c r="Y2" s="198"/>
      <c r="Z2" s="199"/>
      <c r="AA2" s="211" t="s">
        <v>10</v>
      </c>
      <c r="AB2" s="212"/>
      <c r="AC2" s="212"/>
      <c r="AD2" s="212" t="s">
        <v>11</v>
      </c>
      <c r="AE2" s="212"/>
      <c r="AF2" s="212"/>
      <c r="AG2" s="212" t="s">
        <v>4</v>
      </c>
      <c r="AH2" s="212"/>
      <c r="AI2" s="212"/>
      <c r="AJ2" s="212" t="s">
        <v>5</v>
      </c>
      <c r="AK2" s="212"/>
      <c r="AL2" s="212"/>
      <c r="AM2" s="212" t="s">
        <v>6</v>
      </c>
      <c r="AN2" s="212"/>
      <c r="AO2" s="212"/>
      <c r="AP2" s="212" t="s">
        <v>7</v>
      </c>
      <c r="AQ2" s="212"/>
      <c r="AR2" s="212"/>
      <c r="AS2" s="212" t="s">
        <v>8</v>
      </c>
      <c r="AT2" s="212"/>
      <c r="AU2" s="213"/>
      <c r="AV2" s="197" t="s">
        <v>12</v>
      </c>
      <c r="AW2" s="198"/>
      <c r="AX2" s="199"/>
      <c r="AY2" s="206" t="s">
        <v>10</v>
      </c>
      <c r="AZ2" s="203"/>
      <c r="BA2" s="203"/>
      <c r="BB2" s="203" t="s">
        <v>11</v>
      </c>
      <c r="BC2" s="203"/>
      <c r="BD2" s="203"/>
      <c r="BE2" s="203" t="s">
        <v>4</v>
      </c>
      <c r="BF2" s="203"/>
      <c r="BG2" s="203"/>
      <c r="BH2" s="203" t="s">
        <v>5</v>
      </c>
      <c r="BI2" s="203"/>
      <c r="BJ2" s="203"/>
      <c r="BK2" s="203" t="s">
        <v>6</v>
      </c>
      <c r="BL2" s="203"/>
      <c r="BM2" s="203"/>
      <c r="BN2" s="203" t="s">
        <v>7</v>
      </c>
      <c r="BO2" s="203"/>
      <c r="BP2" s="203"/>
      <c r="BQ2" s="203" t="s">
        <v>8</v>
      </c>
      <c r="BR2" s="203"/>
      <c r="BS2" s="204"/>
      <c r="BT2" s="197" t="s">
        <v>13</v>
      </c>
      <c r="BU2" s="198"/>
      <c r="BV2" s="199"/>
      <c r="BW2" s="205" t="s">
        <v>10</v>
      </c>
      <c r="BX2" s="195"/>
      <c r="BY2" s="195"/>
      <c r="BZ2" s="195" t="s">
        <v>11</v>
      </c>
      <c r="CA2" s="195"/>
      <c r="CB2" s="195"/>
      <c r="CC2" s="195" t="s">
        <v>4</v>
      </c>
      <c r="CD2" s="195"/>
      <c r="CE2" s="195"/>
      <c r="CF2" s="195" t="s">
        <v>5</v>
      </c>
      <c r="CG2" s="195"/>
      <c r="CH2" s="195"/>
      <c r="CI2" s="195" t="s">
        <v>6</v>
      </c>
      <c r="CJ2" s="195"/>
      <c r="CK2" s="195"/>
      <c r="CL2" s="195" t="s">
        <v>7</v>
      </c>
      <c r="CM2" s="195"/>
      <c r="CN2" s="195"/>
      <c r="CO2" s="195" t="s">
        <v>8</v>
      </c>
      <c r="CP2" s="195"/>
      <c r="CQ2" s="196"/>
      <c r="CR2" s="197" t="s">
        <v>14</v>
      </c>
      <c r="CS2" s="198"/>
      <c r="CT2" s="199"/>
      <c r="CU2" s="211" t="s">
        <v>10</v>
      </c>
      <c r="CV2" s="212"/>
      <c r="CW2" s="212"/>
      <c r="CX2" s="212" t="s">
        <v>11</v>
      </c>
      <c r="CY2" s="212"/>
      <c r="CZ2" s="212"/>
      <c r="DA2" s="212" t="s">
        <v>4</v>
      </c>
      <c r="DB2" s="212"/>
      <c r="DC2" s="212"/>
      <c r="DD2" s="212" t="s">
        <v>5</v>
      </c>
      <c r="DE2" s="212"/>
      <c r="DF2" s="212"/>
      <c r="DG2" s="297" t="s">
        <v>6</v>
      </c>
      <c r="DH2" s="297"/>
      <c r="DI2" s="297"/>
      <c r="DJ2" s="297" t="s">
        <v>7</v>
      </c>
      <c r="DK2" s="297"/>
      <c r="DL2" s="297"/>
      <c r="DM2" s="297" t="s">
        <v>37</v>
      </c>
      <c r="DN2" s="297"/>
      <c r="DO2" s="298"/>
      <c r="DP2" s="197" t="s">
        <v>15</v>
      </c>
      <c r="DQ2" s="198"/>
      <c r="DR2" s="199"/>
      <c r="DS2" s="297" t="s">
        <v>10</v>
      </c>
      <c r="DT2" s="297"/>
      <c r="DU2" s="298"/>
      <c r="DV2" s="192" t="s">
        <v>16</v>
      </c>
      <c r="DW2" s="193"/>
      <c r="DX2" s="194"/>
    </row>
    <row r="3" spans="1:128" s="17" customFormat="1" ht="17.100000000000001" customHeight="1" thickBot="1" x14ac:dyDescent="0.2">
      <c r="A3" s="7" t="s">
        <v>17</v>
      </c>
      <c r="B3" s="78" t="s">
        <v>18</v>
      </c>
      <c r="C3" s="8" t="s">
        <v>19</v>
      </c>
      <c r="D3" s="9" t="s">
        <v>20</v>
      </c>
      <c r="E3" s="10" t="s">
        <v>21</v>
      </c>
      <c r="F3" s="8" t="s">
        <v>19</v>
      </c>
      <c r="G3" s="9" t="s">
        <v>20</v>
      </c>
      <c r="H3" s="10" t="s">
        <v>21</v>
      </c>
      <c r="I3" s="8" t="s">
        <v>19</v>
      </c>
      <c r="J3" s="9" t="s">
        <v>20</v>
      </c>
      <c r="K3" s="10" t="s">
        <v>21</v>
      </c>
      <c r="L3" s="11" t="s">
        <v>19</v>
      </c>
      <c r="M3" s="9" t="s">
        <v>20</v>
      </c>
      <c r="N3" s="10" t="s">
        <v>21</v>
      </c>
      <c r="O3" s="11" t="s">
        <v>19</v>
      </c>
      <c r="P3" s="9" t="s">
        <v>20</v>
      </c>
      <c r="Q3" s="10" t="s">
        <v>21</v>
      </c>
      <c r="R3" s="11" t="s">
        <v>19</v>
      </c>
      <c r="S3" s="9" t="s">
        <v>20</v>
      </c>
      <c r="T3" s="10" t="s">
        <v>21</v>
      </c>
      <c r="U3" s="11" t="s">
        <v>19</v>
      </c>
      <c r="V3" s="9" t="s">
        <v>20</v>
      </c>
      <c r="W3" s="12" t="s">
        <v>21</v>
      </c>
      <c r="X3" s="8" t="s">
        <v>19</v>
      </c>
      <c r="Y3" s="13" t="s">
        <v>20</v>
      </c>
      <c r="Z3" s="12" t="s">
        <v>21</v>
      </c>
      <c r="AA3" s="8" t="s">
        <v>19</v>
      </c>
      <c r="AB3" s="9" t="s">
        <v>20</v>
      </c>
      <c r="AC3" s="10" t="s">
        <v>21</v>
      </c>
      <c r="AD3" s="8" t="s">
        <v>19</v>
      </c>
      <c r="AE3" s="9" t="s">
        <v>20</v>
      </c>
      <c r="AF3" s="10" t="s">
        <v>21</v>
      </c>
      <c r="AG3" s="8" t="s">
        <v>19</v>
      </c>
      <c r="AH3" s="9" t="s">
        <v>20</v>
      </c>
      <c r="AI3" s="10" t="s">
        <v>21</v>
      </c>
      <c r="AJ3" s="11" t="s">
        <v>19</v>
      </c>
      <c r="AK3" s="9" t="s">
        <v>20</v>
      </c>
      <c r="AL3" s="10" t="s">
        <v>21</v>
      </c>
      <c r="AM3" s="11" t="s">
        <v>19</v>
      </c>
      <c r="AN3" s="9" t="s">
        <v>20</v>
      </c>
      <c r="AO3" s="10" t="s">
        <v>21</v>
      </c>
      <c r="AP3" s="11" t="s">
        <v>19</v>
      </c>
      <c r="AQ3" s="9" t="s">
        <v>20</v>
      </c>
      <c r="AR3" s="10" t="s">
        <v>21</v>
      </c>
      <c r="AS3" s="11" t="s">
        <v>19</v>
      </c>
      <c r="AT3" s="9" t="s">
        <v>20</v>
      </c>
      <c r="AU3" s="12" t="s">
        <v>21</v>
      </c>
      <c r="AV3" s="8" t="s">
        <v>19</v>
      </c>
      <c r="AW3" s="13" t="s">
        <v>20</v>
      </c>
      <c r="AX3" s="12" t="s">
        <v>21</v>
      </c>
      <c r="AY3" s="8" t="s">
        <v>19</v>
      </c>
      <c r="AZ3" s="9" t="s">
        <v>20</v>
      </c>
      <c r="BA3" s="10" t="s">
        <v>21</v>
      </c>
      <c r="BB3" s="11" t="s">
        <v>19</v>
      </c>
      <c r="BC3" s="9" t="s">
        <v>20</v>
      </c>
      <c r="BD3" s="10" t="s">
        <v>21</v>
      </c>
      <c r="BE3" s="11" t="s">
        <v>19</v>
      </c>
      <c r="BF3" s="9" t="s">
        <v>20</v>
      </c>
      <c r="BG3" s="10" t="s">
        <v>21</v>
      </c>
      <c r="BH3" s="11" t="s">
        <v>19</v>
      </c>
      <c r="BI3" s="9" t="s">
        <v>20</v>
      </c>
      <c r="BJ3" s="10" t="s">
        <v>21</v>
      </c>
      <c r="BK3" s="11" t="s">
        <v>19</v>
      </c>
      <c r="BL3" s="9" t="s">
        <v>20</v>
      </c>
      <c r="BM3" s="10" t="s">
        <v>21</v>
      </c>
      <c r="BN3" s="11" t="s">
        <v>19</v>
      </c>
      <c r="BO3" s="9" t="s">
        <v>20</v>
      </c>
      <c r="BP3" s="10" t="s">
        <v>21</v>
      </c>
      <c r="BQ3" s="11" t="s">
        <v>19</v>
      </c>
      <c r="BR3" s="9" t="s">
        <v>20</v>
      </c>
      <c r="BS3" s="12" t="s">
        <v>21</v>
      </c>
      <c r="BT3" s="8" t="s">
        <v>19</v>
      </c>
      <c r="BU3" s="13" t="s">
        <v>20</v>
      </c>
      <c r="BV3" s="12" t="s">
        <v>21</v>
      </c>
      <c r="BW3" s="8" t="s">
        <v>19</v>
      </c>
      <c r="BX3" s="9" t="s">
        <v>20</v>
      </c>
      <c r="BY3" s="10" t="s">
        <v>21</v>
      </c>
      <c r="BZ3" s="11" t="s">
        <v>19</v>
      </c>
      <c r="CA3" s="9" t="s">
        <v>20</v>
      </c>
      <c r="CB3" s="10" t="s">
        <v>21</v>
      </c>
      <c r="CC3" s="11" t="s">
        <v>19</v>
      </c>
      <c r="CD3" s="9" t="s">
        <v>20</v>
      </c>
      <c r="CE3" s="10" t="s">
        <v>21</v>
      </c>
      <c r="CF3" s="11" t="s">
        <v>19</v>
      </c>
      <c r="CG3" s="9" t="s">
        <v>20</v>
      </c>
      <c r="CH3" s="10" t="s">
        <v>21</v>
      </c>
      <c r="CI3" s="11" t="s">
        <v>19</v>
      </c>
      <c r="CJ3" s="9" t="s">
        <v>20</v>
      </c>
      <c r="CK3" s="10" t="s">
        <v>21</v>
      </c>
      <c r="CL3" s="11" t="s">
        <v>19</v>
      </c>
      <c r="CM3" s="9" t="s">
        <v>20</v>
      </c>
      <c r="CN3" s="10" t="s">
        <v>21</v>
      </c>
      <c r="CO3" s="11" t="s">
        <v>19</v>
      </c>
      <c r="CP3" s="9" t="s">
        <v>20</v>
      </c>
      <c r="CQ3" s="12" t="s">
        <v>21</v>
      </c>
      <c r="CR3" s="8" t="s">
        <v>19</v>
      </c>
      <c r="CS3" s="13" t="s">
        <v>20</v>
      </c>
      <c r="CT3" s="12" t="s">
        <v>21</v>
      </c>
      <c r="CU3" s="8" t="s">
        <v>19</v>
      </c>
      <c r="CV3" s="9" t="s">
        <v>20</v>
      </c>
      <c r="CW3" s="10" t="s">
        <v>21</v>
      </c>
      <c r="CX3" s="11" t="s">
        <v>19</v>
      </c>
      <c r="CY3" s="9" t="s">
        <v>20</v>
      </c>
      <c r="CZ3" s="10" t="s">
        <v>21</v>
      </c>
      <c r="DA3" s="11" t="s">
        <v>19</v>
      </c>
      <c r="DB3" s="9" t="s">
        <v>20</v>
      </c>
      <c r="DC3" s="10" t="s">
        <v>21</v>
      </c>
      <c r="DD3" s="11" t="s">
        <v>19</v>
      </c>
      <c r="DE3" s="9" t="s">
        <v>20</v>
      </c>
      <c r="DF3" s="10" t="s">
        <v>21</v>
      </c>
      <c r="DG3" s="11" t="s">
        <v>19</v>
      </c>
      <c r="DH3" s="9" t="s">
        <v>20</v>
      </c>
      <c r="DI3" s="12" t="s">
        <v>21</v>
      </c>
      <c r="DJ3" s="11" t="s">
        <v>19</v>
      </c>
      <c r="DK3" s="9" t="s">
        <v>20</v>
      </c>
      <c r="DL3" s="12" t="s">
        <v>21</v>
      </c>
      <c r="DM3" s="11" t="s">
        <v>19</v>
      </c>
      <c r="DN3" s="9" t="s">
        <v>20</v>
      </c>
      <c r="DO3" s="12" t="s">
        <v>21</v>
      </c>
      <c r="DP3" s="8" t="s">
        <v>19</v>
      </c>
      <c r="DQ3" s="13" t="s">
        <v>20</v>
      </c>
      <c r="DR3" s="12" t="s">
        <v>21</v>
      </c>
      <c r="DS3" s="11" t="s">
        <v>19</v>
      </c>
      <c r="DT3" s="9" t="s">
        <v>20</v>
      </c>
      <c r="DU3" s="12" t="s">
        <v>21</v>
      </c>
      <c r="DV3" s="14" t="s">
        <v>19</v>
      </c>
      <c r="DW3" s="15" t="s">
        <v>20</v>
      </c>
      <c r="DX3" s="16" t="s">
        <v>21</v>
      </c>
    </row>
    <row r="4" spans="1:128" s="26" customFormat="1" ht="17.100000000000001" customHeight="1" thickBot="1" x14ac:dyDescent="0.25">
      <c r="A4" s="18" t="s">
        <v>22</v>
      </c>
      <c r="B4" s="19">
        <v>7000</v>
      </c>
      <c r="C4" s="20"/>
      <c r="D4" s="21"/>
      <c r="E4" s="1">
        <f>$B4*D4</f>
        <v>0</v>
      </c>
      <c r="F4" s="20"/>
      <c r="G4" s="21"/>
      <c r="H4" s="1">
        <f>$B4*G4</f>
        <v>0</v>
      </c>
      <c r="I4" s="20"/>
      <c r="J4" s="21"/>
      <c r="K4" s="1">
        <f>$B4*J4</f>
        <v>0</v>
      </c>
      <c r="L4" s="22"/>
      <c r="M4" s="21"/>
      <c r="N4" s="1">
        <f>$B4*M4</f>
        <v>0</v>
      </c>
      <c r="O4" s="22"/>
      <c r="P4" s="21"/>
      <c r="Q4" s="1">
        <f>$B4*P4</f>
        <v>0</v>
      </c>
      <c r="R4" s="23"/>
      <c r="S4" s="21"/>
      <c r="T4" s="1">
        <f>$B4*S4</f>
        <v>0</v>
      </c>
      <c r="U4" s="24"/>
      <c r="V4" s="21">
        <v>1</v>
      </c>
      <c r="W4" s="63">
        <f>$B4*V4</f>
        <v>7000</v>
      </c>
      <c r="X4" s="69">
        <f>C4+F4+I4+L4+O4+R4+U4</f>
        <v>0</v>
      </c>
      <c r="Y4" s="66">
        <f>D4+G4+J4+M4+P4+S4+V4</f>
        <v>1</v>
      </c>
      <c r="Z4" s="72">
        <f>E4+H4+K4+N4+Q4+T4+W4</f>
        <v>7000</v>
      </c>
      <c r="AA4" s="25"/>
      <c r="AB4" s="21">
        <v>1</v>
      </c>
      <c r="AC4" s="1">
        <f>$B4*AB4</f>
        <v>7000</v>
      </c>
      <c r="AD4" s="24"/>
      <c r="AE4" s="21">
        <v>2</v>
      </c>
      <c r="AF4" s="1">
        <f>$B4*AE4</f>
        <v>14000</v>
      </c>
      <c r="AG4" s="24"/>
      <c r="AH4" s="21">
        <v>2</v>
      </c>
      <c r="AI4" s="1">
        <f>$B4*AH4</f>
        <v>14000</v>
      </c>
      <c r="AJ4" s="24"/>
      <c r="AK4" s="21">
        <v>2</v>
      </c>
      <c r="AL4" s="1">
        <f>$B4*AK4</f>
        <v>14000</v>
      </c>
      <c r="AM4" s="24"/>
      <c r="AN4" s="21">
        <v>2</v>
      </c>
      <c r="AO4" s="1">
        <f>$B4*AN4</f>
        <v>14000</v>
      </c>
      <c r="AP4" s="24"/>
      <c r="AQ4" s="21">
        <v>3</v>
      </c>
      <c r="AR4" s="1">
        <f>$B4*AQ4</f>
        <v>21000</v>
      </c>
      <c r="AS4" s="24"/>
      <c r="AT4" s="21">
        <v>2</v>
      </c>
      <c r="AU4" s="1">
        <f>$B4*AT4</f>
        <v>14000</v>
      </c>
      <c r="AV4" s="69">
        <f>AA4+AD4+AG4+AJ4+AM4+AP4+AS4</f>
        <v>0</v>
      </c>
      <c r="AW4" s="66">
        <f>AB4+AE4+AH4+AK4+AN4+AQ4+AT4</f>
        <v>14</v>
      </c>
      <c r="AX4" s="47">
        <f>AC4+AF4+AI4+AL4+AO4+AR4+AU4</f>
        <v>98000</v>
      </c>
      <c r="AY4" s="24"/>
      <c r="AZ4" s="21"/>
      <c r="BA4" s="1">
        <f>$B4*AZ4</f>
        <v>0</v>
      </c>
      <c r="BB4" s="24"/>
      <c r="BC4" s="21">
        <v>2</v>
      </c>
      <c r="BD4" s="1">
        <f>$B4*BC4</f>
        <v>14000</v>
      </c>
      <c r="BE4" s="24"/>
      <c r="BF4" s="21">
        <v>3</v>
      </c>
      <c r="BG4" s="1">
        <f>$B4*BF4</f>
        <v>21000</v>
      </c>
      <c r="BH4" s="24"/>
      <c r="BI4" s="21">
        <v>2</v>
      </c>
      <c r="BJ4" s="1">
        <f>$B4*BI4</f>
        <v>14000</v>
      </c>
      <c r="BK4" s="24"/>
      <c r="BL4" s="21"/>
      <c r="BM4" s="1">
        <f>$B4*BL4</f>
        <v>0</v>
      </c>
      <c r="BN4" s="24"/>
      <c r="BO4" s="21">
        <v>2</v>
      </c>
      <c r="BP4" s="1">
        <f>$B4*BO4</f>
        <v>14000</v>
      </c>
      <c r="BQ4" s="24"/>
      <c r="BR4" s="21">
        <v>3</v>
      </c>
      <c r="BS4" s="1">
        <f>$B4*BR4</f>
        <v>21000</v>
      </c>
      <c r="BT4" s="69">
        <f>AY4+BB4+BE4+BH4+BK4+BN4+BQ4</f>
        <v>0</v>
      </c>
      <c r="BU4" s="66">
        <f>AZ4+BC4+BF4+BI4+BL4+BO4+BR4</f>
        <v>12</v>
      </c>
      <c r="BV4" s="47">
        <f>BA4+BD4+BG4+BJ4+BM4+BP4+BS4</f>
        <v>84000</v>
      </c>
      <c r="BW4" s="24"/>
      <c r="BX4" s="21">
        <v>2</v>
      </c>
      <c r="BY4" s="1">
        <f>$B4*BX4</f>
        <v>14000</v>
      </c>
      <c r="BZ4" s="24"/>
      <c r="CA4" s="21">
        <v>3</v>
      </c>
      <c r="CB4" s="1">
        <f>$B4*CA4</f>
        <v>21000</v>
      </c>
      <c r="CC4" s="24"/>
      <c r="CD4" s="21">
        <v>2</v>
      </c>
      <c r="CE4" s="1">
        <f>$B4*CD4</f>
        <v>14000</v>
      </c>
      <c r="CF4" s="24"/>
      <c r="CG4" s="21">
        <v>2</v>
      </c>
      <c r="CH4" s="1">
        <f>$B4*CG4</f>
        <v>14000</v>
      </c>
      <c r="CI4" s="24"/>
      <c r="CJ4" s="21">
        <v>2</v>
      </c>
      <c r="CK4" s="1">
        <f>$B4*CJ4</f>
        <v>14000</v>
      </c>
      <c r="CL4" s="24"/>
      <c r="CM4" s="21"/>
      <c r="CN4" s="1">
        <f>$B4*CM4</f>
        <v>0</v>
      </c>
      <c r="CO4" s="24"/>
      <c r="CP4" s="21">
        <v>2</v>
      </c>
      <c r="CQ4" s="1">
        <f>$B4*CP4</f>
        <v>14000</v>
      </c>
      <c r="CR4" s="69">
        <f>BW4+BZ4+CC4+CF4+CI4+CL4+CO4</f>
        <v>0</v>
      </c>
      <c r="CS4" s="66">
        <f>BX4+CA4+CD4+CG4+CJ4+CM4+CP4</f>
        <v>13</v>
      </c>
      <c r="CT4" s="47">
        <f>BY4+CB4+CE4+CH4+CK4+CN4+CQ4</f>
        <v>91000</v>
      </c>
      <c r="CU4" s="24"/>
      <c r="CV4" s="21">
        <v>2</v>
      </c>
      <c r="CW4" s="1">
        <f>$B4*CV4</f>
        <v>14000</v>
      </c>
      <c r="CX4" s="24"/>
      <c r="CY4" s="21">
        <v>2</v>
      </c>
      <c r="CZ4" s="1">
        <f>$B4*CY4</f>
        <v>14000</v>
      </c>
      <c r="DA4" s="24"/>
      <c r="DB4" s="21">
        <v>4</v>
      </c>
      <c r="DC4" s="1">
        <f>$B4*DB4</f>
        <v>28000</v>
      </c>
      <c r="DD4" s="24"/>
      <c r="DE4" s="21">
        <v>3</v>
      </c>
      <c r="DF4" s="1">
        <f>$B4*DE4</f>
        <v>21000</v>
      </c>
      <c r="DG4" s="24"/>
      <c r="DH4" s="21">
        <v>2</v>
      </c>
      <c r="DI4" s="1">
        <f>$B4*DH4</f>
        <v>14000</v>
      </c>
      <c r="DJ4" s="24"/>
      <c r="DK4" s="21">
        <v>2</v>
      </c>
      <c r="DL4" s="1">
        <f>$B4*DK4</f>
        <v>14000</v>
      </c>
      <c r="DM4" s="24"/>
      <c r="DN4" s="21">
        <v>2</v>
      </c>
      <c r="DO4" s="1">
        <f>$B4*DN4</f>
        <v>14000</v>
      </c>
      <c r="DP4" s="69">
        <f>CU4+CX4+DA4+DD4+DG4+DJ4+DM4</f>
        <v>0</v>
      </c>
      <c r="DQ4" s="66">
        <f>CV4+CY4+DB4+DE4+DH4+DK4+DN4</f>
        <v>17</v>
      </c>
      <c r="DR4" s="47">
        <f>CW4+CZ4+DC4+DF4+DI4+DL4+DO4</f>
        <v>119000</v>
      </c>
      <c r="DS4" s="24"/>
      <c r="DT4" s="21">
        <v>2</v>
      </c>
      <c r="DU4" s="1">
        <f>$B4*DT4</f>
        <v>14000</v>
      </c>
      <c r="DV4" s="48">
        <f>X4+AV4+CR4+DP4</f>
        <v>0</v>
      </c>
      <c r="DW4" s="49">
        <f>Y4+AW4+BU4+CS4+DQ4</f>
        <v>57</v>
      </c>
      <c r="DX4" s="50">
        <f>Z4+AX4+BV4+CT4+DR4</f>
        <v>399000</v>
      </c>
    </row>
    <row r="5" spans="1:128" s="26" customFormat="1" ht="17.100000000000001" customHeight="1" thickBot="1" x14ac:dyDescent="0.25">
      <c r="A5" s="27" t="s">
        <v>23</v>
      </c>
      <c r="B5" s="19">
        <v>7000</v>
      </c>
      <c r="C5" s="29"/>
      <c r="D5" s="30"/>
      <c r="E5" s="2">
        <f t="shared" ref="E5:E24" si="0">$B5*D5</f>
        <v>0</v>
      </c>
      <c r="F5" s="29"/>
      <c r="G5" s="30"/>
      <c r="H5" s="2">
        <f t="shared" ref="H5:H24" si="1">$B5*G5</f>
        <v>0</v>
      </c>
      <c r="I5" s="29"/>
      <c r="J5" s="30"/>
      <c r="K5" s="2">
        <f t="shared" ref="K5:K24" si="2">$B5*J5</f>
        <v>0</v>
      </c>
      <c r="L5" s="31"/>
      <c r="M5" s="30"/>
      <c r="N5" s="2">
        <f t="shared" ref="N5:N24" si="3">$B5*M5</f>
        <v>0</v>
      </c>
      <c r="O5" s="31"/>
      <c r="P5" s="30"/>
      <c r="Q5" s="2">
        <f t="shared" ref="Q5:Q24" si="4">$B5*P5</f>
        <v>0</v>
      </c>
      <c r="R5" s="32"/>
      <c r="S5" s="30"/>
      <c r="T5" s="2">
        <f t="shared" ref="T5:T24" si="5">$B5*S5</f>
        <v>0</v>
      </c>
      <c r="U5" s="33"/>
      <c r="V5" s="30">
        <v>1</v>
      </c>
      <c r="W5" s="64">
        <f t="shared" ref="W5:W24" si="6">$B5*V5</f>
        <v>7000</v>
      </c>
      <c r="X5" s="70">
        <f t="shared" ref="X5:Z24" si="7">C5+F5+I5+L5+O5+R5+U5</f>
        <v>0</v>
      </c>
      <c r="Y5" s="67">
        <f t="shared" si="7"/>
        <v>1</v>
      </c>
      <c r="Z5" s="73">
        <f t="shared" si="7"/>
        <v>7000</v>
      </c>
      <c r="AA5" s="35"/>
      <c r="AB5" s="30">
        <v>1</v>
      </c>
      <c r="AC5" s="2">
        <f t="shared" ref="AC5:AC24" si="8">$B5*AB5</f>
        <v>7000</v>
      </c>
      <c r="AD5" s="33"/>
      <c r="AE5" s="30">
        <v>2</v>
      </c>
      <c r="AF5" s="2">
        <f t="shared" ref="AF5:AF24" si="9">$B5*AE5</f>
        <v>14000</v>
      </c>
      <c r="AG5" s="33"/>
      <c r="AH5" s="30">
        <v>2</v>
      </c>
      <c r="AI5" s="2">
        <f t="shared" ref="AI5:AI24" si="10">$B5*AH5</f>
        <v>14000</v>
      </c>
      <c r="AJ5" s="33"/>
      <c r="AK5" s="30">
        <v>2</v>
      </c>
      <c r="AL5" s="2">
        <f t="shared" ref="AL5:AL24" si="11">$B5*AK5</f>
        <v>14000</v>
      </c>
      <c r="AM5" s="33"/>
      <c r="AN5" s="30">
        <v>2</v>
      </c>
      <c r="AO5" s="2">
        <f t="shared" ref="AO5:AO24" si="12">$B5*AN5</f>
        <v>14000</v>
      </c>
      <c r="AP5" s="33"/>
      <c r="AQ5" s="30">
        <v>3</v>
      </c>
      <c r="AR5" s="2">
        <f t="shared" ref="AR5:AR24" si="13">$B5*AQ5</f>
        <v>21000</v>
      </c>
      <c r="AS5" s="33"/>
      <c r="AT5" s="30">
        <v>2</v>
      </c>
      <c r="AU5" s="2">
        <f t="shared" ref="AU5:AU24" si="14">$B5*AT5</f>
        <v>14000</v>
      </c>
      <c r="AV5" s="70">
        <f t="shared" ref="AV5:AX24" si="15">AA5+AD5+AG5+AJ5+AM5+AP5+AS5</f>
        <v>0</v>
      </c>
      <c r="AW5" s="67">
        <f t="shared" si="15"/>
        <v>14</v>
      </c>
      <c r="AX5" s="51">
        <f t="shared" si="15"/>
        <v>98000</v>
      </c>
      <c r="AY5" s="33"/>
      <c r="AZ5" s="30">
        <v>2</v>
      </c>
      <c r="BA5" s="2">
        <f t="shared" ref="BA5:BA24" si="16">$B5*AZ5</f>
        <v>14000</v>
      </c>
      <c r="BB5" s="33"/>
      <c r="BC5" s="30">
        <v>2</v>
      </c>
      <c r="BD5" s="2">
        <f t="shared" ref="BD5:BD24" si="17">$B5*BC5</f>
        <v>14000</v>
      </c>
      <c r="BE5" s="33"/>
      <c r="BF5" s="30">
        <v>4</v>
      </c>
      <c r="BG5" s="2">
        <f t="shared" ref="BG5:BG24" si="18">$B5*BF5</f>
        <v>28000</v>
      </c>
      <c r="BH5" s="33"/>
      <c r="BI5" s="30">
        <v>2</v>
      </c>
      <c r="BJ5" s="2">
        <f t="shared" ref="BJ5:BJ24" si="19">$B5*BI5</f>
        <v>14000</v>
      </c>
      <c r="BK5" s="33"/>
      <c r="BL5" s="30">
        <v>4</v>
      </c>
      <c r="BM5" s="2">
        <f t="shared" ref="BM5:BM24" si="20">$B5*BL5</f>
        <v>28000</v>
      </c>
      <c r="BN5" s="33"/>
      <c r="BO5" s="30">
        <v>2</v>
      </c>
      <c r="BP5" s="2">
        <f t="shared" ref="BP5:BP24" si="21">$B5*BO5</f>
        <v>14000</v>
      </c>
      <c r="BQ5" s="33"/>
      <c r="BR5" s="30">
        <v>3</v>
      </c>
      <c r="BS5" s="2">
        <f t="shared" ref="BS5:BS24" si="22">$B5*BR5</f>
        <v>21000</v>
      </c>
      <c r="BT5" s="70">
        <f t="shared" ref="BT5:BV24" si="23">AY5+BB5+BE5+BH5+BK5+BN5+BQ5</f>
        <v>0</v>
      </c>
      <c r="BU5" s="67">
        <f t="shared" si="23"/>
        <v>19</v>
      </c>
      <c r="BV5" s="51">
        <f t="shared" si="23"/>
        <v>133000</v>
      </c>
      <c r="BW5" s="33"/>
      <c r="BX5" s="30"/>
      <c r="BY5" s="2">
        <f t="shared" ref="BY5:BY24" si="24">$B5*BX5</f>
        <v>0</v>
      </c>
      <c r="BZ5" s="33"/>
      <c r="CA5" s="30">
        <v>3</v>
      </c>
      <c r="CB5" s="2">
        <f t="shared" ref="CB5:CB24" si="25">$B5*CA5</f>
        <v>21000</v>
      </c>
      <c r="CC5" s="33"/>
      <c r="CD5" s="30">
        <v>2</v>
      </c>
      <c r="CE5" s="2">
        <f t="shared" ref="CE5:CE24" si="26">$B5*CD5</f>
        <v>14000</v>
      </c>
      <c r="CF5" s="33"/>
      <c r="CG5" s="30">
        <v>2</v>
      </c>
      <c r="CH5" s="2">
        <f t="shared" ref="CH5:CH24" si="27">$B5*CG5</f>
        <v>14000</v>
      </c>
      <c r="CI5" s="33"/>
      <c r="CJ5" s="30">
        <v>2</v>
      </c>
      <c r="CK5" s="2">
        <f t="shared" ref="CK5:CK24" si="28">$B5*CJ5</f>
        <v>14000</v>
      </c>
      <c r="CL5" s="33"/>
      <c r="CM5" s="30">
        <v>2</v>
      </c>
      <c r="CN5" s="2">
        <f t="shared" ref="CN5:CN24" si="29">$B5*CM5</f>
        <v>14000</v>
      </c>
      <c r="CO5" s="33"/>
      <c r="CP5" s="30">
        <v>2</v>
      </c>
      <c r="CQ5" s="2">
        <f t="shared" ref="CQ5:CQ24" si="30">$B5*CP5</f>
        <v>14000</v>
      </c>
      <c r="CR5" s="70">
        <f t="shared" ref="CR5:CT24" si="31">BW5+BZ5+CC5+CF5+CI5+CL5+CO5</f>
        <v>0</v>
      </c>
      <c r="CS5" s="67">
        <f t="shared" si="31"/>
        <v>13</v>
      </c>
      <c r="CT5" s="51">
        <f t="shared" si="31"/>
        <v>91000</v>
      </c>
      <c r="CU5" s="33"/>
      <c r="CV5" s="30">
        <v>2</v>
      </c>
      <c r="CW5" s="2">
        <f t="shared" ref="CW5:CW24" si="32">$B5*CV5</f>
        <v>14000</v>
      </c>
      <c r="CX5" s="33"/>
      <c r="CY5" s="30">
        <v>2</v>
      </c>
      <c r="CZ5" s="2">
        <f t="shared" ref="CZ5:CZ24" si="33">$B5*CY5</f>
        <v>14000</v>
      </c>
      <c r="DA5" s="33">
        <v>30000</v>
      </c>
      <c r="DB5" s="30">
        <v>4</v>
      </c>
      <c r="DC5" s="2">
        <f t="shared" ref="DC5:DC24" si="34">$B5*DB5</f>
        <v>28000</v>
      </c>
      <c r="DD5" s="33"/>
      <c r="DE5" s="30">
        <v>3</v>
      </c>
      <c r="DF5" s="2">
        <f t="shared" ref="DF5:DF24" si="35">$B5*DE5</f>
        <v>21000</v>
      </c>
      <c r="DG5" s="33"/>
      <c r="DH5" s="30">
        <v>2</v>
      </c>
      <c r="DI5" s="2">
        <f t="shared" ref="DI5:DI24" si="36">$B5*DH5</f>
        <v>14000</v>
      </c>
      <c r="DJ5" s="33"/>
      <c r="DK5" s="30">
        <v>2</v>
      </c>
      <c r="DL5" s="2">
        <f t="shared" ref="DL5:DL24" si="37">$B5*DK5</f>
        <v>14000</v>
      </c>
      <c r="DM5" s="33"/>
      <c r="DN5" s="30">
        <v>2</v>
      </c>
      <c r="DO5" s="2">
        <f t="shared" ref="DO5:DO24" si="38">$B5*DN5</f>
        <v>14000</v>
      </c>
      <c r="DP5" s="70">
        <f t="shared" ref="DP5:DR24" si="39">CU5+CX5+DA5+DD5+DG5+DJ5+DM5</f>
        <v>30000</v>
      </c>
      <c r="DQ5" s="67">
        <f t="shared" si="39"/>
        <v>17</v>
      </c>
      <c r="DR5" s="51">
        <f t="shared" si="39"/>
        <v>119000</v>
      </c>
      <c r="DS5" s="33"/>
      <c r="DT5" s="30">
        <v>2</v>
      </c>
      <c r="DU5" s="2">
        <f t="shared" ref="DU5:DU24" si="40">$B5*DT5</f>
        <v>14000</v>
      </c>
      <c r="DV5" s="52">
        <f t="shared" ref="DV5:DV24" si="41">X5+AV5+CR5+DP5</f>
        <v>30000</v>
      </c>
      <c r="DW5" s="53">
        <f t="shared" ref="DW5:DX24" si="42">Y5+AW5+BU5+CS5+DQ5</f>
        <v>64</v>
      </c>
      <c r="DX5" s="54">
        <f t="shared" si="42"/>
        <v>448000</v>
      </c>
    </row>
    <row r="6" spans="1:128" s="26" customFormat="1" ht="17.100000000000001" customHeight="1" thickBot="1" x14ac:dyDescent="0.25">
      <c r="A6" s="27" t="s">
        <v>24</v>
      </c>
      <c r="B6" s="19">
        <v>7000</v>
      </c>
      <c r="C6" s="29"/>
      <c r="D6" s="30"/>
      <c r="E6" s="2">
        <f t="shared" si="0"/>
        <v>0</v>
      </c>
      <c r="F6" s="29"/>
      <c r="G6" s="30"/>
      <c r="H6" s="2">
        <f t="shared" si="1"/>
        <v>0</v>
      </c>
      <c r="I6" s="29"/>
      <c r="J6" s="30"/>
      <c r="K6" s="2">
        <f t="shared" si="2"/>
        <v>0</v>
      </c>
      <c r="L6" s="31"/>
      <c r="M6" s="30"/>
      <c r="N6" s="2">
        <f t="shared" si="3"/>
        <v>0</v>
      </c>
      <c r="O6" s="31"/>
      <c r="P6" s="30"/>
      <c r="Q6" s="2">
        <f t="shared" si="4"/>
        <v>0</v>
      </c>
      <c r="R6" s="32"/>
      <c r="S6" s="30"/>
      <c r="T6" s="2">
        <f t="shared" si="5"/>
        <v>0</v>
      </c>
      <c r="U6" s="33"/>
      <c r="V6" s="30">
        <v>1</v>
      </c>
      <c r="W6" s="64">
        <f t="shared" si="6"/>
        <v>7000</v>
      </c>
      <c r="X6" s="70">
        <f t="shared" si="7"/>
        <v>0</v>
      </c>
      <c r="Y6" s="67">
        <f t="shared" si="7"/>
        <v>1</v>
      </c>
      <c r="Z6" s="73">
        <f t="shared" si="7"/>
        <v>7000</v>
      </c>
      <c r="AA6" s="35"/>
      <c r="AB6" s="30">
        <v>1</v>
      </c>
      <c r="AC6" s="2">
        <f t="shared" si="8"/>
        <v>7000</v>
      </c>
      <c r="AD6" s="33"/>
      <c r="AE6" s="30">
        <v>2</v>
      </c>
      <c r="AF6" s="2">
        <f t="shared" si="9"/>
        <v>14000</v>
      </c>
      <c r="AG6" s="33"/>
      <c r="AH6" s="30">
        <v>2</v>
      </c>
      <c r="AI6" s="2">
        <f t="shared" si="10"/>
        <v>14000</v>
      </c>
      <c r="AJ6" s="33"/>
      <c r="AK6" s="30">
        <v>2</v>
      </c>
      <c r="AL6" s="2">
        <f t="shared" si="11"/>
        <v>14000</v>
      </c>
      <c r="AM6" s="33"/>
      <c r="AN6" s="30">
        <v>2</v>
      </c>
      <c r="AO6" s="2">
        <f t="shared" si="12"/>
        <v>14000</v>
      </c>
      <c r="AP6" s="33"/>
      <c r="AQ6" s="30">
        <v>2</v>
      </c>
      <c r="AR6" s="2">
        <f t="shared" si="13"/>
        <v>14000</v>
      </c>
      <c r="AS6" s="33"/>
      <c r="AT6" s="30"/>
      <c r="AU6" s="2">
        <f t="shared" si="14"/>
        <v>0</v>
      </c>
      <c r="AV6" s="70">
        <f t="shared" si="15"/>
        <v>0</v>
      </c>
      <c r="AW6" s="67">
        <f t="shared" si="15"/>
        <v>11</v>
      </c>
      <c r="AX6" s="51">
        <f t="shared" si="15"/>
        <v>77000</v>
      </c>
      <c r="AY6" s="33"/>
      <c r="AZ6" s="30">
        <v>2</v>
      </c>
      <c r="BA6" s="2">
        <f t="shared" si="16"/>
        <v>14000</v>
      </c>
      <c r="BB6" s="33"/>
      <c r="BC6" s="30">
        <v>1</v>
      </c>
      <c r="BD6" s="2">
        <f t="shared" si="17"/>
        <v>7000</v>
      </c>
      <c r="BE6" s="33"/>
      <c r="BF6" s="30">
        <v>3</v>
      </c>
      <c r="BG6" s="2">
        <f t="shared" si="18"/>
        <v>21000</v>
      </c>
      <c r="BH6" s="33"/>
      <c r="BI6" s="30">
        <v>2</v>
      </c>
      <c r="BJ6" s="2">
        <f t="shared" si="19"/>
        <v>14000</v>
      </c>
      <c r="BK6" s="33"/>
      <c r="BL6" s="30">
        <v>3</v>
      </c>
      <c r="BM6" s="2">
        <f t="shared" si="20"/>
        <v>21000</v>
      </c>
      <c r="BN6" s="33"/>
      <c r="BO6" s="30">
        <v>2</v>
      </c>
      <c r="BP6" s="2">
        <f t="shared" si="21"/>
        <v>14000</v>
      </c>
      <c r="BQ6" s="33"/>
      <c r="BR6" s="30">
        <v>3</v>
      </c>
      <c r="BS6" s="2">
        <f t="shared" si="22"/>
        <v>21000</v>
      </c>
      <c r="BT6" s="70">
        <f t="shared" si="23"/>
        <v>0</v>
      </c>
      <c r="BU6" s="67">
        <f t="shared" si="23"/>
        <v>16</v>
      </c>
      <c r="BV6" s="51">
        <f t="shared" si="23"/>
        <v>112000</v>
      </c>
      <c r="BW6" s="33"/>
      <c r="BX6" s="30">
        <v>2</v>
      </c>
      <c r="BY6" s="2">
        <f t="shared" si="24"/>
        <v>14000</v>
      </c>
      <c r="BZ6" s="33"/>
      <c r="CA6" s="30">
        <v>3</v>
      </c>
      <c r="CB6" s="2">
        <f t="shared" si="25"/>
        <v>21000</v>
      </c>
      <c r="CC6" s="33"/>
      <c r="CD6" s="30">
        <v>2</v>
      </c>
      <c r="CE6" s="2">
        <f t="shared" si="26"/>
        <v>14000</v>
      </c>
      <c r="CF6" s="33"/>
      <c r="CG6" s="30">
        <v>2</v>
      </c>
      <c r="CH6" s="2">
        <f t="shared" si="27"/>
        <v>14000</v>
      </c>
      <c r="CI6" s="33"/>
      <c r="CJ6" s="30">
        <v>2</v>
      </c>
      <c r="CK6" s="2">
        <f t="shared" si="28"/>
        <v>14000</v>
      </c>
      <c r="CL6" s="33"/>
      <c r="CM6" s="30">
        <v>2</v>
      </c>
      <c r="CN6" s="2">
        <f t="shared" si="29"/>
        <v>14000</v>
      </c>
      <c r="CO6" s="33"/>
      <c r="CP6" s="30">
        <v>2</v>
      </c>
      <c r="CQ6" s="2">
        <f t="shared" si="30"/>
        <v>14000</v>
      </c>
      <c r="CR6" s="70">
        <f t="shared" si="31"/>
        <v>0</v>
      </c>
      <c r="CS6" s="67">
        <f t="shared" si="31"/>
        <v>15</v>
      </c>
      <c r="CT6" s="51">
        <f t="shared" si="31"/>
        <v>105000</v>
      </c>
      <c r="CU6" s="33"/>
      <c r="CV6" s="30">
        <v>2</v>
      </c>
      <c r="CW6" s="2">
        <f t="shared" si="32"/>
        <v>14000</v>
      </c>
      <c r="CX6" s="33"/>
      <c r="CY6" s="30">
        <v>2</v>
      </c>
      <c r="CZ6" s="2">
        <f t="shared" si="33"/>
        <v>14000</v>
      </c>
      <c r="DA6" s="33"/>
      <c r="DB6" s="30">
        <v>5</v>
      </c>
      <c r="DC6" s="2">
        <f t="shared" si="34"/>
        <v>35000</v>
      </c>
      <c r="DD6" s="33"/>
      <c r="DE6" s="30">
        <v>3</v>
      </c>
      <c r="DF6" s="2">
        <f t="shared" si="35"/>
        <v>21000</v>
      </c>
      <c r="DG6" s="33"/>
      <c r="DH6" s="30">
        <v>2</v>
      </c>
      <c r="DI6" s="2">
        <f t="shared" si="36"/>
        <v>14000</v>
      </c>
      <c r="DJ6" s="33"/>
      <c r="DK6" s="30">
        <v>2</v>
      </c>
      <c r="DL6" s="2">
        <f t="shared" si="37"/>
        <v>14000</v>
      </c>
      <c r="DM6" s="33"/>
      <c r="DN6" s="30">
        <v>2</v>
      </c>
      <c r="DO6" s="2">
        <f t="shared" si="38"/>
        <v>14000</v>
      </c>
      <c r="DP6" s="70">
        <f t="shared" si="39"/>
        <v>0</v>
      </c>
      <c r="DQ6" s="67">
        <f t="shared" si="39"/>
        <v>18</v>
      </c>
      <c r="DR6" s="51">
        <f t="shared" si="39"/>
        <v>126000</v>
      </c>
      <c r="DS6" s="33"/>
      <c r="DT6" s="30">
        <v>1</v>
      </c>
      <c r="DU6" s="2">
        <f t="shared" si="40"/>
        <v>7000</v>
      </c>
      <c r="DV6" s="52">
        <f t="shared" si="41"/>
        <v>0</v>
      </c>
      <c r="DW6" s="53">
        <f t="shared" si="42"/>
        <v>61</v>
      </c>
      <c r="DX6" s="54">
        <f t="shared" si="42"/>
        <v>427000</v>
      </c>
    </row>
    <row r="7" spans="1:128" s="26" customFormat="1" ht="17.100000000000001" customHeight="1" thickBot="1" x14ac:dyDescent="0.25">
      <c r="A7" s="27" t="s">
        <v>25</v>
      </c>
      <c r="B7" s="19">
        <v>7000</v>
      </c>
      <c r="C7" s="29"/>
      <c r="D7" s="30"/>
      <c r="E7" s="2">
        <f t="shared" si="0"/>
        <v>0</v>
      </c>
      <c r="F7" s="29"/>
      <c r="G7" s="30"/>
      <c r="H7" s="2">
        <f t="shared" si="1"/>
        <v>0</v>
      </c>
      <c r="I7" s="29"/>
      <c r="J7" s="30"/>
      <c r="K7" s="2">
        <f t="shared" si="2"/>
        <v>0</v>
      </c>
      <c r="L7" s="31"/>
      <c r="M7" s="30"/>
      <c r="N7" s="2">
        <f t="shared" si="3"/>
        <v>0</v>
      </c>
      <c r="O7" s="31"/>
      <c r="P7" s="30"/>
      <c r="Q7" s="2">
        <f t="shared" si="4"/>
        <v>0</v>
      </c>
      <c r="R7" s="32"/>
      <c r="S7" s="30"/>
      <c r="T7" s="2">
        <f t="shared" si="5"/>
        <v>0</v>
      </c>
      <c r="U7" s="33"/>
      <c r="V7" s="30"/>
      <c r="W7" s="64">
        <f t="shared" si="6"/>
        <v>0</v>
      </c>
      <c r="X7" s="70">
        <f t="shared" si="7"/>
        <v>0</v>
      </c>
      <c r="Y7" s="67">
        <f t="shared" si="7"/>
        <v>0</v>
      </c>
      <c r="Z7" s="73">
        <f t="shared" si="7"/>
        <v>0</v>
      </c>
      <c r="AA7" s="35"/>
      <c r="AB7" s="30">
        <v>1</v>
      </c>
      <c r="AC7" s="2">
        <f t="shared" si="8"/>
        <v>7000</v>
      </c>
      <c r="AD7" s="33"/>
      <c r="AE7" s="30">
        <v>2</v>
      </c>
      <c r="AF7" s="2">
        <f t="shared" si="9"/>
        <v>14000</v>
      </c>
      <c r="AG7" s="33"/>
      <c r="AH7" s="30">
        <v>2</v>
      </c>
      <c r="AI7" s="2">
        <f t="shared" si="10"/>
        <v>14000</v>
      </c>
      <c r="AJ7" s="33"/>
      <c r="AK7" s="30">
        <v>2</v>
      </c>
      <c r="AL7" s="2">
        <f t="shared" si="11"/>
        <v>14000</v>
      </c>
      <c r="AM7" s="33"/>
      <c r="AN7" s="30">
        <v>2</v>
      </c>
      <c r="AO7" s="2">
        <f t="shared" si="12"/>
        <v>14000</v>
      </c>
      <c r="AP7" s="33"/>
      <c r="AQ7" s="30">
        <v>2</v>
      </c>
      <c r="AR7" s="2">
        <f t="shared" si="13"/>
        <v>14000</v>
      </c>
      <c r="AS7" s="33"/>
      <c r="AT7" s="30">
        <v>3</v>
      </c>
      <c r="AU7" s="2">
        <f t="shared" si="14"/>
        <v>21000</v>
      </c>
      <c r="AV7" s="70">
        <f t="shared" si="15"/>
        <v>0</v>
      </c>
      <c r="AW7" s="67">
        <f t="shared" si="15"/>
        <v>14</v>
      </c>
      <c r="AX7" s="51">
        <f t="shared" si="15"/>
        <v>98000</v>
      </c>
      <c r="AY7" s="33"/>
      <c r="AZ7" s="30">
        <v>1</v>
      </c>
      <c r="BA7" s="2">
        <f t="shared" si="16"/>
        <v>7000</v>
      </c>
      <c r="BB7" s="33"/>
      <c r="BC7" s="30">
        <v>2</v>
      </c>
      <c r="BD7" s="2">
        <f t="shared" si="17"/>
        <v>14000</v>
      </c>
      <c r="BE7" s="33"/>
      <c r="BF7" s="30"/>
      <c r="BG7" s="2">
        <f t="shared" si="18"/>
        <v>0</v>
      </c>
      <c r="BH7" s="33"/>
      <c r="BI7" s="30">
        <v>3</v>
      </c>
      <c r="BJ7" s="2">
        <f t="shared" si="19"/>
        <v>21000</v>
      </c>
      <c r="BK7" s="33">
        <v>50000</v>
      </c>
      <c r="BL7" s="30">
        <v>2</v>
      </c>
      <c r="BM7" s="2">
        <f t="shared" si="20"/>
        <v>14000</v>
      </c>
      <c r="BN7" s="33"/>
      <c r="BO7" s="30"/>
      <c r="BP7" s="2">
        <f t="shared" si="21"/>
        <v>0</v>
      </c>
      <c r="BQ7" s="33"/>
      <c r="BR7" s="30"/>
      <c r="BS7" s="2">
        <f t="shared" si="22"/>
        <v>0</v>
      </c>
      <c r="BT7" s="70">
        <f t="shared" si="23"/>
        <v>50000</v>
      </c>
      <c r="BU7" s="67">
        <f t="shared" si="23"/>
        <v>8</v>
      </c>
      <c r="BV7" s="51">
        <f t="shared" si="23"/>
        <v>56000</v>
      </c>
      <c r="BW7" s="33"/>
      <c r="BX7" s="30"/>
      <c r="BY7" s="2">
        <f t="shared" si="24"/>
        <v>0</v>
      </c>
      <c r="BZ7" s="33"/>
      <c r="CA7" s="30">
        <v>3</v>
      </c>
      <c r="CB7" s="2">
        <f t="shared" si="25"/>
        <v>21000</v>
      </c>
      <c r="CC7" s="33"/>
      <c r="CD7" s="30">
        <v>3</v>
      </c>
      <c r="CE7" s="2">
        <f t="shared" si="26"/>
        <v>21000</v>
      </c>
      <c r="CF7" s="33"/>
      <c r="CG7" s="30">
        <v>1</v>
      </c>
      <c r="CH7" s="2">
        <f t="shared" si="27"/>
        <v>7000</v>
      </c>
      <c r="CI7" s="33"/>
      <c r="CJ7" s="99">
        <v>2.5</v>
      </c>
      <c r="CK7" s="2">
        <f t="shared" si="28"/>
        <v>17500</v>
      </c>
      <c r="CL7" s="33"/>
      <c r="CM7" s="30">
        <v>3</v>
      </c>
      <c r="CN7" s="2">
        <f t="shared" si="29"/>
        <v>21000</v>
      </c>
      <c r="CO7" s="33"/>
      <c r="CP7" s="30">
        <v>2</v>
      </c>
      <c r="CQ7" s="2">
        <f t="shared" si="30"/>
        <v>14000</v>
      </c>
      <c r="CR7" s="70">
        <f t="shared" si="31"/>
        <v>0</v>
      </c>
      <c r="CS7" s="67">
        <f t="shared" si="31"/>
        <v>14.5</v>
      </c>
      <c r="CT7" s="51">
        <f t="shared" si="31"/>
        <v>101500</v>
      </c>
      <c r="CU7" s="33"/>
      <c r="CV7" s="30">
        <v>2</v>
      </c>
      <c r="CW7" s="2">
        <f t="shared" si="32"/>
        <v>14000</v>
      </c>
      <c r="CX7" s="33"/>
      <c r="CY7" s="30">
        <v>2</v>
      </c>
      <c r="CZ7" s="2">
        <f t="shared" si="33"/>
        <v>14000</v>
      </c>
      <c r="DA7" s="33"/>
      <c r="DB7" s="99">
        <v>3.5</v>
      </c>
      <c r="DC7" s="2">
        <f t="shared" si="34"/>
        <v>24500</v>
      </c>
      <c r="DD7" s="33"/>
      <c r="DE7" s="30">
        <v>2</v>
      </c>
      <c r="DF7" s="2">
        <f t="shared" si="35"/>
        <v>14000</v>
      </c>
      <c r="DG7" s="33"/>
      <c r="DH7" s="30">
        <v>3</v>
      </c>
      <c r="DI7" s="2">
        <f t="shared" si="36"/>
        <v>21000</v>
      </c>
      <c r="DJ7" s="33"/>
      <c r="DK7" s="30"/>
      <c r="DL7" s="2">
        <f t="shared" si="37"/>
        <v>0</v>
      </c>
      <c r="DM7" s="33"/>
      <c r="DN7" s="30">
        <v>2</v>
      </c>
      <c r="DO7" s="2">
        <f t="shared" si="38"/>
        <v>14000</v>
      </c>
      <c r="DP7" s="70">
        <f t="shared" si="39"/>
        <v>0</v>
      </c>
      <c r="DQ7" s="100">
        <f t="shared" si="39"/>
        <v>14.5</v>
      </c>
      <c r="DR7" s="51">
        <f t="shared" si="39"/>
        <v>101500</v>
      </c>
      <c r="DS7" s="33"/>
      <c r="DT7" s="30">
        <v>2</v>
      </c>
      <c r="DU7" s="2">
        <f t="shared" si="40"/>
        <v>14000</v>
      </c>
      <c r="DV7" s="52">
        <v>50000</v>
      </c>
      <c r="DW7" s="115">
        <f t="shared" si="42"/>
        <v>51</v>
      </c>
      <c r="DX7" s="54">
        <f t="shared" si="42"/>
        <v>357000</v>
      </c>
    </row>
    <row r="8" spans="1:128" s="26" customFormat="1" ht="17.100000000000001" customHeight="1" thickBot="1" x14ac:dyDescent="0.25">
      <c r="A8" s="27" t="s">
        <v>26</v>
      </c>
      <c r="B8" s="19">
        <v>7000</v>
      </c>
      <c r="C8" s="29"/>
      <c r="D8" s="30"/>
      <c r="E8" s="2">
        <f t="shared" si="0"/>
        <v>0</v>
      </c>
      <c r="F8" s="29"/>
      <c r="G8" s="30"/>
      <c r="H8" s="2">
        <f t="shared" si="1"/>
        <v>0</v>
      </c>
      <c r="I8" s="29"/>
      <c r="J8" s="30"/>
      <c r="K8" s="2">
        <f t="shared" si="2"/>
        <v>0</v>
      </c>
      <c r="L8" s="31"/>
      <c r="M8" s="30"/>
      <c r="N8" s="2">
        <f t="shared" si="3"/>
        <v>0</v>
      </c>
      <c r="O8" s="33"/>
      <c r="P8" s="30"/>
      <c r="Q8" s="2">
        <f t="shared" si="4"/>
        <v>0</v>
      </c>
      <c r="R8" s="32"/>
      <c r="S8" s="30"/>
      <c r="T8" s="2">
        <f t="shared" si="5"/>
        <v>0</v>
      </c>
      <c r="U8" s="33"/>
      <c r="V8" s="30">
        <v>1</v>
      </c>
      <c r="W8" s="64">
        <f t="shared" si="6"/>
        <v>7000</v>
      </c>
      <c r="X8" s="70">
        <f t="shared" si="7"/>
        <v>0</v>
      </c>
      <c r="Y8" s="67">
        <f t="shared" si="7"/>
        <v>1</v>
      </c>
      <c r="Z8" s="73">
        <f t="shared" si="7"/>
        <v>7000</v>
      </c>
      <c r="AA8" s="35"/>
      <c r="AB8" s="30"/>
      <c r="AC8" s="2">
        <f t="shared" si="8"/>
        <v>0</v>
      </c>
      <c r="AD8" s="33"/>
      <c r="AE8" s="30">
        <v>2</v>
      </c>
      <c r="AF8" s="2">
        <f t="shared" si="9"/>
        <v>14000</v>
      </c>
      <c r="AG8" s="33">
        <v>5000</v>
      </c>
      <c r="AH8" s="30">
        <v>2</v>
      </c>
      <c r="AI8" s="2">
        <f t="shared" si="10"/>
        <v>14000</v>
      </c>
      <c r="AJ8" s="33"/>
      <c r="AK8" s="30">
        <v>2</v>
      </c>
      <c r="AL8" s="2">
        <f t="shared" si="11"/>
        <v>14000</v>
      </c>
      <c r="AM8" s="33"/>
      <c r="AN8" s="30">
        <v>1</v>
      </c>
      <c r="AO8" s="2">
        <f t="shared" si="12"/>
        <v>7000</v>
      </c>
      <c r="AP8" s="33"/>
      <c r="AQ8" s="30"/>
      <c r="AR8" s="2">
        <f t="shared" si="13"/>
        <v>0</v>
      </c>
      <c r="AS8" s="33"/>
      <c r="AT8" s="30">
        <v>2</v>
      </c>
      <c r="AU8" s="2">
        <f t="shared" si="14"/>
        <v>14000</v>
      </c>
      <c r="AV8" s="70">
        <f t="shared" si="15"/>
        <v>5000</v>
      </c>
      <c r="AW8" s="67">
        <f t="shared" si="15"/>
        <v>9</v>
      </c>
      <c r="AX8" s="51">
        <f t="shared" si="15"/>
        <v>63000</v>
      </c>
      <c r="AY8" s="33"/>
      <c r="AZ8" s="30">
        <v>2</v>
      </c>
      <c r="BA8" s="2">
        <f t="shared" si="16"/>
        <v>14000</v>
      </c>
      <c r="BB8" s="33"/>
      <c r="BC8" s="99">
        <v>1.5</v>
      </c>
      <c r="BD8" s="2">
        <f t="shared" si="17"/>
        <v>10500</v>
      </c>
      <c r="BE8" s="33">
        <v>4000</v>
      </c>
      <c r="BF8" s="30">
        <v>3</v>
      </c>
      <c r="BG8" s="2">
        <f t="shared" si="18"/>
        <v>21000</v>
      </c>
      <c r="BH8" s="33"/>
      <c r="BI8" s="30">
        <v>2</v>
      </c>
      <c r="BJ8" s="2">
        <f t="shared" si="19"/>
        <v>14000</v>
      </c>
      <c r="BK8" s="33"/>
      <c r="BL8" s="30">
        <v>4</v>
      </c>
      <c r="BM8" s="2">
        <f t="shared" si="20"/>
        <v>28000</v>
      </c>
      <c r="BN8" s="33">
        <v>10000</v>
      </c>
      <c r="BO8" s="30"/>
      <c r="BP8" s="2">
        <f t="shared" si="21"/>
        <v>0</v>
      </c>
      <c r="BQ8" s="33"/>
      <c r="BR8" s="30">
        <v>1</v>
      </c>
      <c r="BS8" s="2">
        <f t="shared" si="22"/>
        <v>7000</v>
      </c>
      <c r="BT8" s="70">
        <f t="shared" si="23"/>
        <v>14000</v>
      </c>
      <c r="BU8" s="100">
        <f t="shared" si="23"/>
        <v>13.5</v>
      </c>
      <c r="BV8" s="51">
        <f t="shared" si="23"/>
        <v>94500</v>
      </c>
      <c r="BW8" s="33"/>
      <c r="BX8" s="30">
        <v>1</v>
      </c>
      <c r="BY8" s="2">
        <f t="shared" si="24"/>
        <v>7000</v>
      </c>
      <c r="BZ8" s="33"/>
      <c r="CA8" s="30">
        <v>2</v>
      </c>
      <c r="CB8" s="2">
        <f t="shared" si="25"/>
        <v>14000</v>
      </c>
      <c r="CC8" s="33"/>
      <c r="CD8" s="30">
        <v>2</v>
      </c>
      <c r="CE8" s="2">
        <f t="shared" si="26"/>
        <v>14000</v>
      </c>
      <c r="CF8" s="33"/>
      <c r="CG8" s="30">
        <v>1</v>
      </c>
      <c r="CH8" s="2">
        <f t="shared" si="27"/>
        <v>7000</v>
      </c>
      <c r="CI8" s="33"/>
      <c r="CJ8" s="30">
        <v>3</v>
      </c>
      <c r="CK8" s="2">
        <f t="shared" si="28"/>
        <v>21000</v>
      </c>
      <c r="CL8" s="33"/>
      <c r="CM8" s="30">
        <v>1</v>
      </c>
      <c r="CN8" s="2">
        <f t="shared" si="29"/>
        <v>7000</v>
      </c>
      <c r="CO8" s="33"/>
      <c r="CP8" s="30"/>
      <c r="CQ8" s="2">
        <f t="shared" si="30"/>
        <v>0</v>
      </c>
      <c r="CR8" s="70">
        <f t="shared" si="31"/>
        <v>0</v>
      </c>
      <c r="CS8" s="67">
        <f t="shared" si="31"/>
        <v>10</v>
      </c>
      <c r="CT8" s="51">
        <f t="shared" si="31"/>
        <v>70000</v>
      </c>
      <c r="CU8" s="33"/>
      <c r="CV8" s="30">
        <v>1</v>
      </c>
      <c r="CW8" s="2">
        <f t="shared" si="32"/>
        <v>7000</v>
      </c>
      <c r="CX8" s="33"/>
      <c r="CY8" s="30">
        <v>2</v>
      </c>
      <c r="CZ8" s="2">
        <f t="shared" si="33"/>
        <v>14000</v>
      </c>
      <c r="DA8" s="33">
        <v>10000</v>
      </c>
      <c r="DB8" s="30">
        <v>5</v>
      </c>
      <c r="DC8" s="2">
        <f t="shared" si="34"/>
        <v>35000</v>
      </c>
      <c r="DD8" s="33"/>
      <c r="DE8" s="30">
        <v>2</v>
      </c>
      <c r="DF8" s="2">
        <f t="shared" si="35"/>
        <v>14000</v>
      </c>
      <c r="DG8" s="33">
        <v>5000</v>
      </c>
      <c r="DH8" s="30">
        <v>1</v>
      </c>
      <c r="DI8" s="2">
        <f t="shared" si="36"/>
        <v>7000</v>
      </c>
      <c r="DJ8" s="33"/>
      <c r="DK8" s="30">
        <v>1</v>
      </c>
      <c r="DL8" s="2">
        <f t="shared" si="37"/>
        <v>7000</v>
      </c>
      <c r="DM8" s="33"/>
      <c r="DN8" s="30"/>
      <c r="DO8" s="2">
        <f t="shared" si="38"/>
        <v>0</v>
      </c>
      <c r="DP8" s="70">
        <f t="shared" si="39"/>
        <v>15000</v>
      </c>
      <c r="DQ8" s="67">
        <f t="shared" si="39"/>
        <v>12</v>
      </c>
      <c r="DR8" s="51">
        <f t="shared" si="39"/>
        <v>84000</v>
      </c>
      <c r="DS8" s="33"/>
      <c r="DT8" s="30">
        <v>2</v>
      </c>
      <c r="DU8" s="2">
        <f t="shared" si="40"/>
        <v>14000</v>
      </c>
      <c r="DV8" s="52">
        <v>34000</v>
      </c>
      <c r="DW8" s="115">
        <f t="shared" si="42"/>
        <v>45.5</v>
      </c>
      <c r="DX8" s="54">
        <f t="shared" si="42"/>
        <v>318500</v>
      </c>
    </row>
    <row r="9" spans="1:128" s="26" customFormat="1" ht="17.100000000000001" customHeight="1" thickBot="1" x14ac:dyDescent="0.25">
      <c r="A9" s="27" t="s">
        <v>27</v>
      </c>
      <c r="B9" s="19">
        <v>7000</v>
      </c>
      <c r="C9" s="29"/>
      <c r="D9" s="30"/>
      <c r="E9" s="2">
        <f t="shared" si="0"/>
        <v>0</v>
      </c>
      <c r="F9" s="29"/>
      <c r="G9" s="30"/>
      <c r="H9" s="2">
        <f t="shared" si="1"/>
        <v>0</v>
      </c>
      <c r="I9" s="29"/>
      <c r="J9" s="30"/>
      <c r="K9" s="2">
        <f t="shared" si="2"/>
        <v>0</v>
      </c>
      <c r="L9" s="31"/>
      <c r="M9" s="30"/>
      <c r="N9" s="2">
        <f t="shared" si="3"/>
        <v>0</v>
      </c>
      <c r="O9" s="31"/>
      <c r="P9" s="30"/>
      <c r="Q9" s="2">
        <f t="shared" si="4"/>
        <v>0</v>
      </c>
      <c r="R9" s="31"/>
      <c r="S9" s="30"/>
      <c r="T9" s="2">
        <f t="shared" si="5"/>
        <v>0</v>
      </c>
      <c r="U9" s="33"/>
      <c r="V9" s="30">
        <v>2</v>
      </c>
      <c r="W9" s="64">
        <f t="shared" si="6"/>
        <v>14000</v>
      </c>
      <c r="X9" s="70">
        <f t="shared" si="7"/>
        <v>0</v>
      </c>
      <c r="Y9" s="67">
        <f t="shared" si="7"/>
        <v>2</v>
      </c>
      <c r="Z9" s="73">
        <f t="shared" si="7"/>
        <v>14000</v>
      </c>
      <c r="AA9" s="35"/>
      <c r="AB9" s="30">
        <v>1</v>
      </c>
      <c r="AC9" s="2">
        <f t="shared" si="8"/>
        <v>7000</v>
      </c>
      <c r="AD9" s="33"/>
      <c r="AE9" s="30">
        <v>2</v>
      </c>
      <c r="AF9" s="2">
        <f t="shared" si="9"/>
        <v>14000</v>
      </c>
      <c r="AG9" s="33"/>
      <c r="AH9" s="30">
        <v>2</v>
      </c>
      <c r="AI9" s="2">
        <f t="shared" si="10"/>
        <v>14000</v>
      </c>
      <c r="AJ9" s="33"/>
      <c r="AK9" s="30">
        <v>2</v>
      </c>
      <c r="AL9" s="2">
        <f t="shared" si="11"/>
        <v>14000</v>
      </c>
      <c r="AM9" s="33"/>
      <c r="AN9" s="30">
        <v>2</v>
      </c>
      <c r="AO9" s="2">
        <f t="shared" si="12"/>
        <v>14000</v>
      </c>
      <c r="AP9" s="33"/>
      <c r="AQ9" s="30">
        <v>3</v>
      </c>
      <c r="AR9" s="2">
        <f t="shared" si="13"/>
        <v>21000</v>
      </c>
      <c r="AS9" s="33"/>
      <c r="AT9" s="30">
        <v>2</v>
      </c>
      <c r="AU9" s="2">
        <f t="shared" si="14"/>
        <v>14000</v>
      </c>
      <c r="AV9" s="70">
        <f t="shared" si="15"/>
        <v>0</v>
      </c>
      <c r="AW9" s="67">
        <f t="shared" si="15"/>
        <v>14</v>
      </c>
      <c r="AX9" s="51">
        <f t="shared" si="15"/>
        <v>98000</v>
      </c>
      <c r="AY9" s="33"/>
      <c r="AZ9" s="30">
        <v>2</v>
      </c>
      <c r="BA9" s="2">
        <f t="shared" si="16"/>
        <v>14000</v>
      </c>
      <c r="BB9" s="33"/>
      <c r="BC9" s="30">
        <v>2</v>
      </c>
      <c r="BD9" s="2">
        <f t="shared" si="17"/>
        <v>14000</v>
      </c>
      <c r="BE9" s="33"/>
      <c r="BF9" s="30">
        <v>3</v>
      </c>
      <c r="BG9" s="2">
        <f t="shared" si="18"/>
        <v>21000</v>
      </c>
      <c r="BH9" s="33"/>
      <c r="BI9" s="30">
        <v>2</v>
      </c>
      <c r="BJ9" s="2">
        <f t="shared" si="19"/>
        <v>14000</v>
      </c>
      <c r="BK9" s="33"/>
      <c r="BL9" s="30">
        <v>3</v>
      </c>
      <c r="BM9" s="2">
        <f t="shared" si="20"/>
        <v>21000</v>
      </c>
      <c r="BN9" s="33"/>
      <c r="BO9" s="30">
        <v>2</v>
      </c>
      <c r="BP9" s="2">
        <f t="shared" si="21"/>
        <v>14000</v>
      </c>
      <c r="BQ9" s="33"/>
      <c r="BR9" s="30">
        <v>3</v>
      </c>
      <c r="BS9" s="2">
        <f t="shared" si="22"/>
        <v>21000</v>
      </c>
      <c r="BT9" s="70">
        <f t="shared" si="23"/>
        <v>0</v>
      </c>
      <c r="BU9" s="67">
        <f t="shared" si="23"/>
        <v>17</v>
      </c>
      <c r="BV9" s="51">
        <f t="shared" si="23"/>
        <v>119000</v>
      </c>
      <c r="BW9" s="33"/>
      <c r="BX9" s="30">
        <v>2</v>
      </c>
      <c r="BY9" s="2">
        <f t="shared" si="24"/>
        <v>14000</v>
      </c>
      <c r="BZ9" s="33"/>
      <c r="CA9" s="30">
        <v>5</v>
      </c>
      <c r="CB9" s="2">
        <f t="shared" si="25"/>
        <v>35000</v>
      </c>
      <c r="CC9" s="33"/>
      <c r="CD9" s="30">
        <v>2</v>
      </c>
      <c r="CE9" s="2">
        <f t="shared" si="26"/>
        <v>14000</v>
      </c>
      <c r="CF9" s="33"/>
      <c r="CG9" s="30">
        <v>2</v>
      </c>
      <c r="CH9" s="2">
        <f t="shared" si="27"/>
        <v>14000</v>
      </c>
      <c r="CI9" s="33"/>
      <c r="CJ9" s="30">
        <v>2</v>
      </c>
      <c r="CK9" s="2">
        <f t="shared" si="28"/>
        <v>14000</v>
      </c>
      <c r="CL9" s="33"/>
      <c r="CM9" s="99">
        <v>1.5</v>
      </c>
      <c r="CN9" s="2">
        <f t="shared" si="29"/>
        <v>10500</v>
      </c>
      <c r="CO9" s="33"/>
      <c r="CP9" s="30">
        <v>2</v>
      </c>
      <c r="CQ9" s="2">
        <f t="shared" si="30"/>
        <v>14000</v>
      </c>
      <c r="CR9" s="70">
        <f t="shared" si="31"/>
        <v>0</v>
      </c>
      <c r="CS9" s="100">
        <f t="shared" si="31"/>
        <v>16.5</v>
      </c>
      <c r="CT9" s="51">
        <f t="shared" si="31"/>
        <v>115500</v>
      </c>
      <c r="CU9" s="33"/>
      <c r="CV9" s="30">
        <v>2</v>
      </c>
      <c r="CW9" s="2">
        <f t="shared" si="32"/>
        <v>14000</v>
      </c>
      <c r="CX9" s="33"/>
      <c r="CY9" s="30">
        <v>2</v>
      </c>
      <c r="CZ9" s="2">
        <f t="shared" si="33"/>
        <v>14000</v>
      </c>
      <c r="DA9" s="33"/>
      <c r="DB9" s="30">
        <v>5</v>
      </c>
      <c r="DC9" s="2">
        <f t="shared" si="34"/>
        <v>35000</v>
      </c>
      <c r="DD9" s="33"/>
      <c r="DE9" s="30">
        <v>3</v>
      </c>
      <c r="DF9" s="2">
        <f t="shared" si="35"/>
        <v>21000</v>
      </c>
      <c r="DG9" s="33"/>
      <c r="DH9" s="30">
        <v>2</v>
      </c>
      <c r="DI9" s="2">
        <f t="shared" si="36"/>
        <v>14000</v>
      </c>
      <c r="DJ9" s="33"/>
      <c r="DK9" s="30">
        <v>2</v>
      </c>
      <c r="DL9" s="2">
        <f t="shared" si="37"/>
        <v>14000</v>
      </c>
      <c r="DM9" s="33"/>
      <c r="DN9" s="30">
        <v>3</v>
      </c>
      <c r="DO9" s="2">
        <f t="shared" si="38"/>
        <v>21000</v>
      </c>
      <c r="DP9" s="70">
        <f t="shared" si="39"/>
        <v>0</v>
      </c>
      <c r="DQ9" s="67">
        <f t="shared" si="39"/>
        <v>19</v>
      </c>
      <c r="DR9" s="51">
        <f t="shared" si="39"/>
        <v>133000</v>
      </c>
      <c r="DS9" s="33"/>
      <c r="DT9" s="30">
        <v>4</v>
      </c>
      <c r="DU9" s="2">
        <f t="shared" si="40"/>
        <v>28000</v>
      </c>
      <c r="DV9" s="52">
        <f t="shared" si="41"/>
        <v>0</v>
      </c>
      <c r="DW9" s="107">
        <f t="shared" si="42"/>
        <v>68.5</v>
      </c>
      <c r="DX9" s="54">
        <f t="shared" si="42"/>
        <v>479500</v>
      </c>
    </row>
    <row r="10" spans="1:128" s="26" customFormat="1" ht="17.100000000000001" customHeight="1" thickBot="1" x14ac:dyDescent="0.25">
      <c r="A10" s="27" t="s">
        <v>52</v>
      </c>
      <c r="B10" s="19">
        <v>7000</v>
      </c>
      <c r="C10" s="29"/>
      <c r="D10" s="30"/>
      <c r="E10" s="2">
        <f t="shared" si="0"/>
        <v>0</v>
      </c>
      <c r="F10" s="29"/>
      <c r="G10" s="30"/>
      <c r="H10" s="2">
        <f t="shared" si="1"/>
        <v>0</v>
      </c>
      <c r="I10" s="29"/>
      <c r="J10" s="30"/>
      <c r="K10" s="2">
        <f t="shared" si="2"/>
        <v>0</v>
      </c>
      <c r="L10" s="31"/>
      <c r="M10" s="30"/>
      <c r="N10" s="2">
        <f t="shared" si="3"/>
        <v>0</v>
      </c>
      <c r="O10" s="31"/>
      <c r="P10" s="30"/>
      <c r="Q10" s="2">
        <f t="shared" si="4"/>
        <v>0</v>
      </c>
      <c r="R10" s="31"/>
      <c r="S10" s="30"/>
      <c r="T10" s="2">
        <f t="shared" si="5"/>
        <v>0</v>
      </c>
      <c r="U10" s="33"/>
      <c r="V10" s="30">
        <v>1</v>
      </c>
      <c r="W10" s="64">
        <f t="shared" si="6"/>
        <v>7000</v>
      </c>
      <c r="X10" s="70">
        <f t="shared" si="7"/>
        <v>0</v>
      </c>
      <c r="Y10" s="67">
        <f t="shared" si="7"/>
        <v>1</v>
      </c>
      <c r="Z10" s="73">
        <f t="shared" si="7"/>
        <v>7000</v>
      </c>
      <c r="AA10" s="35"/>
      <c r="AB10" s="30">
        <v>1</v>
      </c>
      <c r="AC10" s="2">
        <f t="shared" si="8"/>
        <v>7000</v>
      </c>
      <c r="AD10" s="33"/>
      <c r="AE10" s="30">
        <v>2</v>
      </c>
      <c r="AF10" s="2">
        <f t="shared" si="9"/>
        <v>14000</v>
      </c>
      <c r="AG10" s="33"/>
      <c r="AH10" s="30">
        <v>2</v>
      </c>
      <c r="AI10" s="2">
        <f t="shared" si="10"/>
        <v>14000</v>
      </c>
      <c r="AJ10" s="33"/>
      <c r="AK10" s="30"/>
      <c r="AL10" s="2">
        <f t="shared" si="11"/>
        <v>0</v>
      </c>
      <c r="AM10" s="33"/>
      <c r="AN10" s="30">
        <v>2</v>
      </c>
      <c r="AO10" s="2">
        <f t="shared" si="12"/>
        <v>14000</v>
      </c>
      <c r="AP10" s="33"/>
      <c r="AQ10" s="30">
        <v>3</v>
      </c>
      <c r="AR10" s="2">
        <f t="shared" si="13"/>
        <v>21000</v>
      </c>
      <c r="AS10" s="33"/>
      <c r="AT10" s="30">
        <v>2</v>
      </c>
      <c r="AU10" s="2">
        <f t="shared" si="14"/>
        <v>14000</v>
      </c>
      <c r="AV10" s="70">
        <f t="shared" si="15"/>
        <v>0</v>
      </c>
      <c r="AW10" s="67">
        <f t="shared" si="15"/>
        <v>12</v>
      </c>
      <c r="AX10" s="51">
        <f t="shared" si="15"/>
        <v>84000</v>
      </c>
      <c r="AY10" s="33"/>
      <c r="AZ10" s="30">
        <v>2</v>
      </c>
      <c r="BA10" s="2">
        <f t="shared" si="16"/>
        <v>14000</v>
      </c>
      <c r="BB10" s="33"/>
      <c r="BC10" s="30">
        <v>2</v>
      </c>
      <c r="BD10" s="2">
        <f t="shared" si="17"/>
        <v>14000</v>
      </c>
      <c r="BE10" s="33"/>
      <c r="BF10" s="30">
        <v>3</v>
      </c>
      <c r="BG10" s="2">
        <f t="shared" si="18"/>
        <v>21000</v>
      </c>
      <c r="BH10" s="33"/>
      <c r="BI10" s="30"/>
      <c r="BJ10" s="2">
        <f t="shared" si="19"/>
        <v>0</v>
      </c>
      <c r="BK10" s="33"/>
      <c r="BL10" s="30">
        <v>2</v>
      </c>
      <c r="BM10" s="2">
        <f t="shared" si="20"/>
        <v>14000</v>
      </c>
      <c r="BN10" s="33"/>
      <c r="BO10" s="30">
        <v>2</v>
      </c>
      <c r="BP10" s="2">
        <f t="shared" si="21"/>
        <v>14000</v>
      </c>
      <c r="BQ10" s="33"/>
      <c r="BR10" s="30">
        <v>3</v>
      </c>
      <c r="BS10" s="2">
        <f t="shared" si="22"/>
        <v>21000</v>
      </c>
      <c r="BT10" s="70">
        <f t="shared" si="23"/>
        <v>0</v>
      </c>
      <c r="BU10" s="67">
        <f t="shared" si="23"/>
        <v>14</v>
      </c>
      <c r="BV10" s="51">
        <f t="shared" si="23"/>
        <v>98000</v>
      </c>
      <c r="BW10" s="33"/>
      <c r="BX10" s="30">
        <v>1</v>
      </c>
      <c r="BY10" s="2">
        <f t="shared" si="24"/>
        <v>7000</v>
      </c>
      <c r="BZ10" s="33"/>
      <c r="CA10" s="30">
        <v>3</v>
      </c>
      <c r="CB10" s="2">
        <f t="shared" si="25"/>
        <v>21000</v>
      </c>
      <c r="CC10" s="33"/>
      <c r="CD10" s="30">
        <v>2</v>
      </c>
      <c r="CE10" s="2">
        <f t="shared" si="26"/>
        <v>14000</v>
      </c>
      <c r="CF10" s="33"/>
      <c r="CG10" s="30">
        <v>2</v>
      </c>
      <c r="CH10" s="2">
        <f t="shared" si="27"/>
        <v>14000</v>
      </c>
      <c r="CI10" s="33"/>
      <c r="CJ10" s="30">
        <v>2</v>
      </c>
      <c r="CK10" s="2">
        <f t="shared" si="28"/>
        <v>14000</v>
      </c>
      <c r="CL10" s="33"/>
      <c r="CM10" s="99">
        <v>1.5</v>
      </c>
      <c r="CN10" s="2">
        <f t="shared" si="29"/>
        <v>10500</v>
      </c>
      <c r="CO10" s="33"/>
      <c r="CP10" s="30"/>
      <c r="CQ10" s="2">
        <f t="shared" si="30"/>
        <v>0</v>
      </c>
      <c r="CR10" s="70">
        <f t="shared" si="31"/>
        <v>0</v>
      </c>
      <c r="CS10" s="67">
        <f t="shared" si="31"/>
        <v>11.5</v>
      </c>
      <c r="CT10" s="51">
        <f t="shared" si="31"/>
        <v>80500</v>
      </c>
      <c r="CU10" s="33"/>
      <c r="CV10" s="30">
        <v>2</v>
      </c>
      <c r="CW10" s="2">
        <f t="shared" si="32"/>
        <v>14000</v>
      </c>
      <c r="CX10" s="33"/>
      <c r="CY10" s="30">
        <v>2</v>
      </c>
      <c r="CZ10" s="2">
        <f t="shared" si="33"/>
        <v>14000</v>
      </c>
      <c r="DA10" s="33"/>
      <c r="DB10" s="30">
        <v>5</v>
      </c>
      <c r="DC10" s="2">
        <f t="shared" si="34"/>
        <v>35000</v>
      </c>
      <c r="DD10" s="33"/>
      <c r="DE10" s="30">
        <v>3</v>
      </c>
      <c r="DF10" s="2">
        <f t="shared" si="35"/>
        <v>21000</v>
      </c>
      <c r="DG10" s="33"/>
      <c r="DH10" s="30">
        <v>2</v>
      </c>
      <c r="DI10" s="2">
        <f t="shared" si="36"/>
        <v>14000</v>
      </c>
      <c r="DJ10" s="33"/>
      <c r="DK10" s="30">
        <v>1</v>
      </c>
      <c r="DL10" s="2">
        <f t="shared" si="37"/>
        <v>7000</v>
      </c>
      <c r="DM10" s="33"/>
      <c r="DN10" s="30">
        <v>2</v>
      </c>
      <c r="DO10" s="2">
        <f t="shared" si="38"/>
        <v>14000</v>
      </c>
      <c r="DP10" s="70">
        <f t="shared" si="39"/>
        <v>0</v>
      </c>
      <c r="DQ10" s="67">
        <f t="shared" si="39"/>
        <v>17</v>
      </c>
      <c r="DR10" s="51">
        <f t="shared" si="39"/>
        <v>119000</v>
      </c>
      <c r="DS10" s="33"/>
      <c r="DT10" s="30">
        <v>2</v>
      </c>
      <c r="DU10" s="2">
        <f t="shared" si="40"/>
        <v>14000</v>
      </c>
      <c r="DV10" s="52">
        <f t="shared" si="41"/>
        <v>0</v>
      </c>
      <c r="DW10" s="107">
        <f t="shared" si="42"/>
        <v>55.5</v>
      </c>
      <c r="DX10" s="54">
        <f t="shared" si="42"/>
        <v>388500</v>
      </c>
    </row>
    <row r="11" spans="1:128" s="26" customFormat="1" ht="17.100000000000001" customHeight="1" thickBot="1" x14ac:dyDescent="0.25">
      <c r="A11" s="27" t="s">
        <v>29</v>
      </c>
      <c r="B11" s="19">
        <v>7000</v>
      </c>
      <c r="C11" s="29"/>
      <c r="D11" s="30"/>
      <c r="E11" s="2">
        <f t="shared" si="0"/>
        <v>0</v>
      </c>
      <c r="F11" s="29"/>
      <c r="G11" s="30"/>
      <c r="H11" s="2">
        <f t="shared" si="1"/>
        <v>0</v>
      </c>
      <c r="I11" s="29"/>
      <c r="J11" s="30"/>
      <c r="K11" s="2">
        <f t="shared" si="2"/>
        <v>0</v>
      </c>
      <c r="L11" s="31"/>
      <c r="M11" s="30"/>
      <c r="N11" s="2">
        <f t="shared" si="3"/>
        <v>0</v>
      </c>
      <c r="O11" s="31"/>
      <c r="P11" s="30"/>
      <c r="Q11" s="2">
        <f t="shared" si="4"/>
        <v>0</v>
      </c>
      <c r="R11" s="31"/>
      <c r="S11" s="30"/>
      <c r="T11" s="2">
        <f t="shared" si="5"/>
        <v>0</v>
      </c>
      <c r="U11" s="33"/>
      <c r="V11" s="30">
        <v>1</v>
      </c>
      <c r="W11" s="64">
        <f t="shared" si="6"/>
        <v>7000</v>
      </c>
      <c r="X11" s="70">
        <f t="shared" si="7"/>
        <v>0</v>
      </c>
      <c r="Y11" s="67">
        <f t="shared" si="7"/>
        <v>1</v>
      </c>
      <c r="Z11" s="73">
        <f t="shared" si="7"/>
        <v>7000</v>
      </c>
      <c r="AA11" s="35"/>
      <c r="AB11" s="30">
        <v>1</v>
      </c>
      <c r="AC11" s="2">
        <f t="shared" si="8"/>
        <v>7000</v>
      </c>
      <c r="AD11" s="33"/>
      <c r="AE11" s="30">
        <v>2</v>
      </c>
      <c r="AF11" s="2">
        <f t="shared" si="9"/>
        <v>14000</v>
      </c>
      <c r="AG11" s="33"/>
      <c r="AH11" s="30">
        <v>2</v>
      </c>
      <c r="AI11" s="2">
        <f t="shared" si="10"/>
        <v>14000</v>
      </c>
      <c r="AJ11" s="33"/>
      <c r="AK11" s="30">
        <v>2</v>
      </c>
      <c r="AL11" s="2">
        <f t="shared" si="11"/>
        <v>14000</v>
      </c>
      <c r="AM11" s="33"/>
      <c r="AN11" s="30">
        <v>2</v>
      </c>
      <c r="AO11" s="2">
        <f t="shared" si="12"/>
        <v>14000</v>
      </c>
      <c r="AP11" s="33"/>
      <c r="AQ11" s="30">
        <v>3</v>
      </c>
      <c r="AR11" s="2">
        <f t="shared" si="13"/>
        <v>21000</v>
      </c>
      <c r="AS11" s="33"/>
      <c r="AT11" s="30"/>
      <c r="AU11" s="2">
        <f t="shared" si="14"/>
        <v>0</v>
      </c>
      <c r="AV11" s="70">
        <f t="shared" si="15"/>
        <v>0</v>
      </c>
      <c r="AW11" s="67">
        <f t="shared" si="15"/>
        <v>12</v>
      </c>
      <c r="AX11" s="51">
        <f t="shared" si="15"/>
        <v>84000</v>
      </c>
      <c r="AY11" s="33"/>
      <c r="AZ11" s="30">
        <v>2</v>
      </c>
      <c r="BA11" s="2">
        <f t="shared" si="16"/>
        <v>14000</v>
      </c>
      <c r="BB11" s="33"/>
      <c r="BC11" s="30">
        <v>2</v>
      </c>
      <c r="BD11" s="2">
        <f t="shared" si="17"/>
        <v>14000</v>
      </c>
      <c r="BE11" s="33"/>
      <c r="BF11" s="30">
        <v>3</v>
      </c>
      <c r="BG11" s="2">
        <f t="shared" si="18"/>
        <v>21000</v>
      </c>
      <c r="BH11" s="33"/>
      <c r="BI11" s="30">
        <v>2</v>
      </c>
      <c r="BJ11" s="2">
        <f t="shared" si="19"/>
        <v>14000</v>
      </c>
      <c r="BK11" s="33"/>
      <c r="BL11" s="30">
        <v>2</v>
      </c>
      <c r="BM11" s="2">
        <f t="shared" si="20"/>
        <v>14000</v>
      </c>
      <c r="BN11" s="33"/>
      <c r="BO11" s="99">
        <v>1.5</v>
      </c>
      <c r="BP11" s="2">
        <f t="shared" si="21"/>
        <v>10500</v>
      </c>
      <c r="BQ11" s="33"/>
      <c r="BR11" s="30">
        <v>3</v>
      </c>
      <c r="BS11" s="2">
        <f t="shared" si="22"/>
        <v>21000</v>
      </c>
      <c r="BT11" s="70">
        <f t="shared" si="23"/>
        <v>0</v>
      </c>
      <c r="BU11" s="100">
        <f t="shared" si="23"/>
        <v>15.5</v>
      </c>
      <c r="BV11" s="51">
        <f t="shared" si="23"/>
        <v>108500</v>
      </c>
      <c r="BW11" s="33"/>
      <c r="BX11" s="30">
        <v>2</v>
      </c>
      <c r="BY11" s="2">
        <f t="shared" si="24"/>
        <v>14000</v>
      </c>
      <c r="BZ11" s="33"/>
      <c r="CA11" s="30">
        <v>2</v>
      </c>
      <c r="CB11" s="2">
        <f t="shared" si="25"/>
        <v>14000</v>
      </c>
      <c r="CC11" s="33"/>
      <c r="CD11" s="30">
        <v>2</v>
      </c>
      <c r="CE11" s="2">
        <f t="shared" si="26"/>
        <v>14000</v>
      </c>
      <c r="CF11" s="33"/>
      <c r="CG11" s="30">
        <v>2</v>
      </c>
      <c r="CH11" s="2">
        <f t="shared" si="27"/>
        <v>14000</v>
      </c>
      <c r="CI11" s="33"/>
      <c r="CJ11" s="30">
        <v>2</v>
      </c>
      <c r="CK11" s="2">
        <f t="shared" si="28"/>
        <v>14000</v>
      </c>
      <c r="CL11" s="33"/>
      <c r="CM11" s="30">
        <v>2</v>
      </c>
      <c r="CN11" s="2">
        <f t="shared" si="29"/>
        <v>14000</v>
      </c>
      <c r="CO11" s="33"/>
      <c r="CP11" s="30">
        <v>2</v>
      </c>
      <c r="CQ11" s="2">
        <f t="shared" si="30"/>
        <v>14000</v>
      </c>
      <c r="CR11" s="70">
        <f t="shared" si="31"/>
        <v>0</v>
      </c>
      <c r="CS11" s="67">
        <f t="shared" si="31"/>
        <v>14</v>
      </c>
      <c r="CT11" s="51">
        <f t="shared" si="31"/>
        <v>98000</v>
      </c>
      <c r="CU11" s="33"/>
      <c r="CV11" s="30"/>
      <c r="CW11" s="2">
        <f t="shared" si="32"/>
        <v>0</v>
      </c>
      <c r="CX11" s="33"/>
      <c r="CY11" s="30">
        <v>2</v>
      </c>
      <c r="CZ11" s="2">
        <f t="shared" si="33"/>
        <v>14000</v>
      </c>
      <c r="DA11" s="33"/>
      <c r="DB11" s="30">
        <v>5</v>
      </c>
      <c r="DC11" s="2">
        <f t="shared" si="34"/>
        <v>35000</v>
      </c>
      <c r="DD11" s="33"/>
      <c r="DE11" s="30">
        <v>3</v>
      </c>
      <c r="DF11" s="2">
        <f t="shared" si="35"/>
        <v>21000</v>
      </c>
      <c r="DG11" s="33"/>
      <c r="DH11" s="30">
        <v>2</v>
      </c>
      <c r="DI11" s="2">
        <f t="shared" si="36"/>
        <v>14000</v>
      </c>
      <c r="DJ11" s="33"/>
      <c r="DK11" s="30">
        <v>2</v>
      </c>
      <c r="DL11" s="2">
        <f t="shared" si="37"/>
        <v>14000</v>
      </c>
      <c r="DM11" s="33"/>
      <c r="DN11" s="30">
        <v>2</v>
      </c>
      <c r="DO11" s="2">
        <f t="shared" si="38"/>
        <v>14000</v>
      </c>
      <c r="DP11" s="70">
        <f t="shared" si="39"/>
        <v>0</v>
      </c>
      <c r="DQ11" s="67">
        <f t="shared" si="39"/>
        <v>16</v>
      </c>
      <c r="DR11" s="51">
        <f t="shared" si="39"/>
        <v>112000</v>
      </c>
      <c r="DS11" s="33"/>
      <c r="DT11" s="30">
        <v>2</v>
      </c>
      <c r="DU11" s="2">
        <f t="shared" si="40"/>
        <v>14000</v>
      </c>
      <c r="DV11" s="52">
        <f t="shared" si="41"/>
        <v>0</v>
      </c>
      <c r="DW11" s="107">
        <f t="shared" si="42"/>
        <v>58.5</v>
      </c>
      <c r="DX11" s="54">
        <f t="shared" si="42"/>
        <v>409500</v>
      </c>
    </row>
    <row r="12" spans="1:128" s="26" customFormat="1" ht="17.100000000000001" customHeight="1" thickBot="1" x14ac:dyDescent="0.25">
      <c r="A12" s="27" t="s">
        <v>30</v>
      </c>
      <c r="B12" s="19">
        <v>7000</v>
      </c>
      <c r="C12" s="29"/>
      <c r="D12" s="30"/>
      <c r="E12" s="2">
        <f t="shared" si="0"/>
        <v>0</v>
      </c>
      <c r="F12" s="29"/>
      <c r="G12" s="30"/>
      <c r="H12" s="2">
        <f t="shared" si="1"/>
        <v>0</v>
      </c>
      <c r="I12" s="29"/>
      <c r="J12" s="30"/>
      <c r="K12" s="2">
        <f t="shared" si="2"/>
        <v>0</v>
      </c>
      <c r="L12" s="33"/>
      <c r="M12" s="30"/>
      <c r="N12" s="2">
        <f t="shared" si="3"/>
        <v>0</v>
      </c>
      <c r="O12" s="31"/>
      <c r="P12" s="30"/>
      <c r="Q12" s="2">
        <f t="shared" si="4"/>
        <v>0</v>
      </c>
      <c r="R12" s="31"/>
      <c r="S12" s="30"/>
      <c r="T12" s="2">
        <f t="shared" si="5"/>
        <v>0</v>
      </c>
      <c r="U12" s="33"/>
      <c r="V12" s="30"/>
      <c r="W12" s="64">
        <f t="shared" si="6"/>
        <v>0</v>
      </c>
      <c r="X12" s="70">
        <f t="shared" si="7"/>
        <v>0</v>
      </c>
      <c r="Y12" s="67">
        <f t="shared" si="7"/>
        <v>0</v>
      </c>
      <c r="Z12" s="73">
        <f t="shared" si="7"/>
        <v>0</v>
      </c>
      <c r="AA12" s="35"/>
      <c r="AB12" s="30"/>
      <c r="AC12" s="2">
        <f t="shared" si="8"/>
        <v>0</v>
      </c>
      <c r="AD12" s="33"/>
      <c r="AE12" s="30">
        <v>1</v>
      </c>
      <c r="AF12" s="2">
        <f t="shared" si="9"/>
        <v>7000</v>
      </c>
      <c r="AG12" s="33">
        <v>30000</v>
      </c>
      <c r="AH12" s="30">
        <v>1</v>
      </c>
      <c r="AI12" s="2">
        <f t="shared" si="10"/>
        <v>7000</v>
      </c>
      <c r="AJ12" s="33"/>
      <c r="AK12" s="30"/>
      <c r="AL12" s="2">
        <f t="shared" si="11"/>
        <v>0</v>
      </c>
      <c r="AM12" s="33"/>
      <c r="AN12" s="30">
        <v>2</v>
      </c>
      <c r="AO12" s="2">
        <f t="shared" si="12"/>
        <v>14000</v>
      </c>
      <c r="AP12" s="33"/>
      <c r="AQ12" s="30">
        <v>1</v>
      </c>
      <c r="AR12" s="2">
        <f t="shared" si="13"/>
        <v>7000</v>
      </c>
      <c r="AS12" s="33"/>
      <c r="AT12" s="30">
        <v>2</v>
      </c>
      <c r="AU12" s="2">
        <f t="shared" si="14"/>
        <v>14000</v>
      </c>
      <c r="AV12" s="70">
        <f t="shared" si="15"/>
        <v>30000</v>
      </c>
      <c r="AW12" s="67">
        <f t="shared" si="15"/>
        <v>7</v>
      </c>
      <c r="AX12" s="51">
        <f t="shared" si="15"/>
        <v>49000</v>
      </c>
      <c r="AY12" s="33"/>
      <c r="AZ12" s="30"/>
      <c r="BA12" s="2">
        <f t="shared" si="16"/>
        <v>0</v>
      </c>
      <c r="BB12" s="33"/>
      <c r="BC12" s="30"/>
      <c r="BD12" s="2">
        <f t="shared" si="17"/>
        <v>0</v>
      </c>
      <c r="BE12" s="33"/>
      <c r="BF12" s="30">
        <v>2</v>
      </c>
      <c r="BG12" s="2">
        <f t="shared" si="18"/>
        <v>14000</v>
      </c>
      <c r="BH12" s="33"/>
      <c r="BI12" s="30">
        <v>1</v>
      </c>
      <c r="BJ12" s="2">
        <f t="shared" si="19"/>
        <v>7000</v>
      </c>
      <c r="BK12" s="33"/>
      <c r="BL12" s="30"/>
      <c r="BM12" s="2">
        <f t="shared" si="20"/>
        <v>0</v>
      </c>
      <c r="BN12" s="33"/>
      <c r="BO12" s="30"/>
      <c r="BP12" s="2">
        <f t="shared" si="21"/>
        <v>0</v>
      </c>
      <c r="BQ12" s="33"/>
      <c r="BR12" s="30">
        <v>2</v>
      </c>
      <c r="BS12" s="2">
        <f t="shared" si="22"/>
        <v>14000</v>
      </c>
      <c r="BT12" s="70">
        <f t="shared" si="23"/>
        <v>0</v>
      </c>
      <c r="BU12" s="67">
        <f t="shared" si="23"/>
        <v>5</v>
      </c>
      <c r="BV12" s="51">
        <f t="shared" si="23"/>
        <v>35000</v>
      </c>
      <c r="BW12" s="33"/>
      <c r="BX12" s="30"/>
      <c r="BY12" s="2">
        <f t="shared" si="24"/>
        <v>0</v>
      </c>
      <c r="BZ12" s="33"/>
      <c r="CA12" s="30">
        <v>1</v>
      </c>
      <c r="CB12" s="2">
        <f t="shared" si="25"/>
        <v>7000</v>
      </c>
      <c r="CC12" s="33"/>
      <c r="CD12" s="99">
        <v>1.5</v>
      </c>
      <c r="CE12" s="2">
        <f t="shared" si="26"/>
        <v>10500</v>
      </c>
      <c r="CF12" s="33"/>
      <c r="CG12" s="30">
        <v>1</v>
      </c>
      <c r="CH12" s="2">
        <f t="shared" si="27"/>
        <v>7000</v>
      </c>
      <c r="CI12" s="33"/>
      <c r="CJ12" s="30"/>
      <c r="CK12" s="2">
        <f t="shared" si="28"/>
        <v>0</v>
      </c>
      <c r="CL12" s="33"/>
      <c r="CM12" s="30">
        <v>1</v>
      </c>
      <c r="CN12" s="2">
        <f t="shared" si="29"/>
        <v>7000</v>
      </c>
      <c r="CO12" s="33"/>
      <c r="CP12" s="30"/>
      <c r="CQ12" s="2">
        <f t="shared" si="30"/>
        <v>0</v>
      </c>
      <c r="CR12" s="70">
        <f t="shared" si="31"/>
        <v>0</v>
      </c>
      <c r="CS12" s="100">
        <f t="shared" si="31"/>
        <v>4.5</v>
      </c>
      <c r="CT12" s="51">
        <f t="shared" si="31"/>
        <v>31500</v>
      </c>
      <c r="CU12" s="33"/>
      <c r="CV12" s="30"/>
      <c r="CW12" s="2">
        <f t="shared" si="32"/>
        <v>0</v>
      </c>
      <c r="CX12" s="33"/>
      <c r="CY12" s="30"/>
      <c r="CZ12" s="2">
        <f t="shared" si="33"/>
        <v>0</v>
      </c>
      <c r="DA12" s="33"/>
      <c r="DB12" s="30">
        <v>3</v>
      </c>
      <c r="DC12" s="2">
        <f t="shared" si="34"/>
        <v>21000</v>
      </c>
      <c r="DD12" s="33"/>
      <c r="DE12" s="30">
        <v>2</v>
      </c>
      <c r="DF12" s="2">
        <f t="shared" si="35"/>
        <v>14000</v>
      </c>
      <c r="DG12" s="33">
        <v>30000</v>
      </c>
      <c r="DH12" s="30"/>
      <c r="DI12" s="2">
        <f t="shared" si="36"/>
        <v>0</v>
      </c>
      <c r="DJ12" s="33"/>
      <c r="DK12" s="30">
        <v>1</v>
      </c>
      <c r="DL12" s="2">
        <f t="shared" si="37"/>
        <v>7000</v>
      </c>
      <c r="DM12" s="33"/>
      <c r="DN12" s="99">
        <v>2.5</v>
      </c>
      <c r="DO12" s="2">
        <f t="shared" si="38"/>
        <v>17500</v>
      </c>
      <c r="DP12" s="70">
        <f t="shared" si="39"/>
        <v>30000</v>
      </c>
      <c r="DQ12" s="100">
        <f t="shared" si="39"/>
        <v>8.5</v>
      </c>
      <c r="DR12" s="51">
        <f t="shared" si="39"/>
        <v>59500</v>
      </c>
      <c r="DS12" s="33"/>
      <c r="DT12" s="30">
        <v>2</v>
      </c>
      <c r="DU12" s="2">
        <f t="shared" si="40"/>
        <v>14000</v>
      </c>
      <c r="DV12" s="52">
        <f t="shared" si="41"/>
        <v>60000</v>
      </c>
      <c r="DW12" s="115">
        <f t="shared" si="42"/>
        <v>25</v>
      </c>
      <c r="DX12" s="54">
        <f t="shared" si="42"/>
        <v>175000</v>
      </c>
    </row>
    <row r="13" spans="1:128" s="26" customFormat="1" ht="17.100000000000001" customHeight="1" thickBot="1" x14ac:dyDescent="0.25">
      <c r="A13" s="27" t="s">
        <v>55</v>
      </c>
      <c r="B13" s="19">
        <v>6000</v>
      </c>
      <c r="C13" s="81"/>
      <c r="D13" s="82"/>
      <c r="E13" s="83"/>
      <c r="F13" s="81"/>
      <c r="G13" s="82"/>
      <c r="H13" s="83"/>
      <c r="I13" s="81"/>
      <c r="J13" s="82"/>
      <c r="K13" s="83"/>
      <c r="L13" s="84"/>
      <c r="M13" s="82"/>
      <c r="N13" s="83"/>
      <c r="O13" s="84"/>
      <c r="P13" s="82"/>
      <c r="Q13" s="83"/>
      <c r="R13" s="84"/>
      <c r="S13" s="82"/>
      <c r="T13" s="83"/>
      <c r="U13" s="84"/>
      <c r="V13" s="82"/>
      <c r="W13" s="85">
        <f t="shared" si="6"/>
        <v>0</v>
      </c>
      <c r="X13" s="86"/>
      <c r="Y13" s="87">
        <f t="shared" si="7"/>
        <v>0</v>
      </c>
      <c r="Z13" s="88">
        <f t="shared" si="7"/>
        <v>0</v>
      </c>
      <c r="AA13" s="89"/>
      <c r="AB13" s="82"/>
      <c r="AC13" s="83">
        <f t="shared" ref="AC13:AC15" si="43">$B13*AB13</f>
        <v>0</v>
      </c>
      <c r="AD13" s="84"/>
      <c r="AE13" s="82"/>
      <c r="AF13" s="83">
        <f t="shared" si="9"/>
        <v>0</v>
      </c>
      <c r="AG13" s="84"/>
      <c r="AH13" s="82"/>
      <c r="AI13" s="83">
        <f t="shared" ref="AI13:AI15" si="44">$B13*AH13</f>
        <v>0</v>
      </c>
      <c r="AJ13" s="84"/>
      <c r="AK13" s="82"/>
      <c r="AL13" s="83">
        <f t="shared" ref="AL13:AL15" si="45">$B13*AK13</f>
        <v>0</v>
      </c>
      <c r="AM13" s="84"/>
      <c r="AN13" s="82"/>
      <c r="AO13" s="83">
        <f t="shared" ref="AO13:AO15" si="46">$B13*AN13</f>
        <v>0</v>
      </c>
      <c r="AP13" s="84"/>
      <c r="AQ13" s="82"/>
      <c r="AR13" s="83">
        <f t="shared" ref="AR13:AR15" si="47">$B13*AQ13</f>
        <v>0</v>
      </c>
      <c r="AS13" s="84"/>
      <c r="AT13" s="82"/>
      <c r="AU13" s="83">
        <f t="shared" ref="AU13:AU15" si="48">$B13*AT13</f>
        <v>0</v>
      </c>
      <c r="AV13" s="86">
        <f t="shared" ref="AV13:AV15" si="49">AA13+AD13+AG13+AJ13+AM13+AP13+AS13</f>
        <v>0</v>
      </c>
      <c r="AW13" s="87">
        <f t="shared" ref="AW13:AW15" si="50">AB13+AE13+AH13+AK13+AN13+AQ13+AT13</f>
        <v>0</v>
      </c>
      <c r="AX13" s="90">
        <f t="shared" ref="AX13:AX15" si="51">AC13+AF13+AI13+AL13+AO13+AR13+AU13</f>
        <v>0</v>
      </c>
      <c r="AY13" s="84"/>
      <c r="AZ13" s="82"/>
      <c r="BA13" s="83">
        <f t="shared" ref="BA13:BA15" si="52">$B13*AZ13</f>
        <v>0</v>
      </c>
      <c r="BB13" s="84"/>
      <c r="BC13" s="82"/>
      <c r="BD13" s="83">
        <f t="shared" ref="BD13:BD15" si="53">$B13*BC13</f>
        <v>0</v>
      </c>
      <c r="BE13" s="33"/>
      <c r="BF13" s="30">
        <v>1</v>
      </c>
      <c r="BG13" s="2">
        <f t="shared" ref="BG13" si="54">$B13*BF13</f>
        <v>6000</v>
      </c>
      <c r="BH13" s="33"/>
      <c r="BI13" s="30"/>
      <c r="BJ13" s="2">
        <f t="shared" ref="BJ13:BJ15" si="55">$B13*BI13</f>
        <v>0</v>
      </c>
      <c r="BK13" s="33"/>
      <c r="BL13" s="30"/>
      <c r="BM13" s="2">
        <f t="shared" ref="BM13:BM15" si="56">$B13*BL13</f>
        <v>0</v>
      </c>
      <c r="BN13" s="33"/>
      <c r="BO13" s="30"/>
      <c r="BP13" s="2">
        <f t="shared" ref="BP13:BP15" si="57">$B13*BO13</f>
        <v>0</v>
      </c>
      <c r="BQ13" s="33"/>
      <c r="BR13" s="30">
        <v>3</v>
      </c>
      <c r="BS13" s="2">
        <f t="shared" ref="BS13" si="58">$B13*BR13</f>
        <v>18000</v>
      </c>
      <c r="BT13" s="70">
        <f t="shared" ref="BT13" si="59">AY13+BB13+BE13+BH13+BK13+BN13+BQ13</f>
        <v>0</v>
      </c>
      <c r="BU13" s="67">
        <f t="shared" ref="BU13" si="60">AZ13+BC13+BF13+BI13+BL13+BO13+BR13</f>
        <v>4</v>
      </c>
      <c r="BV13" s="51">
        <f t="shared" ref="BV13:BV15" si="61">BA13+BD13+BG13+BJ13+BM13+BP13+BS13</f>
        <v>24000</v>
      </c>
      <c r="BW13" s="33"/>
      <c r="BX13" s="30"/>
      <c r="BY13" s="2">
        <f t="shared" ref="BY13:BY15" si="62">$B13*BX13</f>
        <v>0</v>
      </c>
      <c r="BZ13" s="33"/>
      <c r="CA13" s="30">
        <v>1</v>
      </c>
      <c r="CB13" s="2">
        <f t="shared" ref="CB13" si="63">$B13*CA13</f>
        <v>6000</v>
      </c>
      <c r="CC13" s="33"/>
      <c r="CD13" s="30"/>
      <c r="CE13" s="2">
        <f t="shared" ref="CE13:CE15" si="64">$B13*CD13</f>
        <v>0</v>
      </c>
      <c r="CF13" s="33"/>
      <c r="CG13" s="30">
        <v>2</v>
      </c>
      <c r="CH13" s="2">
        <f t="shared" ref="CH13" si="65">$B13*CG13</f>
        <v>12000</v>
      </c>
      <c r="CI13" s="33"/>
      <c r="CJ13" s="30"/>
      <c r="CK13" s="2">
        <f t="shared" ref="CK13:CK15" si="66">$B13*CJ13</f>
        <v>0</v>
      </c>
      <c r="CL13" s="33"/>
      <c r="CM13" s="30"/>
      <c r="CN13" s="2">
        <f t="shared" ref="CN13:CN15" si="67">$B13*CM13</f>
        <v>0</v>
      </c>
      <c r="CO13" s="33"/>
      <c r="CP13" s="30"/>
      <c r="CQ13" s="2">
        <f t="shared" ref="CQ13:CQ15" si="68">$B13*CP13</f>
        <v>0</v>
      </c>
      <c r="CR13" s="70">
        <f t="shared" ref="CR13:CR15" si="69">BW13+BZ13+CC13+CF13+CI13+CL13+CO13</f>
        <v>0</v>
      </c>
      <c r="CS13" s="67">
        <f t="shared" ref="CS13" si="70">BX13+CA13+CD13+CG13+CJ13+CM13+CP13</f>
        <v>3</v>
      </c>
      <c r="CT13" s="51">
        <f t="shared" ref="CT13" si="71">BY13+CB13+CE13+CH13+CK13+CN13+CQ13</f>
        <v>18000</v>
      </c>
      <c r="CU13" s="33"/>
      <c r="CV13" s="30"/>
      <c r="CW13" s="2">
        <f t="shared" ref="CW13:CW15" si="72">$B13*CV13</f>
        <v>0</v>
      </c>
      <c r="CX13" s="33"/>
      <c r="CY13" s="30"/>
      <c r="CZ13" s="2">
        <f t="shared" ref="CZ13:CZ15" si="73">$B13*CY13</f>
        <v>0</v>
      </c>
      <c r="DA13" s="33"/>
      <c r="DB13" s="30">
        <v>3</v>
      </c>
      <c r="DC13" s="2">
        <f t="shared" ref="DC13:DC15" si="74">$B13*DB13</f>
        <v>18000</v>
      </c>
      <c r="DD13" s="33"/>
      <c r="DE13" s="30">
        <v>3</v>
      </c>
      <c r="DF13" s="2">
        <f t="shared" ref="DF13:DF15" si="75">$B13*DE13</f>
        <v>18000</v>
      </c>
      <c r="DG13" s="33"/>
      <c r="DH13" s="30">
        <v>2</v>
      </c>
      <c r="DI13" s="2">
        <f t="shared" ref="DI13:DI15" si="76">$B13*DH13</f>
        <v>12000</v>
      </c>
      <c r="DJ13" s="33"/>
      <c r="DK13" s="30">
        <v>2</v>
      </c>
      <c r="DL13" s="2">
        <f t="shared" ref="DL13:DL15" si="77">$B13*DK13</f>
        <v>12000</v>
      </c>
      <c r="DM13" s="33"/>
      <c r="DN13" s="30"/>
      <c r="DO13" s="2">
        <f t="shared" ref="DO13:DO15" si="78">$B13*DN13</f>
        <v>0</v>
      </c>
      <c r="DP13" s="70">
        <f t="shared" ref="DP13" si="79">CU13+CX13+DA13+DD13+DG13+DJ13+DM13</f>
        <v>0</v>
      </c>
      <c r="DQ13" s="67">
        <f t="shared" ref="DQ13" si="80">CV13+CY13+DB13+DE13+DH13+DK13+DN13</f>
        <v>10</v>
      </c>
      <c r="DR13" s="51">
        <f t="shared" ref="DR13" si="81">CW13+CZ13+DC13+DF13+DI13+DL13+DO13</f>
        <v>60000</v>
      </c>
      <c r="DS13" s="33"/>
      <c r="DT13" s="30"/>
      <c r="DU13" s="2">
        <f t="shared" ref="DU13:DU15" si="82">$B13*DT13</f>
        <v>0</v>
      </c>
      <c r="DV13" s="52">
        <f>X13+AV13+CR13+DP13</f>
        <v>0</v>
      </c>
      <c r="DW13" s="53">
        <f t="shared" ref="DW13:DW15" si="83">Y13+AW13+BU13+CS13+DQ13</f>
        <v>17</v>
      </c>
      <c r="DX13" s="54">
        <f t="shared" ref="DX13:DX15" si="84">Z13+AX13+BV13+CT13+DR13</f>
        <v>102000</v>
      </c>
    </row>
    <row r="14" spans="1:128" s="26" customFormat="1" ht="17.100000000000001" customHeight="1" thickBot="1" x14ac:dyDescent="0.25">
      <c r="A14" s="27" t="s">
        <v>57</v>
      </c>
      <c r="B14" s="19">
        <v>6000</v>
      </c>
      <c r="C14" s="81"/>
      <c r="D14" s="82"/>
      <c r="E14" s="83"/>
      <c r="F14" s="81"/>
      <c r="G14" s="82"/>
      <c r="H14" s="83"/>
      <c r="I14" s="81"/>
      <c r="J14" s="82"/>
      <c r="K14" s="83"/>
      <c r="L14" s="84"/>
      <c r="M14" s="82"/>
      <c r="N14" s="83"/>
      <c r="O14" s="84"/>
      <c r="P14" s="82"/>
      <c r="Q14" s="83"/>
      <c r="R14" s="84"/>
      <c r="S14" s="82"/>
      <c r="T14" s="83"/>
      <c r="U14" s="84"/>
      <c r="V14" s="82"/>
      <c r="W14" s="85">
        <f t="shared" si="6"/>
        <v>0</v>
      </c>
      <c r="X14" s="86"/>
      <c r="Y14" s="87">
        <f t="shared" si="7"/>
        <v>0</v>
      </c>
      <c r="Z14" s="88">
        <f t="shared" si="7"/>
        <v>0</v>
      </c>
      <c r="AA14" s="89"/>
      <c r="AB14" s="82"/>
      <c r="AC14" s="83">
        <f t="shared" si="43"/>
        <v>0</v>
      </c>
      <c r="AD14" s="84"/>
      <c r="AE14" s="82"/>
      <c r="AF14" s="83">
        <f t="shared" si="9"/>
        <v>0</v>
      </c>
      <c r="AG14" s="84"/>
      <c r="AH14" s="82"/>
      <c r="AI14" s="83">
        <f t="shared" si="44"/>
        <v>0</v>
      </c>
      <c r="AJ14" s="84"/>
      <c r="AK14" s="82"/>
      <c r="AL14" s="83">
        <f t="shared" si="45"/>
        <v>0</v>
      </c>
      <c r="AM14" s="84"/>
      <c r="AN14" s="82"/>
      <c r="AO14" s="83">
        <f t="shared" si="46"/>
        <v>0</v>
      </c>
      <c r="AP14" s="84"/>
      <c r="AQ14" s="82"/>
      <c r="AR14" s="83">
        <f t="shared" si="47"/>
        <v>0</v>
      </c>
      <c r="AS14" s="84"/>
      <c r="AT14" s="82"/>
      <c r="AU14" s="83">
        <f t="shared" si="48"/>
        <v>0</v>
      </c>
      <c r="AV14" s="86">
        <f t="shared" si="49"/>
        <v>0</v>
      </c>
      <c r="AW14" s="87">
        <f t="shared" si="50"/>
        <v>0</v>
      </c>
      <c r="AX14" s="90">
        <f t="shared" si="51"/>
        <v>0</v>
      </c>
      <c r="AY14" s="84"/>
      <c r="AZ14" s="82"/>
      <c r="BA14" s="83">
        <f t="shared" si="52"/>
        <v>0</v>
      </c>
      <c r="BB14" s="84"/>
      <c r="BC14" s="82"/>
      <c r="BD14" s="83">
        <f t="shared" si="53"/>
        <v>0</v>
      </c>
      <c r="BE14" s="84"/>
      <c r="BF14" s="82"/>
      <c r="BG14" s="83"/>
      <c r="BH14" s="84"/>
      <c r="BI14" s="82"/>
      <c r="BJ14" s="83">
        <f t="shared" si="55"/>
        <v>0</v>
      </c>
      <c r="BK14" s="84"/>
      <c r="BL14" s="82"/>
      <c r="BM14" s="83">
        <f t="shared" si="56"/>
        <v>0</v>
      </c>
      <c r="BN14" s="84"/>
      <c r="BO14" s="82"/>
      <c r="BP14" s="83">
        <f t="shared" si="57"/>
        <v>0</v>
      </c>
      <c r="BQ14" s="84"/>
      <c r="BR14" s="82"/>
      <c r="BS14" s="83"/>
      <c r="BT14" s="86"/>
      <c r="BU14" s="87"/>
      <c r="BV14" s="90">
        <f t="shared" si="61"/>
        <v>0</v>
      </c>
      <c r="BW14" s="84"/>
      <c r="BX14" s="82"/>
      <c r="BY14" s="83">
        <f t="shared" si="62"/>
        <v>0</v>
      </c>
      <c r="BZ14" s="84"/>
      <c r="CA14" s="82"/>
      <c r="CB14" s="83"/>
      <c r="CC14" s="84"/>
      <c r="CD14" s="82"/>
      <c r="CE14" s="83">
        <f t="shared" si="64"/>
        <v>0</v>
      </c>
      <c r="CF14" s="84"/>
      <c r="CG14" s="82"/>
      <c r="CH14" s="83"/>
      <c r="CI14" s="84"/>
      <c r="CJ14" s="82"/>
      <c r="CK14" s="83">
        <f t="shared" si="66"/>
        <v>0</v>
      </c>
      <c r="CL14" s="84"/>
      <c r="CM14" s="82"/>
      <c r="CN14" s="83">
        <f t="shared" si="67"/>
        <v>0</v>
      </c>
      <c r="CO14" s="84"/>
      <c r="CP14" s="82"/>
      <c r="CQ14" s="83">
        <f t="shared" si="68"/>
        <v>0</v>
      </c>
      <c r="CR14" s="86">
        <f t="shared" si="69"/>
        <v>0</v>
      </c>
      <c r="CS14" s="87"/>
      <c r="CT14" s="90"/>
      <c r="CU14" s="84"/>
      <c r="CV14" s="82"/>
      <c r="CW14" s="83">
        <f t="shared" si="72"/>
        <v>0</v>
      </c>
      <c r="CX14" s="33"/>
      <c r="CY14" s="30">
        <v>2</v>
      </c>
      <c r="CZ14" s="2">
        <f t="shared" si="73"/>
        <v>12000</v>
      </c>
      <c r="DA14" s="33"/>
      <c r="DB14" s="30">
        <v>3</v>
      </c>
      <c r="DC14" s="2">
        <f t="shared" si="74"/>
        <v>18000</v>
      </c>
      <c r="DD14" s="33"/>
      <c r="DE14" s="30">
        <v>3</v>
      </c>
      <c r="DF14" s="2">
        <f t="shared" si="75"/>
        <v>18000</v>
      </c>
      <c r="DG14" s="33"/>
      <c r="DH14" s="30">
        <v>2</v>
      </c>
      <c r="DI14" s="2">
        <f t="shared" si="76"/>
        <v>12000</v>
      </c>
      <c r="DJ14" s="33"/>
      <c r="DK14" s="30">
        <v>2</v>
      </c>
      <c r="DL14" s="2">
        <f t="shared" si="77"/>
        <v>12000</v>
      </c>
      <c r="DM14" s="33"/>
      <c r="DN14" s="30">
        <v>2</v>
      </c>
      <c r="DO14" s="2">
        <f t="shared" si="78"/>
        <v>12000</v>
      </c>
      <c r="DP14" s="70">
        <f t="shared" ref="DP14:DP15" si="85">CU14+CX14+DA14+DD14+DG14+DJ14+DM14</f>
        <v>0</v>
      </c>
      <c r="DQ14" s="67">
        <f t="shared" ref="DQ14:DQ15" si="86">CV14+CY14+DB14+DE14+DH14+DK14+DN14</f>
        <v>14</v>
      </c>
      <c r="DR14" s="51">
        <f t="shared" ref="DR14:DR15" si="87">CW14+CZ14+DC14+DF14+DI14+DL14+DO14</f>
        <v>84000</v>
      </c>
      <c r="DS14" s="33"/>
      <c r="DT14" s="30">
        <v>2</v>
      </c>
      <c r="DU14" s="2">
        <f t="shared" si="82"/>
        <v>12000</v>
      </c>
      <c r="DV14" s="52">
        <f>X14+AV14+CR14+DP14</f>
        <v>0</v>
      </c>
      <c r="DW14" s="53">
        <f t="shared" si="83"/>
        <v>14</v>
      </c>
      <c r="DX14" s="54">
        <f t="shared" si="84"/>
        <v>84000</v>
      </c>
    </row>
    <row r="15" spans="1:128" s="26" customFormat="1" ht="17.100000000000001" customHeight="1" thickBot="1" x14ac:dyDescent="0.25">
      <c r="A15" s="27" t="s">
        <v>56</v>
      </c>
      <c r="B15" s="19">
        <v>6000</v>
      </c>
      <c r="C15" s="81"/>
      <c r="D15" s="82"/>
      <c r="E15" s="83"/>
      <c r="F15" s="81"/>
      <c r="G15" s="82"/>
      <c r="H15" s="83"/>
      <c r="I15" s="81"/>
      <c r="J15" s="82"/>
      <c r="K15" s="83"/>
      <c r="L15" s="84"/>
      <c r="M15" s="82"/>
      <c r="N15" s="83"/>
      <c r="O15" s="84"/>
      <c r="P15" s="82"/>
      <c r="Q15" s="83"/>
      <c r="R15" s="84"/>
      <c r="S15" s="82"/>
      <c r="T15" s="83"/>
      <c r="U15" s="84"/>
      <c r="V15" s="82"/>
      <c r="W15" s="85">
        <f t="shared" si="6"/>
        <v>0</v>
      </c>
      <c r="X15" s="86"/>
      <c r="Y15" s="87">
        <f t="shared" si="7"/>
        <v>0</v>
      </c>
      <c r="Z15" s="88">
        <f t="shared" si="7"/>
        <v>0</v>
      </c>
      <c r="AA15" s="89"/>
      <c r="AB15" s="82"/>
      <c r="AC15" s="83">
        <f t="shared" si="43"/>
        <v>0</v>
      </c>
      <c r="AD15" s="84"/>
      <c r="AE15" s="82"/>
      <c r="AF15" s="83">
        <f t="shared" si="9"/>
        <v>0</v>
      </c>
      <c r="AG15" s="84"/>
      <c r="AH15" s="82"/>
      <c r="AI15" s="83">
        <f t="shared" si="44"/>
        <v>0</v>
      </c>
      <c r="AJ15" s="84"/>
      <c r="AK15" s="82"/>
      <c r="AL15" s="83">
        <f t="shared" si="45"/>
        <v>0</v>
      </c>
      <c r="AM15" s="84"/>
      <c r="AN15" s="82"/>
      <c r="AO15" s="83">
        <f t="shared" si="46"/>
        <v>0</v>
      </c>
      <c r="AP15" s="84"/>
      <c r="AQ15" s="82"/>
      <c r="AR15" s="83">
        <f t="shared" si="47"/>
        <v>0</v>
      </c>
      <c r="AS15" s="84"/>
      <c r="AT15" s="82"/>
      <c r="AU15" s="83">
        <f t="shared" si="48"/>
        <v>0</v>
      </c>
      <c r="AV15" s="86">
        <f t="shared" si="49"/>
        <v>0</v>
      </c>
      <c r="AW15" s="87">
        <f t="shared" si="50"/>
        <v>0</v>
      </c>
      <c r="AX15" s="90">
        <f t="shared" si="51"/>
        <v>0</v>
      </c>
      <c r="AY15" s="84"/>
      <c r="AZ15" s="82"/>
      <c r="BA15" s="83">
        <f t="shared" si="52"/>
        <v>0</v>
      </c>
      <c r="BB15" s="84"/>
      <c r="BC15" s="82"/>
      <c r="BD15" s="83">
        <f t="shared" si="53"/>
        <v>0</v>
      </c>
      <c r="BE15" s="84"/>
      <c r="BF15" s="82"/>
      <c r="BG15" s="83"/>
      <c r="BH15" s="84"/>
      <c r="BI15" s="82"/>
      <c r="BJ15" s="83">
        <f t="shared" si="55"/>
        <v>0</v>
      </c>
      <c r="BK15" s="84"/>
      <c r="BL15" s="82"/>
      <c r="BM15" s="83">
        <f t="shared" si="56"/>
        <v>0</v>
      </c>
      <c r="BN15" s="84"/>
      <c r="BO15" s="82"/>
      <c r="BP15" s="83">
        <f t="shared" si="57"/>
        <v>0</v>
      </c>
      <c r="BQ15" s="84"/>
      <c r="BR15" s="82"/>
      <c r="BS15" s="83"/>
      <c r="BT15" s="86"/>
      <c r="BU15" s="87"/>
      <c r="BV15" s="90">
        <f t="shared" si="61"/>
        <v>0</v>
      </c>
      <c r="BW15" s="84"/>
      <c r="BX15" s="82"/>
      <c r="BY15" s="83">
        <f t="shared" si="62"/>
        <v>0</v>
      </c>
      <c r="BZ15" s="84"/>
      <c r="CA15" s="82"/>
      <c r="CB15" s="83"/>
      <c r="CC15" s="84"/>
      <c r="CD15" s="82"/>
      <c r="CE15" s="83">
        <f t="shared" si="64"/>
        <v>0</v>
      </c>
      <c r="CF15" s="84"/>
      <c r="CG15" s="82"/>
      <c r="CH15" s="83"/>
      <c r="CI15" s="84"/>
      <c r="CJ15" s="82"/>
      <c r="CK15" s="83">
        <f t="shared" si="66"/>
        <v>0</v>
      </c>
      <c r="CL15" s="84"/>
      <c r="CM15" s="82"/>
      <c r="CN15" s="83">
        <f t="shared" si="67"/>
        <v>0</v>
      </c>
      <c r="CO15" s="84"/>
      <c r="CP15" s="82"/>
      <c r="CQ15" s="83">
        <f t="shared" si="68"/>
        <v>0</v>
      </c>
      <c r="CR15" s="86">
        <f t="shared" si="69"/>
        <v>0</v>
      </c>
      <c r="CS15" s="87"/>
      <c r="CT15" s="90"/>
      <c r="CU15" s="84"/>
      <c r="CV15" s="82"/>
      <c r="CW15" s="83">
        <f t="shared" si="72"/>
        <v>0</v>
      </c>
      <c r="CX15" s="33"/>
      <c r="CY15" s="30">
        <v>2</v>
      </c>
      <c r="CZ15" s="2">
        <f t="shared" si="73"/>
        <v>12000</v>
      </c>
      <c r="DA15" s="33"/>
      <c r="DB15" s="30">
        <v>3</v>
      </c>
      <c r="DC15" s="2">
        <f t="shared" si="74"/>
        <v>18000</v>
      </c>
      <c r="DD15" s="33"/>
      <c r="DE15" s="30">
        <v>3</v>
      </c>
      <c r="DF15" s="2">
        <f t="shared" si="75"/>
        <v>18000</v>
      </c>
      <c r="DG15" s="33"/>
      <c r="DH15" s="30">
        <v>1</v>
      </c>
      <c r="DI15" s="2">
        <f t="shared" si="76"/>
        <v>6000</v>
      </c>
      <c r="DJ15" s="33"/>
      <c r="DK15" s="30">
        <v>2</v>
      </c>
      <c r="DL15" s="2">
        <f t="shared" si="77"/>
        <v>12000</v>
      </c>
      <c r="DM15" s="33"/>
      <c r="DN15" s="99">
        <v>1.5</v>
      </c>
      <c r="DO15" s="2">
        <f t="shared" si="78"/>
        <v>9000</v>
      </c>
      <c r="DP15" s="70">
        <f t="shared" si="85"/>
        <v>0</v>
      </c>
      <c r="DQ15" s="100">
        <f t="shared" si="86"/>
        <v>12.5</v>
      </c>
      <c r="DR15" s="51">
        <f t="shared" si="87"/>
        <v>75000</v>
      </c>
      <c r="DS15" s="33"/>
      <c r="DT15" s="30">
        <v>2</v>
      </c>
      <c r="DU15" s="2">
        <f t="shared" si="82"/>
        <v>12000</v>
      </c>
      <c r="DV15" s="52">
        <f>X15+AV15+CR15+DP15</f>
        <v>0</v>
      </c>
      <c r="DW15" s="53">
        <f t="shared" si="83"/>
        <v>12.5</v>
      </c>
      <c r="DX15" s="54">
        <f t="shared" si="84"/>
        <v>75000</v>
      </c>
    </row>
    <row r="16" spans="1:128" s="26" customFormat="1" ht="17.100000000000001" customHeight="1" thickBot="1" x14ac:dyDescent="0.25">
      <c r="A16" s="27" t="s">
        <v>31</v>
      </c>
      <c r="B16" s="19">
        <v>7000</v>
      </c>
      <c r="C16" s="29"/>
      <c r="D16" s="30"/>
      <c r="E16" s="2">
        <f t="shared" si="0"/>
        <v>0</v>
      </c>
      <c r="F16" s="29"/>
      <c r="G16" s="30"/>
      <c r="H16" s="2">
        <f t="shared" si="1"/>
        <v>0</v>
      </c>
      <c r="I16" s="29"/>
      <c r="J16" s="30"/>
      <c r="K16" s="2">
        <f t="shared" si="2"/>
        <v>0</v>
      </c>
      <c r="L16" s="31"/>
      <c r="M16" s="30"/>
      <c r="N16" s="2">
        <f t="shared" si="3"/>
        <v>0</v>
      </c>
      <c r="O16" s="31"/>
      <c r="P16" s="30"/>
      <c r="Q16" s="2">
        <f t="shared" si="4"/>
        <v>0</v>
      </c>
      <c r="R16" s="31"/>
      <c r="S16" s="30"/>
      <c r="T16" s="2">
        <f t="shared" si="5"/>
        <v>0</v>
      </c>
      <c r="U16" s="33"/>
      <c r="V16" s="30"/>
      <c r="W16" s="64">
        <f t="shared" si="6"/>
        <v>0</v>
      </c>
      <c r="X16" s="70">
        <f t="shared" si="7"/>
        <v>0</v>
      </c>
      <c r="Y16" s="67">
        <f t="shared" si="7"/>
        <v>0</v>
      </c>
      <c r="Z16" s="73">
        <f t="shared" si="7"/>
        <v>0</v>
      </c>
      <c r="AA16" s="35"/>
      <c r="AB16" s="30"/>
      <c r="AC16" s="2">
        <f t="shared" si="8"/>
        <v>0</v>
      </c>
      <c r="AD16" s="33"/>
      <c r="AE16" s="30"/>
      <c r="AF16" s="2">
        <f t="shared" si="9"/>
        <v>0</v>
      </c>
      <c r="AG16" s="33"/>
      <c r="AH16" s="30"/>
      <c r="AI16" s="2">
        <f t="shared" si="10"/>
        <v>0</v>
      </c>
      <c r="AJ16" s="33"/>
      <c r="AK16" s="30"/>
      <c r="AL16" s="2">
        <f t="shared" si="11"/>
        <v>0</v>
      </c>
      <c r="AM16" s="33"/>
      <c r="AN16" s="30"/>
      <c r="AO16" s="2">
        <f t="shared" si="12"/>
        <v>0</v>
      </c>
      <c r="AP16" s="33"/>
      <c r="AQ16" s="99">
        <v>1.5</v>
      </c>
      <c r="AR16" s="2">
        <f t="shared" si="13"/>
        <v>10500</v>
      </c>
      <c r="AS16" s="33"/>
      <c r="AT16" s="30"/>
      <c r="AU16" s="2">
        <f t="shared" si="14"/>
        <v>0</v>
      </c>
      <c r="AV16" s="70">
        <f t="shared" si="15"/>
        <v>0</v>
      </c>
      <c r="AW16" s="100">
        <f t="shared" si="15"/>
        <v>1.5</v>
      </c>
      <c r="AX16" s="51">
        <f t="shared" si="15"/>
        <v>10500</v>
      </c>
      <c r="AY16" s="33"/>
      <c r="AZ16" s="30"/>
      <c r="BA16" s="2">
        <f t="shared" si="16"/>
        <v>0</v>
      </c>
      <c r="BB16" s="33"/>
      <c r="BC16" s="30">
        <v>1</v>
      </c>
      <c r="BD16" s="2">
        <f t="shared" si="17"/>
        <v>7000</v>
      </c>
      <c r="BE16" s="33"/>
      <c r="BF16" s="30"/>
      <c r="BG16" s="2">
        <f t="shared" si="18"/>
        <v>0</v>
      </c>
      <c r="BH16" s="33"/>
      <c r="BI16" s="30"/>
      <c r="BJ16" s="2">
        <f t="shared" si="19"/>
        <v>0</v>
      </c>
      <c r="BK16" s="33"/>
      <c r="BL16" s="30"/>
      <c r="BM16" s="2">
        <f t="shared" si="20"/>
        <v>0</v>
      </c>
      <c r="BN16" s="33"/>
      <c r="BO16" s="30"/>
      <c r="BP16" s="2">
        <f t="shared" si="21"/>
        <v>0</v>
      </c>
      <c r="BQ16" s="33"/>
      <c r="BR16" s="30"/>
      <c r="BS16" s="2">
        <f t="shared" si="22"/>
        <v>0</v>
      </c>
      <c r="BT16" s="70">
        <f t="shared" si="23"/>
        <v>0</v>
      </c>
      <c r="BU16" s="67">
        <f t="shared" si="23"/>
        <v>1</v>
      </c>
      <c r="BV16" s="51">
        <f t="shared" si="23"/>
        <v>7000</v>
      </c>
      <c r="BW16" s="33"/>
      <c r="BX16" s="30"/>
      <c r="BY16" s="2">
        <f t="shared" si="24"/>
        <v>0</v>
      </c>
      <c r="BZ16" s="33"/>
      <c r="CA16" s="30"/>
      <c r="CB16" s="2">
        <f t="shared" si="25"/>
        <v>0</v>
      </c>
      <c r="CC16" s="33"/>
      <c r="CD16" s="30"/>
      <c r="CE16" s="2">
        <f t="shared" si="26"/>
        <v>0</v>
      </c>
      <c r="CF16" s="33"/>
      <c r="CG16" s="30"/>
      <c r="CH16" s="2">
        <f t="shared" si="27"/>
        <v>0</v>
      </c>
      <c r="CI16" s="33"/>
      <c r="CJ16" s="30"/>
      <c r="CK16" s="2">
        <f t="shared" si="28"/>
        <v>0</v>
      </c>
      <c r="CL16" s="33"/>
      <c r="CM16" s="30"/>
      <c r="CN16" s="2">
        <f t="shared" si="29"/>
        <v>0</v>
      </c>
      <c r="CO16" s="33"/>
      <c r="CP16" s="30"/>
      <c r="CQ16" s="2">
        <f t="shared" si="30"/>
        <v>0</v>
      </c>
      <c r="CR16" s="70">
        <f t="shared" si="31"/>
        <v>0</v>
      </c>
      <c r="CS16" s="67">
        <f t="shared" si="31"/>
        <v>0</v>
      </c>
      <c r="CT16" s="51">
        <f t="shared" si="31"/>
        <v>0</v>
      </c>
      <c r="CU16" s="33"/>
      <c r="CV16" s="30"/>
      <c r="CW16" s="2">
        <f t="shared" si="32"/>
        <v>0</v>
      </c>
      <c r="CX16" s="33"/>
      <c r="CY16" s="30"/>
      <c r="CZ16" s="2">
        <f t="shared" si="33"/>
        <v>0</v>
      </c>
      <c r="DA16" s="33"/>
      <c r="DB16" s="30"/>
      <c r="DC16" s="2">
        <f t="shared" si="34"/>
        <v>0</v>
      </c>
      <c r="DD16" s="33"/>
      <c r="DE16" s="30">
        <v>1</v>
      </c>
      <c r="DF16" s="2">
        <f t="shared" si="35"/>
        <v>7000</v>
      </c>
      <c r="DG16" s="33"/>
      <c r="DH16" s="30">
        <v>1</v>
      </c>
      <c r="DI16" s="2">
        <f t="shared" si="36"/>
        <v>7000</v>
      </c>
      <c r="DJ16" s="33"/>
      <c r="DK16" s="30"/>
      <c r="DL16" s="2">
        <f t="shared" si="37"/>
        <v>0</v>
      </c>
      <c r="DM16" s="33"/>
      <c r="DN16" s="30">
        <v>2</v>
      </c>
      <c r="DO16" s="2">
        <f t="shared" si="38"/>
        <v>14000</v>
      </c>
      <c r="DP16" s="70">
        <f t="shared" si="39"/>
        <v>0</v>
      </c>
      <c r="DQ16" s="67">
        <f t="shared" si="39"/>
        <v>4</v>
      </c>
      <c r="DR16" s="51">
        <f t="shared" si="39"/>
        <v>28000</v>
      </c>
      <c r="DS16" s="33"/>
      <c r="DT16" s="30">
        <v>1</v>
      </c>
      <c r="DU16" s="2">
        <f t="shared" si="40"/>
        <v>7000</v>
      </c>
      <c r="DV16" s="52">
        <f t="shared" si="41"/>
        <v>0</v>
      </c>
      <c r="DW16" s="107">
        <f t="shared" si="42"/>
        <v>6.5</v>
      </c>
      <c r="DX16" s="54">
        <f t="shared" si="42"/>
        <v>45500</v>
      </c>
    </row>
    <row r="17" spans="1:128" s="26" customFormat="1" ht="17.100000000000001" customHeight="1" thickBot="1" x14ac:dyDescent="0.25">
      <c r="A17" s="27" t="s">
        <v>32</v>
      </c>
      <c r="B17" s="19">
        <v>7000</v>
      </c>
      <c r="C17" s="29"/>
      <c r="D17" s="30"/>
      <c r="E17" s="2">
        <f t="shared" si="0"/>
        <v>0</v>
      </c>
      <c r="F17" s="29"/>
      <c r="G17" s="30"/>
      <c r="H17" s="2">
        <f t="shared" si="1"/>
        <v>0</v>
      </c>
      <c r="I17" s="29"/>
      <c r="J17" s="30"/>
      <c r="K17" s="2">
        <f t="shared" si="2"/>
        <v>0</v>
      </c>
      <c r="L17" s="31"/>
      <c r="M17" s="30"/>
      <c r="N17" s="2">
        <f t="shared" si="3"/>
        <v>0</v>
      </c>
      <c r="O17" s="31"/>
      <c r="P17" s="30"/>
      <c r="Q17" s="2">
        <f t="shared" si="4"/>
        <v>0</v>
      </c>
      <c r="R17" s="31"/>
      <c r="S17" s="30"/>
      <c r="T17" s="2">
        <f t="shared" si="5"/>
        <v>0</v>
      </c>
      <c r="U17" s="33"/>
      <c r="V17" s="30">
        <v>1</v>
      </c>
      <c r="W17" s="64">
        <f t="shared" si="6"/>
        <v>7000</v>
      </c>
      <c r="X17" s="70">
        <f t="shared" si="7"/>
        <v>0</v>
      </c>
      <c r="Y17" s="67">
        <f t="shared" si="7"/>
        <v>1</v>
      </c>
      <c r="Z17" s="73">
        <f t="shared" si="7"/>
        <v>7000</v>
      </c>
      <c r="AA17" s="35"/>
      <c r="AB17" s="30">
        <v>1</v>
      </c>
      <c r="AC17" s="2">
        <f t="shared" si="8"/>
        <v>7000</v>
      </c>
      <c r="AD17" s="33"/>
      <c r="AE17" s="30">
        <v>2</v>
      </c>
      <c r="AF17" s="2">
        <f t="shared" si="9"/>
        <v>14000</v>
      </c>
      <c r="AG17" s="33"/>
      <c r="AH17" s="30">
        <v>2</v>
      </c>
      <c r="AI17" s="2">
        <f t="shared" si="10"/>
        <v>14000</v>
      </c>
      <c r="AJ17" s="33"/>
      <c r="AK17" s="30">
        <v>2</v>
      </c>
      <c r="AL17" s="2">
        <f t="shared" si="11"/>
        <v>14000</v>
      </c>
      <c r="AM17" s="33"/>
      <c r="AN17" s="30">
        <v>2</v>
      </c>
      <c r="AO17" s="2">
        <f t="shared" si="12"/>
        <v>14000</v>
      </c>
      <c r="AP17" s="33"/>
      <c r="AQ17" s="30">
        <v>3</v>
      </c>
      <c r="AR17" s="2">
        <f t="shared" si="13"/>
        <v>21000</v>
      </c>
      <c r="AS17" s="33"/>
      <c r="AT17" s="30"/>
      <c r="AU17" s="2">
        <f t="shared" si="14"/>
        <v>0</v>
      </c>
      <c r="AV17" s="70">
        <f t="shared" si="15"/>
        <v>0</v>
      </c>
      <c r="AW17" s="67">
        <f t="shared" si="15"/>
        <v>12</v>
      </c>
      <c r="AX17" s="51">
        <f t="shared" si="15"/>
        <v>84000</v>
      </c>
      <c r="AY17" s="33"/>
      <c r="AZ17" s="30">
        <v>2</v>
      </c>
      <c r="BA17" s="2">
        <f t="shared" si="16"/>
        <v>14000</v>
      </c>
      <c r="BB17" s="33"/>
      <c r="BC17" s="30">
        <v>2</v>
      </c>
      <c r="BD17" s="2">
        <f t="shared" si="17"/>
        <v>14000</v>
      </c>
      <c r="BE17" s="33"/>
      <c r="BF17" s="30">
        <v>3</v>
      </c>
      <c r="BG17" s="2">
        <f t="shared" si="18"/>
        <v>21000</v>
      </c>
      <c r="BH17" s="33"/>
      <c r="BI17" s="30">
        <v>2</v>
      </c>
      <c r="BJ17" s="2">
        <f t="shared" si="19"/>
        <v>14000</v>
      </c>
      <c r="BK17" s="33"/>
      <c r="BL17" s="30">
        <v>3</v>
      </c>
      <c r="BM17" s="2">
        <f t="shared" si="20"/>
        <v>21000</v>
      </c>
      <c r="BN17" s="33"/>
      <c r="BO17" s="30">
        <v>2</v>
      </c>
      <c r="BP17" s="2">
        <f t="shared" si="21"/>
        <v>14000</v>
      </c>
      <c r="BQ17" s="33"/>
      <c r="BR17" s="30"/>
      <c r="BS17" s="2">
        <f t="shared" si="22"/>
        <v>0</v>
      </c>
      <c r="BT17" s="70">
        <f t="shared" si="23"/>
        <v>0</v>
      </c>
      <c r="BU17" s="67">
        <f t="shared" si="23"/>
        <v>14</v>
      </c>
      <c r="BV17" s="51">
        <f t="shared" si="23"/>
        <v>98000</v>
      </c>
      <c r="BW17" s="33"/>
      <c r="BX17" s="30"/>
      <c r="BY17" s="2">
        <f t="shared" si="24"/>
        <v>0</v>
      </c>
      <c r="BZ17" s="33"/>
      <c r="CA17" s="30"/>
      <c r="CB17" s="2">
        <f t="shared" si="25"/>
        <v>0</v>
      </c>
      <c r="CC17" s="33"/>
      <c r="CD17" s="30">
        <v>2</v>
      </c>
      <c r="CE17" s="2">
        <f t="shared" si="26"/>
        <v>14000</v>
      </c>
      <c r="CF17" s="33"/>
      <c r="CG17" s="30">
        <v>2</v>
      </c>
      <c r="CH17" s="2">
        <f t="shared" si="27"/>
        <v>14000</v>
      </c>
      <c r="CI17" s="33"/>
      <c r="CJ17" s="30">
        <v>2</v>
      </c>
      <c r="CK17" s="2">
        <f t="shared" si="28"/>
        <v>14000</v>
      </c>
      <c r="CL17" s="33"/>
      <c r="CM17" s="30">
        <v>2</v>
      </c>
      <c r="CN17" s="2">
        <f t="shared" si="29"/>
        <v>14000</v>
      </c>
      <c r="CO17" s="33"/>
      <c r="CP17" s="30">
        <v>2</v>
      </c>
      <c r="CQ17" s="2">
        <f t="shared" si="30"/>
        <v>14000</v>
      </c>
      <c r="CR17" s="70">
        <f t="shared" si="31"/>
        <v>0</v>
      </c>
      <c r="CS17" s="67">
        <f t="shared" si="31"/>
        <v>10</v>
      </c>
      <c r="CT17" s="51">
        <f t="shared" si="31"/>
        <v>70000</v>
      </c>
      <c r="CU17" s="33"/>
      <c r="CV17" s="30">
        <v>2</v>
      </c>
      <c r="CW17" s="2">
        <f t="shared" si="32"/>
        <v>14000</v>
      </c>
      <c r="CX17" s="33"/>
      <c r="CY17" s="30">
        <v>2</v>
      </c>
      <c r="CZ17" s="2">
        <f t="shared" si="33"/>
        <v>14000</v>
      </c>
      <c r="DA17" s="33"/>
      <c r="DB17" s="30">
        <v>5</v>
      </c>
      <c r="DC17" s="2">
        <f t="shared" si="34"/>
        <v>35000</v>
      </c>
      <c r="DD17" s="33"/>
      <c r="DE17" s="30">
        <v>3</v>
      </c>
      <c r="DF17" s="2">
        <f t="shared" si="35"/>
        <v>21000</v>
      </c>
      <c r="DG17" s="33"/>
      <c r="DH17" s="30">
        <v>2</v>
      </c>
      <c r="DI17" s="2">
        <f t="shared" si="36"/>
        <v>14000</v>
      </c>
      <c r="DJ17" s="33"/>
      <c r="DK17" s="30">
        <v>2</v>
      </c>
      <c r="DL17" s="2">
        <f t="shared" si="37"/>
        <v>14000</v>
      </c>
      <c r="DM17" s="33"/>
      <c r="DN17" s="30">
        <v>2</v>
      </c>
      <c r="DO17" s="2">
        <f t="shared" si="38"/>
        <v>14000</v>
      </c>
      <c r="DP17" s="70">
        <f t="shared" si="39"/>
        <v>0</v>
      </c>
      <c r="DQ17" s="67">
        <f t="shared" si="39"/>
        <v>18</v>
      </c>
      <c r="DR17" s="51">
        <f t="shared" si="39"/>
        <v>126000</v>
      </c>
      <c r="DS17" s="33"/>
      <c r="DT17" s="30">
        <v>2</v>
      </c>
      <c r="DU17" s="2">
        <f t="shared" si="40"/>
        <v>14000</v>
      </c>
      <c r="DV17" s="52">
        <f t="shared" si="41"/>
        <v>0</v>
      </c>
      <c r="DW17" s="53">
        <f t="shared" si="42"/>
        <v>55</v>
      </c>
      <c r="DX17" s="54">
        <f t="shared" si="42"/>
        <v>385000</v>
      </c>
    </row>
    <row r="18" spans="1:128" s="26" customFormat="1" ht="17.100000000000001" customHeight="1" thickBot="1" x14ac:dyDescent="0.25">
      <c r="A18" s="27" t="s">
        <v>48</v>
      </c>
      <c r="B18" s="19">
        <v>7000</v>
      </c>
      <c r="C18" s="29"/>
      <c r="D18" s="30"/>
      <c r="E18" s="2">
        <f t="shared" si="0"/>
        <v>0</v>
      </c>
      <c r="F18" s="29"/>
      <c r="G18" s="30"/>
      <c r="H18" s="2">
        <f t="shared" si="1"/>
        <v>0</v>
      </c>
      <c r="I18" s="29"/>
      <c r="J18" s="30"/>
      <c r="K18" s="2">
        <f t="shared" si="2"/>
        <v>0</v>
      </c>
      <c r="L18" s="31"/>
      <c r="M18" s="30"/>
      <c r="N18" s="2">
        <f t="shared" si="3"/>
        <v>0</v>
      </c>
      <c r="O18" s="31"/>
      <c r="P18" s="30"/>
      <c r="Q18" s="2">
        <f t="shared" si="4"/>
        <v>0</v>
      </c>
      <c r="R18" s="31"/>
      <c r="S18" s="30"/>
      <c r="T18" s="2">
        <f t="shared" si="5"/>
        <v>0</v>
      </c>
      <c r="U18" s="33"/>
      <c r="V18" s="30">
        <v>1</v>
      </c>
      <c r="W18" s="64">
        <f t="shared" si="6"/>
        <v>7000</v>
      </c>
      <c r="X18" s="70"/>
      <c r="Y18" s="67">
        <f t="shared" si="7"/>
        <v>1</v>
      </c>
      <c r="Z18" s="73">
        <f t="shared" si="7"/>
        <v>7000</v>
      </c>
      <c r="AA18" s="35"/>
      <c r="AB18" s="30">
        <v>1</v>
      </c>
      <c r="AC18" s="2">
        <f t="shared" si="8"/>
        <v>7000</v>
      </c>
      <c r="AD18" s="33"/>
      <c r="AE18" s="30">
        <v>2</v>
      </c>
      <c r="AF18" s="2">
        <f t="shared" si="9"/>
        <v>14000</v>
      </c>
      <c r="AG18" s="33"/>
      <c r="AH18" s="30">
        <v>2</v>
      </c>
      <c r="AI18" s="2">
        <f t="shared" si="10"/>
        <v>14000</v>
      </c>
      <c r="AJ18" s="33"/>
      <c r="AK18" s="30">
        <v>2</v>
      </c>
      <c r="AL18" s="2">
        <f t="shared" si="11"/>
        <v>14000</v>
      </c>
      <c r="AM18" s="33"/>
      <c r="AN18" s="30"/>
      <c r="AO18" s="2">
        <f t="shared" si="12"/>
        <v>0</v>
      </c>
      <c r="AP18" s="33"/>
      <c r="AQ18" s="30">
        <v>3</v>
      </c>
      <c r="AR18" s="2">
        <f t="shared" si="13"/>
        <v>21000</v>
      </c>
      <c r="AS18" s="33"/>
      <c r="AT18" s="30">
        <v>2</v>
      </c>
      <c r="AU18" s="2">
        <f t="shared" si="14"/>
        <v>14000</v>
      </c>
      <c r="AV18" s="70">
        <f t="shared" si="15"/>
        <v>0</v>
      </c>
      <c r="AW18" s="67">
        <f t="shared" si="15"/>
        <v>12</v>
      </c>
      <c r="AX18" s="51">
        <f t="shared" si="15"/>
        <v>84000</v>
      </c>
      <c r="AY18" s="33"/>
      <c r="AZ18" s="30">
        <v>3</v>
      </c>
      <c r="BA18" s="2">
        <f t="shared" ref="BA18" si="88">$B18*AZ18</f>
        <v>21000</v>
      </c>
      <c r="BB18" s="33"/>
      <c r="BC18" s="30">
        <v>2</v>
      </c>
      <c r="BD18" s="2">
        <f t="shared" ref="BD18" si="89">$B18*BC18</f>
        <v>14000</v>
      </c>
      <c r="BE18" s="33"/>
      <c r="BF18" s="30">
        <v>3</v>
      </c>
      <c r="BG18" s="2">
        <f t="shared" ref="BG18" si="90">$B18*BF18</f>
        <v>21000</v>
      </c>
      <c r="BH18" s="33"/>
      <c r="BI18" s="30">
        <v>2</v>
      </c>
      <c r="BJ18" s="2">
        <f t="shared" ref="BJ18" si="91">$B18*BI18</f>
        <v>14000</v>
      </c>
      <c r="BK18" s="33">
        <v>30000</v>
      </c>
      <c r="BL18" s="30">
        <v>2</v>
      </c>
      <c r="BM18" s="2">
        <f t="shared" ref="BM18" si="92">$B18*BL18</f>
        <v>14000</v>
      </c>
      <c r="BN18" s="33"/>
      <c r="BO18" s="30"/>
      <c r="BP18" s="2">
        <f t="shared" ref="BP18" si="93">$B18*BO18</f>
        <v>0</v>
      </c>
      <c r="BQ18" s="33"/>
      <c r="BR18" s="30">
        <v>3</v>
      </c>
      <c r="BS18" s="2">
        <f t="shared" ref="BS18" si="94">$B18*BR18</f>
        <v>21000</v>
      </c>
      <c r="BT18" s="70">
        <f t="shared" ref="BT18" si="95">AY18+BB18+BE18+BH18+BK18+BN18+BQ18</f>
        <v>30000</v>
      </c>
      <c r="BU18" s="67">
        <f t="shared" ref="BU18" si="96">AZ18+BC18+BF18+BI18+BL18+BO18+BR18</f>
        <v>15</v>
      </c>
      <c r="BV18" s="51">
        <f t="shared" ref="BV18" si="97">BA18+BD18+BG18+BJ18+BM18+BP18+BS18</f>
        <v>105000</v>
      </c>
      <c r="BW18" s="33"/>
      <c r="BX18" s="30">
        <v>2</v>
      </c>
      <c r="BY18" s="2">
        <f t="shared" ref="BY18" si="98">$B18*BX18</f>
        <v>14000</v>
      </c>
      <c r="BZ18" s="33"/>
      <c r="CA18" s="30">
        <v>3</v>
      </c>
      <c r="CB18" s="2">
        <f t="shared" ref="CB18" si="99">$B18*CA18</f>
        <v>21000</v>
      </c>
      <c r="CC18" s="33"/>
      <c r="CD18" s="30">
        <v>2</v>
      </c>
      <c r="CE18" s="2">
        <f t="shared" ref="CE18" si="100">$B18*CD18</f>
        <v>14000</v>
      </c>
      <c r="CF18" s="33"/>
      <c r="CG18" s="30">
        <v>2</v>
      </c>
      <c r="CH18" s="2">
        <f t="shared" ref="CH18" si="101">$B18*CG18</f>
        <v>14000</v>
      </c>
      <c r="CI18" s="33"/>
      <c r="CJ18" s="30"/>
      <c r="CK18" s="2">
        <f t="shared" ref="CK18" si="102">$B18*CJ18</f>
        <v>0</v>
      </c>
      <c r="CL18" s="33">
        <v>15000</v>
      </c>
      <c r="CM18" s="99">
        <v>2.5</v>
      </c>
      <c r="CN18" s="2">
        <f t="shared" ref="CN18" si="103">$B18*CM18</f>
        <v>17500</v>
      </c>
      <c r="CO18" s="33"/>
      <c r="CP18" s="30">
        <v>2</v>
      </c>
      <c r="CQ18" s="2">
        <f t="shared" ref="CQ18" si="104">$B18*CP18</f>
        <v>14000</v>
      </c>
      <c r="CR18" s="70">
        <f t="shared" ref="CR18" si="105">BW18+BZ18+CC18+CF18+CI18+CL18+CO18</f>
        <v>15000</v>
      </c>
      <c r="CS18" s="67">
        <f t="shared" ref="CS18" si="106">BX18+CA18+CD18+CG18+CJ18+CM18+CP18</f>
        <v>13.5</v>
      </c>
      <c r="CT18" s="51">
        <f t="shared" ref="CT18" si="107">BY18+CB18+CE18+CH18+CK18+CN18+CQ18</f>
        <v>94500</v>
      </c>
      <c r="CU18" s="33"/>
      <c r="CV18" s="30">
        <v>2</v>
      </c>
      <c r="CW18" s="2">
        <f t="shared" ref="CW18" si="108">$B18*CV18</f>
        <v>14000</v>
      </c>
      <c r="CX18" s="33"/>
      <c r="CY18" s="30">
        <v>2</v>
      </c>
      <c r="CZ18" s="2">
        <f t="shared" ref="CZ18" si="109">$B18*CY18</f>
        <v>14000</v>
      </c>
      <c r="DA18" s="33"/>
      <c r="DB18" s="30">
        <v>5</v>
      </c>
      <c r="DC18" s="2">
        <f t="shared" ref="DC18" si="110">$B18*DB18</f>
        <v>35000</v>
      </c>
      <c r="DD18" s="33"/>
      <c r="DE18" s="30">
        <v>3</v>
      </c>
      <c r="DF18" s="2">
        <f t="shared" ref="DF18" si="111">$B18*DE18</f>
        <v>21000</v>
      </c>
      <c r="DG18" s="33">
        <v>25000</v>
      </c>
      <c r="DH18" s="30">
        <v>2</v>
      </c>
      <c r="DI18" s="2">
        <f t="shared" ref="DI18" si="112">$B18*DH18</f>
        <v>14000</v>
      </c>
      <c r="DJ18" s="33"/>
      <c r="DK18" s="30">
        <v>2</v>
      </c>
      <c r="DL18" s="2">
        <f t="shared" ref="DL18" si="113">$B18*DK18</f>
        <v>14000</v>
      </c>
      <c r="DM18" s="33"/>
      <c r="DN18" s="30">
        <v>2</v>
      </c>
      <c r="DO18" s="2">
        <f t="shared" ref="DO18" si="114">$B18*DN18</f>
        <v>14000</v>
      </c>
      <c r="DP18" s="70">
        <f t="shared" ref="DP18" si="115">CU18+CX18+DA18+DD18+DG18+DJ18+DM18</f>
        <v>25000</v>
      </c>
      <c r="DQ18" s="67">
        <f t="shared" ref="DQ18" si="116">CV18+CY18+DB18+DE18+DH18+DK18+DN18</f>
        <v>18</v>
      </c>
      <c r="DR18" s="51">
        <f t="shared" ref="DR18" si="117">CW18+CZ18+DC18+DF18+DI18+DL18+DO18</f>
        <v>126000</v>
      </c>
      <c r="DS18" s="33"/>
      <c r="DT18" s="30">
        <v>2</v>
      </c>
      <c r="DU18" s="2">
        <f t="shared" ref="DU18" si="118">$B18*DT18</f>
        <v>14000</v>
      </c>
      <c r="DV18" s="52">
        <v>70000</v>
      </c>
      <c r="DW18" s="53">
        <v>44</v>
      </c>
      <c r="DX18" s="54">
        <v>308000</v>
      </c>
    </row>
    <row r="19" spans="1:128" s="26" customFormat="1" ht="17.100000000000001" customHeight="1" thickBot="1" x14ac:dyDescent="0.25">
      <c r="A19" s="27" t="s">
        <v>36</v>
      </c>
      <c r="B19" s="19">
        <v>7000</v>
      </c>
      <c r="C19" s="29"/>
      <c r="D19" s="30"/>
      <c r="E19" s="2">
        <f t="shared" si="0"/>
        <v>0</v>
      </c>
      <c r="F19" s="29"/>
      <c r="G19" s="30"/>
      <c r="H19" s="2">
        <f t="shared" si="1"/>
        <v>0</v>
      </c>
      <c r="I19" s="29"/>
      <c r="J19" s="30"/>
      <c r="K19" s="2">
        <f t="shared" si="2"/>
        <v>0</v>
      </c>
      <c r="L19" s="31"/>
      <c r="M19" s="30"/>
      <c r="N19" s="2">
        <f t="shared" si="3"/>
        <v>0</v>
      </c>
      <c r="O19" s="31"/>
      <c r="P19" s="30"/>
      <c r="Q19" s="2">
        <f t="shared" si="4"/>
        <v>0</v>
      </c>
      <c r="R19" s="31"/>
      <c r="S19" s="30"/>
      <c r="T19" s="2">
        <f t="shared" si="5"/>
        <v>0</v>
      </c>
      <c r="U19" s="33"/>
      <c r="V19" s="30">
        <v>1</v>
      </c>
      <c r="W19" s="64">
        <f t="shared" si="6"/>
        <v>7000</v>
      </c>
      <c r="X19" s="70">
        <f t="shared" si="7"/>
        <v>0</v>
      </c>
      <c r="Y19" s="67">
        <f t="shared" si="7"/>
        <v>1</v>
      </c>
      <c r="Z19" s="73">
        <f t="shared" si="7"/>
        <v>7000</v>
      </c>
      <c r="AA19" s="35"/>
      <c r="AB19" s="30">
        <v>1</v>
      </c>
      <c r="AC19" s="2">
        <f t="shared" si="8"/>
        <v>7000</v>
      </c>
      <c r="AD19" s="33"/>
      <c r="AE19" s="30">
        <v>2</v>
      </c>
      <c r="AF19" s="2">
        <f t="shared" si="9"/>
        <v>14000</v>
      </c>
      <c r="AG19" s="33"/>
      <c r="AH19" s="30">
        <v>2</v>
      </c>
      <c r="AI19" s="2">
        <f t="shared" si="10"/>
        <v>14000</v>
      </c>
      <c r="AJ19" s="33"/>
      <c r="AK19" s="30">
        <v>2</v>
      </c>
      <c r="AL19" s="2">
        <f t="shared" si="11"/>
        <v>14000</v>
      </c>
      <c r="AM19" s="33"/>
      <c r="AN19" s="30"/>
      <c r="AO19" s="2">
        <f t="shared" si="12"/>
        <v>0</v>
      </c>
      <c r="AP19" s="33"/>
      <c r="AQ19" s="30"/>
      <c r="AR19" s="2">
        <f t="shared" si="13"/>
        <v>0</v>
      </c>
      <c r="AS19" s="33"/>
      <c r="AT19" s="30">
        <v>2</v>
      </c>
      <c r="AU19" s="2">
        <f t="shared" si="14"/>
        <v>14000</v>
      </c>
      <c r="AV19" s="70">
        <f t="shared" si="15"/>
        <v>0</v>
      </c>
      <c r="AW19" s="67">
        <f t="shared" si="15"/>
        <v>9</v>
      </c>
      <c r="AX19" s="51">
        <f t="shared" si="15"/>
        <v>63000</v>
      </c>
      <c r="AY19" s="33"/>
      <c r="AZ19" s="30">
        <v>2</v>
      </c>
      <c r="BA19" s="2">
        <f t="shared" si="16"/>
        <v>14000</v>
      </c>
      <c r="BB19" s="33"/>
      <c r="BC19" s="30">
        <v>2</v>
      </c>
      <c r="BD19" s="2">
        <f t="shared" si="17"/>
        <v>14000</v>
      </c>
      <c r="BE19" s="33"/>
      <c r="BF19" s="30">
        <v>3</v>
      </c>
      <c r="BG19" s="2">
        <f t="shared" si="18"/>
        <v>21000</v>
      </c>
      <c r="BH19" s="33"/>
      <c r="BI19" s="30"/>
      <c r="BJ19" s="2">
        <f t="shared" si="19"/>
        <v>0</v>
      </c>
      <c r="BK19" s="33"/>
      <c r="BL19" s="30">
        <v>2</v>
      </c>
      <c r="BM19" s="2">
        <f t="shared" si="20"/>
        <v>14000</v>
      </c>
      <c r="BN19" s="33"/>
      <c r="BO19" s="30">
        <v>2</v>
      </c>
      <c r="BP19" s="2">
        <f t="shared" si="21"/>
        <v>14000</v>
      </c>
      <c r="BQ19" s="33"/>
      <c r="BR19" s="30">
        <v>3</v>
      </c>
      <c r="BS19" s="2">
        <f t="shared" si="22"/>
        <v>21000</v>
      </c>
      <c r="BT19" s="70">
        <f t="shared" si="23"/>
        <v>0</v>
      </c>
      <c r="BU19" s="67">
        <f t="shared" si="23"/>
        <v>14</v>
      </c>
      <c r="BV19" s="51">
        <f t="shared" si="23"/>
        <v>98000</v>
      </c>
      <c r="BW19" s="33"/>
      <c r="BX19" s="30">
        <v>2</v>
      </c>
      <c r="BY19" s="2">
        <f t="shared" si="24"/>
        <v>14000</v>
      </c>
      <c r="BZ19" s="33"/>
      <c r="CA19" s="30">
        <v>3</v>
      </c>
      <c r="CB19" s="2">
        <f t="shared" si="25"/>
        <v>21000</v>
      </c>
      <c r="CC19" s="33"/>
      <c r="CD19" s="30">
        <v>2</v>
      </c>
      <c r="CE19" s="2">
        <f t="shared" si="26"/>
        <v>14000</v>
      </c>
      <c r="CF19" s="33"/>
      <c r="CG19" s="30"/>
      <c r="CH19" s="2">
        <f t="shared" si="27"/>
        <v>0</v>
      </c>
      <c r="CI19" s="33"/>
      <c r="CJ19" s="30">
        <v>2</v>
      </c>
      <c r="CK19" s="2">
        <f t="shared" si="28"/>
        <v>14000</v>
      </c>
      <c r="CL19" s="33"/>
      <c r="CM19" s="30">
        <v>2</v>
      </c>
      <c r="CN19" s="2">
        <f t="shared" si="29"/>
        <v>14000</v>
      </c>
      <c r="CO19" s="33"/>
      <c r="CP19" s="30">
        <v>2</v>
      </c>
      <c r="CQ19" s="2">
        <f t="shared" si="30"/>
        <v>14000</v>
      </c>
      <c r="CR19" s="70">
        <f t="shared" si="31"/>
        <v>0</v>
      </c>
      <c r="CS19" s="67">
        <f t="shared" si="31"/>
        <v>13</v>
      </c>
      <c r="CT19" s="51">
        <f t="shared" si="31"/>
        <v>91000</v>
      </c>
      <c r="CU19" s="33"/>
      <c r="CV19" s="30">
        <v>2</v>
      </c>
      <c r="CW19" s="2">
        <f t="shared" si="32"/>
        <v>14000</v>
      </c>
      <c r="CX19" s="33"/>
      <c r="CY19" s="30">
        <v>2</v>
      </c>
      <c r="CZ19" s="2">
        <f t="shared" si="33"/>
        <v>14000</v>
      </c>
      <c r="DA19" s="33"/>
      <c r="DB19" s="30">
        <v>5</v>
      </c>
      <c r="DC19" s="2">
        <f t="shared" si="34"/>
        <v>35000</v>
      </c>
      <c r="DD19" s="33"/>
      <c r="DE19" s="30">
        <v>3</v>
      </c>
      <c r="DF19" s="2">
        <f t="shared" si="35"/>
        <v>21000</v>
      </c>
      <c r="DG19" s="33"/>
      <c r="DH19" s="30">
        <v>2</v>
      </c>
      <c r="DI19" s="2">
        <f t="shared" si="36"/>
        <v>14000</v>
      </c>
      <c r="DJ19" s="33"/>
      <c r="DK19" s="30">
        <v>2</v>
      </c>
      <c r="DL19" s="2">
        <f t="shared" si="37"/>
        <v>14000</v>
      </c>
      <c r="DM19" s="33"/>
      <c r="DN19" s="30">
        <v>1</v>
      </c>
      <c r="DO19" s="2">
        <f t="shared" si="38"/>
        <v>7000</v>
      </c>
      <c r="DP19" s="70">
        <f t="shared" si="39"/>
        <v>0</v>
      </c>
      <c r="DQ19" s="67">
        <f t="shared" si="39"/>
        <v>17</v>
      </c>
      <c r="DR19" s="51">
        <f t="shared" si="39"/>
        <v>119000</v>
      </c>
      <c r="DS19" s="33"/>
      <c r="DT19" s="30">
        <v>2</v>
      </c>
      <c r="DU19" s="2">
        <f t="shared" si="40"/>
        <v>14000</v>
      </c>
      <c r="DV19" s="52">
        <f t="shared" si="41"/>
        <v>0</v>
      </c>
      <c r="DW19" s="53">
        <f t="shared" si="42"/>
        <v>54</v>
      </c>
      <c r="DX19" s="54">
        <f t="shared" si="42"/>
        <v>378000</v>
      </c>
    </row>
    <row r="20" spans="1:128" s="26" customFormat="1" ht="17.100000000000001" customHeight="1" thickBot="1" x14ac:dyDescent="0.25">
      <c r="A20" s="27" t="s">
        <v>33</v>
      </c>
      <c r="B20" s="19">
        <v>7000</v>
      </c>
      <c r="C20" s="29"/>
      <c r="D20" s="30"/>
      <c r="E20" s="2">
        <f t="shared" si="0"/>
        <v>0</v>
      </c>
      <c r="F20" s="29"/>
      <c r="G20" s="30"/>
      <c r="H20" s="2">
        <f t="shared" si="1"/>
        <v>0</v>
      </c>
      <c r="I20" s="29"/>
      <c r="J20" s="30"/>
      <c r="K20" s="2">
        <f t="shared" si="2"/>
        <v>0</v>
      </c>
      <c r="L20" s="31"/>
      <c r="M20" s="30"/>
      <c r="N20" s="2">
        <f t="shared" si="3"/>
        <v>0</v>
      </c>
      <c r="O20" s="31"/>
      <c r="P20" s="30"/>
      <c r="Q20" s="2">
        <f t="shared" si="4"/>
        <v>0</v>
      </c>
      <c r="R20" s="31"/>
      <c r="S20" s="30"/>
      <c r="T20" s="2">
        <f t="shared" si="5"/>
        <v>0</v>
      </c>
      <c r="U20" s="33"/>
      <c r="V20" s="30"/>
      <c r="W20" s="64">
        <f t="shared" si="6"/>
        <v>0</v>
      </c>
      <c r="X20" s="70">
        <f t="shared" si="7"/>
        <v>0</v>
      </c>
      <c r="Y20" s="67">
        <f t="shared" si="7"/>
        <v>0</v>
      </c>
      <c r="Z20" s="73">
        <f t="shared" si="7"/>
        <v>0</v>
      </c>
      <c r="AA20" s="35"/>
      <c r="AB20" s="30"/>
      <c r="AC20" s="2">
        <f t="shared" si="8"/>
        <v>0</v>
      </c>
      <c r="AD20" s="33"/>
      <c r="AE20" s="30"/>
      <c r="AF20" s="2">
        <f t="shared" si="9"/>
        <v>0</v>
      </c>
      <c r="AG20" s="33"/>
      <c r="AH20" s="30"/>
      <c r="AI20" s="2">
        <f t="shared" si="10"/>
        <v>0</v>
      </c>
      <c r="AJ20" s="33"/>
      <c r="AK20" s="30"/>
      <c r="AL20" s="2">
        <f t="shared" si="11"/>
        <v>0</v>
      </c>
      <c r="AM20" s="33"/>
      <c r="AN20" s="30"/>
      <c r="AO20" s="2">
        <f t="shared" si="12"/>
        <v>0</v>
      </c>
      <c r="AP20" s="33"/>
      <c r="AQ20" s="30"/>
      <c r="AR20" s="2">
        <f t="shared" si="13"/>
        <v>0</v>
      </c>
      <c r="AS20" s="33"/>
      <c r="AT20" s="30"/>
      <c r="AU20" s="2">
        <f t="shared" si="14"/>
        <v>0</v>
      </c>
      <c r="AV20" s="70">
        <f t="shared" si="15"/>
        <v>0</v>
      </c>
      <c r="AW20" s="67">
        <f t="shared" si="15"/>
        <v>0</v>
      </c>
      <c r="AX20" s="51">
        <f t="shared" si="15"/>
        <v>0</v>
      </c>
      <c r="AY20" s="33"/>
      <c r="AZ20" s="30"/>
      <c r="BA20" s="2">
        <f t="shared" si="16"/>
        <v>0</v>
      </c>
      <c r="BB20" s="33"/>
      <c r="BC20" s="30"/>
      <c r="BD20" s="2">
        <f t="shared" si="17"/>
        <v>0</v>
      </c>
      <c r="BE20" s="33"/>
      <c r="BF20" s="30"/>
      <c r="BG20" s="2">
        <f t="shared" si="18"/>
        <v>0</v>
      </c>
      <c r="BH20" s="33"/>
      <c r="BI20" s="30"/>
      <c r="BJ20" s="2">
        <f t="shared" si="19"/>
        <v>0</v>
      </c>
      <c r="BK20" s="33"/>
      <c r="BL20" s="30"/>
      <c r="BM20" s="2">
        <f t="shared" si="20"/>
        <v>0</v>
      </c>
      <c r="BN20" s="33"/>
      <c r="BO20" s="30"/>
      <c r="BP20" s="2">
        <f t="shared" si="21"/>
        <v>0</v>
      </c>
      <c r="BQ20" s="33"/>
      <c r="BR20" s="30"/>
      <c r="BS20" s="2">
        <f t="shared" si="22"/>
        <v>0</v>
      </c>
      <c r="BT20" s="70">
        <f t="shared" si="23"/>
        <v>0</v>
      </c>
      <c r="BU20" s="67">
        <f t="shared" si="23"/>
        <v>0</v>
      </c>
      <c r="BV20" s="51">
        <f t="shared" si="23"/>
        <v>0</v>
      </c>
      <c r="BW20" s="33"/>
      <c r="BX20" s="30"/>
      <c r="BY20" s="2">
        <f t="shared" si="24"/>
        <v>0</v>
      </c>
      <c r="BZ20" s="33"/>
      <c r="CA20" s="30"/>
      <c r="CB20" s="2">
        <f t="shared" si="25"/>
        <v>0</v>
      </c>
      <c r="CC20" s="33"/>
      <c r="CD20" s="30"/>
      <c r="CE20" s="2">
        <f t="shared" si="26"/>
        <v>0</v>
      </c>
      <c r="CF20" s="33"/>
      <c r="CG20" s="30"/>
      <c r="CH20" s="2">
        <f t="shared" si="27"/>
        <v>0</v>
      </c>
      <c r="CI20" s="33"/>
      <c r="CJ20" s="30"/>
      <c r="CK20" s="2">
        <f t="shared" si="28"/>
        <v>0</v>
      </c>
      <c r="CL20" s="33"/>
      <c r="CM20" s="30"/>
      <c r="CN20" s="2">
        <f t="shared" si="29"/>
        <v>0</v>
      </c>
      <c r="CO20" s="33"/>
      <c r="CP20" s="30"/>
      <c r="CQ20" s="2">
        <f t="shared" si="30"/>
        <v>0</v>
      </c>
      <c r="CR20" s="70">
        <f t="shared" si="31"/>
        <v>0</v>
      </c>
      <c r="CS20" s="67">
        <f t="shared" si="31"/>
        <v>0</v>
      </c>
      <c r="CT20" s="51">
        <f t="shared" si="31"/>
        <v>0</v>
      </c>
      <c r="CU20" s="33"/>
      <c r="CV20" s="30"/>
      <c r="CW20" s="2">
        <f t="shared" si="32"/>
        <v>0</v>
      </c>
      <c r="CX20" s="33"/>
      <c r="CY20" s="30"/>
      <c r="CZ20" s="2">
        <f t="shared" si="33"/>
        <v>0</v>
      </c>
      <c r="DA20" s="33"/>
      <c r="DB20" s="30"/>
      <c r="DC20" s="2">
        <f t="shared" si="34"/>
        <v>0</v>
      </c>
      <c r="DD20" s="33"/>
      <c r="DE20" s="30"/>
      <c r="DF20" s="2">
        <f t="shared" si="35"/>
        <v>0</v>
      </c>
      <c r="DG20" s="33"/>
      <c r="DH20" s="30"/>
      <c r="DI20" s="2">
        <f t="shared" si="36"/>
        <v>0</v>
      </c>
      <c r="DJ20" s="33"/>
      <c r="DK20" s="30"/>
      <c r="DL20" s="2">
        <f t="shared" si="37"/>
        <v>0</v>
      </c>
      <c r="DM20" s="33"/>
      <c r="DN20" s="30"/>
      <c r="DO20" s="2">
        <f t="shared" si="38"/>
        <v>0</v>
      </c>
      <c r="DP20" s="70">
        <f t="shared" si="39"/>
        <v>0</v>
      </c>
      <c r="DQ20" s="67">
        <f t="shared" si="39"/>
        <v>0</v>
      </c>
      <c r="DR20" s="51">
        <f t="shared" si="39"/>
        <v>0</v>
      </c>
      <c r="DS20" s="33"/>
      <c r="DT20" s="30"/>
      <c r="DU20" s="2">
        <f t="shared" si="40"/>
        <v>0</v>
      </c>
      <c r="DV20" s="52">
        <f t="shared" si="41"/>
        <v>0</v>
      </c>
      <c r="DW20" s="53">
        <f t="shared" si="42"/>
        <v>0</v>
      </c>
      <c r="DX20" s="54">
        <f t="shared" si="42"/>
        <v>0</v>
      </c>
    </row>
    <row r="21" spans="1:128" s="26" customFormat="1" ht="17.100000000000001" customHeight="1" thickBot="1" x14ac:dyDescent="0.25">
      <c r="A21" s="27" t="s">
        <v>38</v>
      </c>
      <c r="B21" s="19">
        <v>7000</v>
      </c>
      <c r="C21" s="29"/>
      <c r="D21" s="30"/>
      <c r="E21" s="2">
        <f t="shared" si="0"/>
        <v>0</v>
      </c>
      <c r="F21" s="29"/>
      <c r="G21" s="30"/>
      <c r="H21" s="2">
        <f t="shared" si="1"/>
        <v>0</v>
      </c>
      <c r="I21" s="29"/>
      <c r="J21" s="30"/>
      <c r="K21" s="2">
        <f t="shared" si="2"/>
        <v>0</v>
      </c>
      <c r="L21" s="31"/>
      <c r="M21" s="30"/>
      <c r="N21" s="2">
        <f t="shared" si="3"/>
        <v>0</v>
      </c>
      <c r="O21" s="31"/>
      <c r="P21" s="30"/>
      <c r="Q21" s="2">
        <f t="shared" si="4"/>
        <v>0</v>
      </c>
      <c r="R21" s="31"/>
      <c r="S21" s="30"/>
      <c r="T21" s="2">
        <f t="shared" si="5"/>
        <v>0</v>
      </c>
      <c r="U21" s="33"/>
      <c r="V21" s="30">
        <v>1</v>
      </c>
      <c r="W21" s="64">
        <f t="shared" si="6"/>
        <v>7000</v>
      </c>
      <c r="X21" s="70">
        <f t="shared" si="7"/>
        <v>0</v>
      </c>
      <c r="Y21" s="67">
        <f t="shared" si="7"/>
        <v>1</v>
      </c>
      <c r="Z21" s="73">
        <f t="shared" si="7"/>
        <v>7000</v>
      </c>
      <c r="AA21" s="35"/>
      <c r="AB21" s="30"/>
      <c r="AC21" s="2">
        <f t="shared" si="8"/>
        <v>0</v>
      </c>
      <c r="AD21" s="33"/>
      <c r="AE21" s="30"/>
      <c r="AF21" s="2">
        <f t="shared" si="9"/>
        <v>0</v>
      </c>
      <c r="AG21" s="33"/>
      <c r="AH21" s="30"/>
      <c r="AI21" s="2">
        <f t="shared" si="10"/>
        <v>0</v>
      </c>
      <c r="AJ21" s="33"/>
      <c r="AK21" s="30"/>
      <c r="AL21" s="2">
        <f t="shared" si="11"/>
        <v>0</v>
      </c>
      <c r="AM21" s="33"/>
      <c r="AN21" s="30"/>
      <c r="AO21" s="2">
        <f t="shared" si="12"/>
        <v>0</v>
      </c>
      <c r="AP21" s="33"/>
      <c r="AQ21" s="30"/>
      <c r="AR21" s="2">
        <f t="shared" si="13"/>
        <v>0</v>
      </c>
      <c r="AS21" s="33"/>
      <c r="AT21" s="30">
        <v>1</v>
      </c>
      <c r="AU21" s="2">
        <f t="shared" si="14"/>
        <v>7000</v>
      </c>
      <c r="AV21" s="70">
        <f t="shared" si="15"/>
        <v>0</v>
      </c>
      <c r="AW21" s="67">
        <f t="shared" si="15"/>
        <v>1</v>
      </c>
      <c r="AX21" s="51">
        <f t="shared" si="15"/>
        <v>7000</v>
      </c>
      <c r="AY21" s="33"/>
      <c r="AZ21" s="30"/>
      <c r="BA21" s="2">
        <f t="shared" si="16"/>
        <v>0</v>
      </c>
      <c r="BB21" s="33"/>
      <c r="BC21" s="30"/>
      <c r="BD21" s="2">
        <f t="shared" si="17"/>
        <v>0</v>
      </c>
      <c r="BE21" s="33"/>
      <c r="BF21" s="30">
        <v>1</v>
      </c>
      <c r="BG21" s="2">
        <f t="shared" si="18"/>
        <v>7000</v>
      </c>
      <c r="BH21" s="33"/>
      <c r="BI21" s="30"/>
      <c r="BJ21" s="2">
        <f t="shared" si="19"/>
        <v>0</v>
      </c>
      <c r="BK21" s="33"/>
      <c r="BL21" s="30">
        <v>1</v>
      </c>
      <c r="BM21" s="2">
        <f t="shared" si="20"/>
        <v>7000</v>
      </c>
      <c r="BN21" s="33"/>
      <c r="BO21" s="30"/>
      <c r="BP21" s="2">
        <f t="shared" si="21"/>
        <v>0</v>
      </c>
      <c r="BQ21" s="33"/>
      <c r="BR21" s="30"/>
      <c r="BS21" s="2">
        <f t="shared" si="22"/>
        <v>0</v>
      </c>
      <c r="BT21" s="70">
        <f t="shared" si="23"/>
        <v>0</v>
      </c>
      <c r="BU21" s="67">
        <f t="shared" si="23"/>
        <v>2</v>
      </c>
      <c r="BV21" s="51">
        <f t="shared" si="23"/>
        <v>14000</v>
      </c>
      <c r="BW21" s="33"/>
      <c r="BX21" s="30"/>
      <c r="BY21" s="2">
        <f t="shared" si="24"/>
        <v>0</v>
      </c>
      <c r="BZ21" s="33"/>
      <c r="CA21" s="30">
        <v>2</v>
      </c>
      <c r="CB21" s="2">
        <f t="shared" si="25"/>
        <v>14000</v>
      </c>
      <c r="CC21" s="33"/>
      <c r="CD21" s="30"/>
      <c r="CE21" s="2">
        <f t="shared" si="26"/>
        <v>0</v>
      </c>
      <c r="CF21" s="33"/>
      <c r="CG21" s="30"/>
      <c r="CH21" s="2">
        <f t="shared" si="27"/>
        <v>0</v>
      </c>
      <c r="CI21" s="33">
        <v>100000</v>
      </c>
      <c r="CJ21" s="30">
        <v>2</v>
      </c>
      <c r="CK21" s="2">
        <f t="shared" si="28"/>
        <v>14000</v>
      </c>
      <c r="CL21" s="33"/>
      <c r="CM21" s="30"/>
      <c r="CN21" s="2">
        <f t="shared" si="29"/>
        <v>0</v>
      </c>
      <c r="CO21" s="33"/>
      <c r="CP21" s="30"/>
      <c r="CQ21" s="2">
        <f t="shared" si="30"/>
        <v>0</v>
      </c>
      <c r="CR21" s="70">
        <f t="shared" si="31"/>
        <v>100000</v>
      </c>
      <c r="CS21" s="67">
        <f t="shared" si="31"/>
        <v>4</v>
      </c>
      <c r="CT21" s="51">
        <f t="shared" si="31"/>
        <v>28000</v>
      </c>
      <c r="CU21" s="33"/>
      <c r="CV21" s="30">
        <v>1</v>
      </c>
      <c r="CW21" s="2">
        <f t="shared" si="32"/>
        <v>7000</v>
      </c>
      <c r="CX21" s="33"/>
      <c r="CY21" s="30"/>
      <c r="CZ21" s="2">
        <f t="shared" si="33"/>
        <v>0</v>
      </c>
      <c r="DA21" s="33"/>
      <c r="DB21" s="30">
        <v>1</v>
      </c>
      <c r="DC21" s="2">
        <f t="shared" si="34"/>
        <v>7000</v>
      </c>
      <c r="DD21" s="33"/>
      <c r="DE21" s="30"/>
      <c r="DF21" s="2">
        <f t="shared" si="35"/>
        <v>0</v>
      </c>
      <c r="DG21" s="33"/>
      <c r="DH21" s="30">
        <v>2</v>
      </c>
      <c r="DI21" s="2">
        <f t="shared" si="36"/>
        <v>14000</v>
      </c>
      <c r="DJ21" s="33"/>
      <c r="DK21" s="30"/>
      <c r="DL21" s="2">
        <f t="shared" si="37"/>
        <v>0</v>
      </c>
      <c r="DM21" s="33"/>
      <c r="DN21" s="30"/>
      <c r="DO21" s="2">
        <f t="shared" si="38"/>
        <v>0</v>
      </c>
      <c r="DP21" s="70">
        <f t="shared" si="39"/>
        <v>0</v>
      </c>
      <c r="DQ21" s="67">
        <f t="shared" si="39"/>
        <v>4</v>
      </c>
      <c r="DR21" s="51">
        <f t="shared" si="39"/>
        <v>28000</v>
      </c>
      <c r="DS21" s="33"/>
      <c r="DT21" s="30"/>
      <c r="DU21" s="2">
        <f t="shared" si="40"/>
        <v>0</v>
      </c>
      <c r="DV21" s="52">
        <f t="shared" si="41"/>
        <v>100000</v>
      </c>
      <c r="DW21" s="53">
        <f t="shared" si="42"/>
        <v>12</v>
      </c>
      <c r="DX21" s="54">
        <f t="shared" si="42"/>
        <v>84000</v>
      </c>
    </row>
    <row r="22" spans="1:128" s="26" customFormat="1" ht="17.100000000000001" customHeight="1" x14ac:dyDescent="0.2">
      <c r="A22" s="27" t="s">
        <v>40</v>
      </c>
      <c r="B22" s="19">
        <v>7000</v>
      </c>
      <c r="C22" s="29"/>
      <c r="D22" s="30"/>
      <c r="E22" s="2">
        <f t="shared" si="0"/>
        <v>0</v>
      </c>
      <c r="F22" s="29"/>
      <c r="G22" s="30"/>
      <c r="H22" s="2">
        <f t="shared" si="1"/>
        <v>0</v>
      </c>
      <c r="I22" s="29"/>
      <c r="J22" s="30"/>
      <c r="K22" s="2">
        <f t="shared" si="2"/>
        <v>0</v>
      </c>
      <c r="L22" s="31"/>
      <c r="M22" s="30"/>
      <c r="N22" s="2">
        <f t="shared" si="3"/>
        <v>0</v>
      </c>
      <c r="O22" s="31"/>
      <c r="P22" s="30"/>
      <c r="Q22" s="2">
        <f t="shared" si="4"/>
        <v>0</v>
      </c>
      <c r="R22" s="31"/>
      <c r="S22" s="30"/>
      <c r="T22" s="2">
        <f t="shared" si="5"/>
        <v>0</v>
      </c>
      <c r="U22" s="33"/>
      <c r="V22" s="30">
        <v>2</v>
      </c>
      <c r="W22" s="64">
        <f t="shared" si="6"/>
        <v>14000</v>
      </c>
      <c r="X22" s="70">
        <f t="shared" si="7"/>
        <v>0</v>
      </c>
      <c r="Y22" s="67">
        <f t="shared" si="7"/>
        <v>2</v>
      </c>
      <c r="Z22" s="73">
        <f t="shared" si="7"/>
        <v>14000</v>
      </c>
      <c r="AA22" s="35"/>
      <c r="AB22" s="30">
        <v>1</v>
      </c>
      <c r="AC22" s="2">
        <f t="shared" si="8"/>
        <v>7000</v>
      </c>
      <c r="AD22" s="33"/>
      <c r="AE22" s="30">
        <v>2</v>
      </c>
      <c r="AF22" s="2">
        <f t="shared" si="9"/>
        <v>14000</v>
      </c>
      <c r="AG22" s="33"/>
      <c r="AH22" s="30">
        <v>2</v>
      </c>
      <c r="AI22" s="2">
        <f t="shared" si="10"/>
        <v>14000</v>
      </c>
      <c r="AJ22" s="33"/>
      <c r="AK22" s="30">
        <v>2</v>
      </c>
      <c r="AL22" s="2">
        <f t="shared" si="11"/>
        <v>14000</v>
      </c>
      <c r="AM22" s="33"/>
      <c r="AN22" s="30">
        <v>2</v>
      </c>
      <c r="AO22" s="2">
        <f t="shared" si="12"/>
        <v>14000</v>
      </c>
      <c r="AP22" s="33"/>
      <c r="AQ22" s="30"/>
      <c r="AR22" s="2">
        <f t="shared" si="13"/>
        <v>0</v>
      </c>
      <c r="AS22" s="33"/>
      <c r="AT22" s="30">
        <v>2</v>
      </c>
      <c r="AU22" s="2">
        <f t="shared" si="14"/>
        <v>14000</v>
      </c>
      <c r="AV22" s="70">
        <f t="shared" si="15"/>
        <v>0</v>
      </c>
      <c r="AW22" s="67">
        <f t="shared" si="15"/>
        <v>11</v>
      </c>
      <c r="AX22" s="51">
        <f>AC22+AF22+AI22+AL22+AO22+AR22+AU22</f>
        <v>77000</v>
      </c>
      <c r="AY22" s="33"/>
      <c r="AZ22" s="99">
        <v>1.5</v>
      </c>
      <c r="BA22" s="2">
        <f t="shared" si="16"/>
        <v>10500</v>
      </c>
      <c r="BB22" s="33"/>
      <c r="BC22" s="30"/>
      <c r="BD22" s="2">
        <f t="shared" si="17"/>
        <v>0</v>
      </c>
      <c r="BE22" s="33"/>
      <c r="BF22" s="30">
        <v>3</v>
      </c>
      <c r="BG22" s="2">
        <f t="shared" si="18"/>
        <v>21000</v>
      </c>
      <c r="BH22" s="33"/>
      <c r="BI22" s="30">
        <v>2</v>
      </c>
      <c r="BJ22" s="2">
        <f t="shared" si="19"/>
        <v>14000</v>
      </c>
      <c r="BK22" s="33"/>
      <c r="BL22" s="30"/>
      <c r="BM22" s="2">
        <f t="shared" si="20"/>
        <v>0</v>
      </c>
      <c r="BN22" s="33"/>
      <c r="BO22" s="30">
        <v>2</v>
      </c>
      <c r="BP22" s="2">
        <f t="shared" si="21"/>
        <v>14000</v>
      </c>
      <c r="BQ22" s="33"/>
      <c r="BR22" s="30">
        <v>3</v>
      </c>
      <c r="BS22" s="2">
        <f t="shared" si="22"/>
        <v>21000</v>
      </c>
      <c r="BT22" s="70">
        <f t="shared" si="23"/>
        <v>0</v>
      </c>
      <c r="BU22" s="100">
        <f t="shared" si="23"/>
        <v>11.5</v>
      </c>
      <c r="BV22" s="51">
        <f t="shared" si="23"/>
        <v>80500</v>
      </c>
      <c r="BW22" s="33"/>
      <c r="BX22" s="30">
        <v>2</v>
      </c>
      <c r="BY22" s="2">
        <f t="shared" si="24"/>
        <v>14000</v>
      </c>
      <c r="BZ22" s="33"/>
      <c r="CA22" s="30">
        <v>3</v>
      </c>
      <c r="CB22" s="2">
        <f t="shared" si="25"/>
        <v>21000</v>
      </c>
      <c r="CC22" s="33"/>
      <c r="CD22" s="30">
        <v>2</v>
      </c>
      <c r="CE22" s="2">
        <f t="shared" si="26"/>
        <v>14000</v>
      </c>
      <c r="CF22" s="33"/>
      <c r="CG22" s="30">
        <v>2</v>
      </c>
      <c r="CH22" s="2">
        <f t="shared" si="27"/>
        <v>14000</v>
      </c>
      <c r="CI22" s="33"/>
      <c r="CJ22" s="30"/>
      <c r="CK22" s="2">
        <f t="shared" si="28"/>
        <v>0</v>
      </c>
      <c r="CL22" s="33"/>
      <c r="CM22" s="30">
        <v>2</v>
      </c>
      <c r="CN22" s="2">
        <f t="shared" si="29"/>
        <v>14000</v>
      </c>
      <c r="CO22" s="33"/>
      <c r="CP22" s="30">
        <v>2</v>
      </c>
      <c r="CQ22" s="2">
        <f t="shared" si="30"/>
        <v>14000</v>
      </c>
      <c r="CR22" s="70">
        <f t="shared" si="31"/>
        <v>0</v>
      </c>
      <c r="CS22" s="67">
        <f t="shared" si="31"/>
        <v>13</v>
      </c>
      <c r="CT22" s="51">
        <f t="shared" si="31"/>
        <v>91000</v>
      </c>
      <c r="CU22" s="33"/>
      <c r="CV22" s="30"/>
      <c r="CW22" s="2">
        <f t="shared" si="32"/>
        <v>0</v>
      </c>
      <c r="CX22" s="33"/>
      <c r="CY22" s="30">
        <v>2</v>
      </c>
      <c r="CZ22" s="2">
        <f t="shared" si="33"/>
        <v>14000</v>
      </c>
      <c r="DA22" s="33"/>
      <c r="DB22" s="30">
        <v>4</v>
      </c>
      <c r="DC22" s="2">
        <f t="shared" si="34"/>
        <v>28000</v>
      </c>
      <c r="DD22" s="33"/>
      <c r="DE22" s="30">
        <v>3</v>
      </c>
      <c r="DF22" s="2">
        <f t="shared" si="35"/>
        <v>21000</v>
      </c>
      <c r="DG22" s="33"/>
      <c r="DH22" s="30">
        <v>2</v>
      </c>
      <c r="DI22" s="2">
        <f t="shared" si="36"/>
        <v>14000</v>
      </c>
      <c r="DJ22" s="33"/>
      <c r="DK22" s="30">
        <v>2</v>
      </c>
      <c r="DL22" s="2">
        <f t="shared" si="37"/>
        <v>14000</v>
      </c>
      <c r="DM22" s="33"/>
      <c r="DN22" s="30">
        <v>2</v>
      </c>
      <c r="DO22" s="2">
        <f t="shared" si="38"/>
        <v>14000</v>
      </c>
      <c r="DP22" s="70">
        <f t="shared" si="39"/>
        <v>0</v>
      </c>
      <c r="DQ22" s="67">
        <f t="shared" si="39"/>
        <v>15</v>
      </c>
      <c r="DR22" s="51">
        <f t="shared" si="39"/>
        <v>105000</v>
      </c>
      <c r="DS22" s="33"/>
      <c r="DT22" s="30">
        <v>2</v>
      </c>
      <c r="DU22" s="2">
        <f t="shared" si="40"/>
        <v>14000</v>
      </c>
      <c r="DV22" s="52">
        <f t="shared" si="41"/>
        <v>0</v>
      </c>
      <c r="DW22" s="115">
        <f t="shared" si="42"/>
        <v>52.5</v>
      </c>
      <c r="DX22" s="54">
        <f>Z22+AX22+BV22+CT22+DR22</f>
        <v>367500</v>
      </c>
    </row>
    <row r="23" spans="1:128" s="26" customFormat="1" ht="17.100000000000001" customHeight="1" x14ac:dyDescent="0.2">
      <c r="A23" s="79" t="s">
        <v>35</v>
      </c>
      <c r="B23" s="80"/>
      <c r="C23" s="81"/>
      <c r="D23" s="82"/>
      <c r="E23" s="83">
        <f t="shared" si="0"/>
        <v>0</v>
      </c>
      <c r="F23" s="81"/>
      <c r="G23" s="82"/>
      <c r="H23" s="83">
        <f t="shared" si="1"/>
        <v>0</v>
      </c>
      <c r="I23" s="81"/>
      <c r="J23" s="82"/>
      <c r="K23" s="83">
        <f t="shared" si="2"/>
        <v>0</v>
      </c>
      <c r="L23" s="84"/>
      <c r="M23" s="82"/>
      <c r="N23" s="83">
        <f t="shared" si="3"/>
        <v>0</v>
      </c>
      <c r="O23" s="84"/>
      <c r="P23" s="82"/>
      <c r="Q23" s="83">
        <f t="shared" si="4"/>
        <v>0</v>
      </c>
      <c r="R23" s="84"/>
      <c r="S23" s="82"/>
      <c r="T23" s="83">
        <f t="shared" si="5"/>
        <v>0</v>
      </c>
      <c r="U23" s="84"/>
      <c r="V23" s="82"/>
      <c r="W23" s="85">
        <f t="shared" si="6"/>
        <v>0</v>
      </c>
      <c r="X23" s="86">
        <f t="shared" si="7"/>
        <v>0</v>
      </c>
      <c r="Y23" s="87">
        <f t="shared" si="7"/>
        <v>0</v>
      </c>
      <c r="Z23" s="88">
        <f t="shared" si="7"/>
        <v>0</v>
      </c>
      <c r="AA23" s="89"/>
      <c r="AB23" s="82"/>
      <c r="AC23" s="83">
        <f t="shared" si="8"/>
        <v>0</v>
      </c>
      <c r="AD23" s="84"/>
      <c r="AE23" s="82"/>
      <c r="AF23" s="83">
        <f t="shared" si="9"/>
        <v>0</v>
      </c>
      <c r="AG23" s="84"/>
      <c r="AH23" s="82"/>
      <c r="AI23" s="83">
        <f t="shared" si="10"/>
        <v>0</v>
      </c>
      <c r="AJ23" s="84"/>
      <c r="AK23" s="82"/>
      <c r="AL23" s="83">
        <f t="shared" si="11"/>
        <v>0</v>
      </c>
      <c r="AM23" s="84"/>
      <c r="AN23" s="82"/>
      <c r="AO23" s="83">
        <f t="shared" si="12"/>
        <v>0</v>
      </c>
      <c r="AP23" s="84"/>
      <c r="AQ23" s="82"/>
      <c r="AR23" s="83">
        <f t="shared" si="13"/>
        <v>0</v>
      </c>
      <c r="AS23" s="84"/>
      <c r="AT23" s="82"/>
      <c r="AU23" s="83">
        <f t="shared" si="14"/>
        <v>0</v>
      </c>
      <c r="AV23" s="86">
        <f t="shared" si="15"/>
        <v>0</v>
      </c>
      <c r="AW23" s="87">
        <f t="shared" si="15"/>
        <v>0</v>
      </c>
      <c r="AX23" s="90">
        <f t="shared" si="15"/>
        <v>0</v>
      </c>
      <c r="AY23" s="84"/>
      <c r="AZ23" s="82"/>
      <c r="BA23" s="83">
        <f t="shared" si="16"/>
        <v>0</v>
      </c>
      <c r="BB23" s="84"/>
      <c r="BC23" s="82"/>
      <c r="BD23" s="83">
        <f t="shared" si="17"/>
        <v>0</v>
      </c>
      <c r="BE23" s="84"/>
      <c r="BF23" s="82"/>
      <c r="BG23" s="83">
        <f t="shared" si="18"/>
        <v>0</v>
      </c>
      <c r="BH23" s="84"/>
      <c r="BI23" s="82"/>
      <c r="BJ23" s="83">
        <f t="shared" si="19"/>
        <v>0</v>
      </c>
      <c r="BK23" s="84"/>
      <c r="BL23" s="82"/>
      <c r="BM23" s="83">
        <f t="shared" si="20"/>
        <v>0</v>
      </c>
      <c r="BN23" s="84"/>
      <c r="BO23" s="82"/>
      <c r="BP23" s="83">
        <f t="shared" si="21"/>
        <v>0</v>
      </c>
      <c r="BQ23" s="84"/>
      <c r="BR23" s="82"/>
      <c r="BS23" s="83">
        <f t="shared" si="22"/>
        <v>0</v>
      </c>
      <c r="BT23" s="86">
        <f t="shared" si="23"/>
        <v>0</v>
      </c>
      <c r="BU23" s="87">
        <f t="shared" si="23"/>
        <v>0</v>
      </c>
      <c r="BV23" s="90">
        <f t="shared" si="23"/>
        <v>0</v>
      </c>
      <c r="BW23" s="84"/>
      <c r="BX23" s="82"/>
      <c r="BY23" s="83">
        <f t="shared" si="24"/>
        <v>0</v>
      </c>
      <c r="BZ23" s="84"/>
      <c r="CA23" s="82"/>
      <c r="CB23" s="83">
        <f t="shared" si="25"/>
        <v>0</v>
      </c>
      <c r="CC23" s="84"/>
      <c r="CD23" s="82"/>
      <c r="CE23" s="83">
        <f t="shared" si="26"/>
        <v>0</v>
      </c>
      <c r="CF23" s="84"/>
      <c r="CG23" s="82"/>
      <c r="CH23" s="83">
        <f t="shared" si="27"/>
        <v>0</v>
      </c>
      <c r="CI23" s="84"/>
      <c r="CJ23" s="82"/>
      <c r="CK23" s="83">
        <f t="shared" si="28"/>
        <v>0</v>
      </c>
      <c r="CL23" s="84"/>
      <c r="CM23" s="82"/>
      <c r="CN23" s="83">
        <f t="shared" si="29"/>
        <v>0</v>
      </c>
      <c r="CO23" s="84"/>
      <c r="CP23" s="82"/>
      <c r="CQ23" s="83">
        <f t="shared" si="30"/>
        <v>0</v>
      </c>
      <c r="CR23" s="86">
        <f t="shared" si="31"/>
        <v>0</v>
      </c>
      <c r="CS23" s="87">
        <f t="shared" si="31"/>
        <v>0</v>
      </c>
      <c r="CT23" s="90">
        <f t="shared" si="31"/>
        <v>0</v>
      </c>
      <c r="CU23" s="84"/>
      <c r="CV23" s="82"/>
      <c r="CW23" s="83">
        <f t="shared" si="32"/>
        <v>0</v>
      </c>
      <c r="CX23" s="84"/>
      <c r="CY23" s="82"/>
      <c r="CZ23" s="83">
        <f t="shared" si="33"/>
        <v>0</v>
      </c>
      <c r="DA23" s="84"/>
      <c r="DB23" s="82"/>
      <c r="DC23" s="83">
        <f t="shared" si="34"/>
        <v>0</v>
      </c>
      <c r="DD23" s="84"/>
      <c r="DE23" s="82"/>
      <c r="DF23" s="83">
        <f t="shared" si="35"/>
        <v>0</v>
      </c>
      <c r="DG23" s="84"/>
      <c r="DH23" s="82"/>
      <c r="DI23" s="83">
        <f t="shared" si="36"/>
        <v>0</v>
      </c>
      <c r="DJ23" s="84"/>
      <c r="DK23" s="82"/>
      <c r="DL23" s="83">
        <f t="shared" si="37"/>
        <v>0</v>
      </c>
      <c r="DM23" s="84"/>
      <c r="DN23" s="82"/>
      <c r="DO23" s="83">
        <f t="shared" si="38"/>
        <v>0</v>
      </c>
      <c r="DP23" s="86">
        <f t="shared" si="39"/>
        <v>0</v>
      </c>
      <c r="DQ23" s="87">
        <f t="shared" si="39"/>
        <v>0</v>
      </c>
      <c r="DR23" s="90">
        <f t="shared" si="39"/>
        <v>0</v>
      </c>
      <c r="DS23" s="84"/>
      <c r="DT23" s="82"/>
      <c r="DU23" s="83">
        <f t="shared" si="40"/>
        <v>0</v>
      </c>
      <c r="DV23" s="91">
        <f t="shared" si="41"/>
        <v>0</v>
      </c>
      <c r="DW23" s="92">
        <f t="shared" si="42"/>
        <v>0</v>
      </c>
      <c r="DX23" s="88">
        <f t="shared" si="42"/>
        <v>0</v>
      </c>
    </row>
    <row r="24" spans="1:128" s="26" customFormat="1" ht="17.100000000000001" customHeight="1" thickBot="1" x14ac:dyDescent="0.25">
      <c r="A24" s="36" t="s">
        <v>34</v>
      </c>
      <c r="B24" s="37">
        <v>6250</v>
      </c>
      <c r="C24" s="38"/>
      <c r="D24" s="39"/>
      <c r="E24" s="3">
        <f t="shared" si="0"/>
        <v>0</v>
      </c>
      <c r="F24" s="38"/>
      <c r="G24" s="39"/>
      <c r="H24" s="3">
        <f t="shared" si="1"/>
        <v>0</v>
      </c>
      <c r="I24" s="38"/>
      <c r="J24" s="39"/>
      <c r="K24" s="3">
        <f t="shared" si="2"/>
        <v>0</v>
      </c>
      <c r="L24" s="40"/>
      <c r="M24" s="39"/>
      <c r="N24" s="3">
        <f t="shared" si="3"/>
        <v>0</v>
      </c>
      <c r="O24" s="40"/>
      <c r="P24" s="39"/>
      <c r="Q24" s="3">
        <f t="shared" si="4"/>
        <v>0</v>
      </c>
      <c r="R24" s="40"/>
      <c r="S24" s="39"/>
      <c r="T24" s="3">
        <f t="shared" si="5"/>
        <v>0</v>
      </c>
      <c r="U24" s="41"/>
      <c r="V24" s="39"/>
      <c r="W24" s="65">
        <f t="shared" si="6"/>
        <v>0</v>
      </c>
      <c r="X24" s="71">
        <f t="shared" si="7"/>
        <v>0</v>
      </c>
      <c r="Y24" s="68">
        <f t="shared" si="7"/>
        <v>0</v>
      </c>
      <c r="Z24" s="74">
        <f t="shared" si="7"/>
        <v>0</v>
      </c>
      <c r="AA24" s="42"/>
      <c r="AB24" s="39"/>
      <c r="AC24" s="3">
        <f t="shared" si="8"/>
        <v>0</v>
      </c>
      <c r="AD24" s="110">
        <v>25000</v>
      </c>
      <c r="AE24" s="39"/>
      <c r="AF24" s="3">
        <f t="shared" si="9"/>
        <v>0</v>
      </c>
      <c r="AG24" s="41"/>
      <c r="AH24" s="39"/>
      <c r="AI24" s="3">
        <f t="shared" si="10"/>
        <v>0</v>
      </c>
      <c r="AJ24" s="110">
        <v>25000</v>
      </c>
      <c r="AK24" s="39"/>
      <c r="AL24" s="3">
        <f t="shared" si="11"/>
        <v>0</v>
      </c>
      <c r="AM24" s="41"/>
      <c r="AN24" s="39"/>
      <c r="AO24" s="3">
        <f t="shared" si="12"/>
        <v>0</v>
      </c>
      <c r="AP24" s="110">
        <v>25000</v>
      </c>
      <c r="AQ24" s="39"/>
      <c r="AR24" s="3">
        <f t="shared" si="13"/>
        <v>0</v>
      </c>
      <c r="AS24" s="41"/>
      <c r="AT24" s="39"/>
      <c r="AU24" s="3">
        <f t="shared" si="14"/>
        <v>0</v>
      </c>
      <c r="AV24" s="71">
        <f t="shared" si="15"/>
        <v>75000</v>
      </c>
      <c r="AW24" s="68">
        <f t="shared" si="15"/>
        <v>0</v>
      </c>
      <c r="AX24" s="55">
        <f t="shared" si="15"/>
        <v>0</v>
      </c>
      <c r="AY24" s="41"/>
      <c r="AZ24" s="39"/>
      <c r="BA24" s="3">
        <f t="shared" si="16"/>
        <v>0</v>
      </c>
      <c r="BB24" s="110">
        <v>25000</v>
      </c>
      <c r="BC24" s="39"/>
      <c r="BD24" s="3">
        <f t="shared" si="17"/>
        <v>0</v>
      </c>
      <c r="BE24" s="41"/>
      <c r="BF24" s="39"/>
      <c r="BG24" s="3">
        <f t="shared" si="18"/>
        <v>0</v>
      </c>
      <c r="BH24" s="110">
        <v>25000</v>
      </c>
      <c r="BI24" s="39"/>
      <c r="BJ24" s="3">
        <f t="shared" si="19"/>
        <v>0</v>
      </c>
      <c r="BK24" s="110">
        <v>25000</v>
      </c>
      <c r="BL24" s="39"/>
      <c r="BM24" s="3">
        <f t="shared" si="20"/>
        <v>0</v>
      </c>
      <c r="BN24" s="110">
        <v>25000</v>
      </c>
      <c r="BO24" s="39"/>
      <c r="BP24" s="3">
        <f t="shared" si="21"/>
        <v>0</v>
      </c>
      <c r="BQ24" s="41"/>
      <c r="BR24" s="39"/>
      <c r="BS24" s="3">
        <f t="shared" si="22"/>
        <v>0</v>
      </c>
      <c r="BT24" s="71">
        <f t="shared" si="23"/>
        <v>100000</v>
      </c>
      <c r="BU24" s="68">
        <f t="shared" si="23"/>
        <v>0</v>
      </c>
      <c r="BV24" s="55">
        <f t="shared" si="23"/>
        <v>0</v>
      </c>
      <c r="BW24" s="41"/>
      <c r="BX24" s="39"/>
      <c r="BY24" s="3">
        <f t="shared" si="24"/>
        <v>0</v>
      </c>
      <c r="BZ24" s="110">
        <v>25000</v>
      </c>
      <c r="CA24" s="39"/>
      <c r="CB24" s="3">
        <f t="shared" si="25"/>
        <v>0</v>
      </c>
      <c r="CC24" s="41"/>
      <c r="CD24" s="39"/>
      <c r="CE24" s="3">
        <f t="shared" si="26"/>
        <v>0</v>
      </c>
      <c r="CF24" s="110">
        <v>25000</v>
      </c>
      <c r="CG24" s="39"/>
      <c r="CH24" s="3">
        <f t="shared" si="27"/>
        <v>0</v>
      </c>
      <c r="CI24" s="41"/>
      <c r="CJ24" s="39"/>
      <c r="CK24" s="3">
        <f t="shared" si="28"/>
        <v>0</v>
      </c>
      <c r="CL24" s="110">
        <v>25000</v>
      </c>
      <c r="CM24" s="39"/>
      <c r="CN24" s="3">
        <f t="shared" si="29"/>
        <v>0</v>
      </c>
      <c r="CO24" s="41"/>
      <c r="CP24" s="39"/>
      <c r="CQ24" s="3">
        <f t="shared" si="30"/>
        <v>0</v>
      </c>
      <c r="CR24" s="71">
        <f t="shared" si="31"/>
        <v>75000</v>
      </c>
      <c r="CS24" s="68">
        <f t="shared" si="31"/>
        <v>0</v>
      </c>
      <c r="CT24" s="51">
        <f t="shared" si="31"/>
        <v>0</v>
      </c>
      <c r="CU24" s="41"/>
      <c r="CV24" s="39"/>
      <c r="CW24" s="3">
        <f t="shared" si="32"/>
        <v>0</v>
      </c>
      <c r="CX24" s="110">
        <v>25000</v>
      </c>
      <c r="CY24" s="39"/>
      <c r="CZ24" s="3">
        <f t="shared" si="33"/>
        <v>0</v>
      </c>
      <c r="DA24" s="41"/>
      <c r="DB24" s="39"/>
      <c r="DC24" s="3">
        <f t="shared" si="34"/>
        <v>0</v>
      </c>
      <c r="DD24" s="110">
        <v>25000</v>
      </c>
      <c r="DE24" s="39"/>
      <c r="DF24" s="3">
        <f t="shared" si="35"/>
        <v>0</v>
      </c>
      <c r="DG24" s="41"/>
      <c r="DH24" s="39"/>
      <c r="DI24" s="3">
        <f t="shared" si="36"/>
        <v>0</v>
      </c>
      <c r="DJ24" s="110">
        <v>25000</v>
      </c>
      <c r="DK24" s="39"/>
      <c r="DL24" s="3">
        <f t="shared" si="37"/>
        <v>0</v>
      </c>
      <c r="DM24" s="41"/>
      <c r="DN24" s="39"/>
      <c r="DO24" s="3">
        <f t="shared" si="38"/>
        <v>0</v>
      </c>
      <c r="DP24" s="71">
        <f t="shared" si="39"/>
        <v>75000</v>
      </c>
      <c r="DQ24" s="68">
        <f t="shared" si="39"/>
        <v>0</v>
      </c>
      <c r="DR24" s="55">
        <f t="shared" si="39"/>
        <v>0</v>
      </c>
      <c r="DS24" s="41"/>
      <c r="DT24" s="39"/>
      <c r="DU24" s="3">
        <f t="shared" si="40"/>
        <v>0</v>
      </c>
      <c r="DV24" s="56">
        <f t="shared" si="41"/>
        <v>225000</v>
      </c>
      <c r="DW24" s="57">
        <f t="shared" si="42"/>
        <v>0</v>
      </c>
      <c r="DX24" s="58">
        <f t="shared" si="42"/>
        <v>0</v>
      </c>
    </row>
    <row r="25" spans="1:128" ht="17.100000000000001" customHeight="1" thickBot="1" x14ac:dyDescent="0.3">
      <c r="X25" s="59">
        <f>SUM(X4:X24)</f>
        <v>0</v>
      </c>
      <c r="Z25" s="75">
        <f>SUM(Z4:Z24)</f>
        <v>98000</v>
      </c>
      <c r="AV25" s="59">
        <f>SUM(AV4:AV24)</f>
        <v>110000</v>
      </c>
      <c r="AX25" s="59">
        <f>SUM(AX4:AX24)</f>
        <v>1074500</v>
      </c>
      <c r="BT25" s="59">
        <f>SUM(BT4:BT24)</f>
        <v>194000</v>
      </c>
      <c r="BV25" s="59">
        <f>SUM(BV4:BV24)</f>
        <v>1266500</v>
      </c>
      <c r="CR25" s="59">
        <f>SUM(CR4:CR24)</f>
        <v>190000</v>
      </c>
      <c r="CT25" s="59">
        <f>SUM(CT4:CT24)</f>
        <v>1176500</v>
      </c>
      <c r="DP25" s="59">
        <f>SUM(DP4:DP24)</f>
        <v>175000</v>
      </c>
      <c r="DR25" s="59">
        <f>SUM(DR4:DR24)</f>
        <v>1724000</v>
      </c>
      <c r="DS25" s="60">
        <f>SUM(DV4:DV24)</f>
        <v>569000</v>
      </c>
      <c r="DT25" s="61">
        <f>SUM(DW4:DW24)</f>
        <v>753.5</v>
      </c>
      <c r="DU25" s="62">
        <f>SUM(DX4:DX24)</f>
        <v>5231000</v>
      </c>
    </row>
    <row r="26" spans="1:128" ht="17.100000000000001" customHeight="1" x14ac:dyDescent="0.25">
      <c r="DS26" s="44"/>
      <c r="DT26" s="46"/>
      <c r="DU26" s="44"/>
    </row>
    <row r="27" spans="1:128" ht="17.100000000000001" customHeight="1" x14ac:dyDescent="0.25"/>
    <row r="28" spans="1:128" ht="17.100000000000001" customHeight="1" x14ac:dyDescent="0.25"/>
    <row r="29" spans="1:128" ht="17.100000000000001" customHeight="1" x14ac:dyDescent="0.25"/>
    <row r="30" spans="1:128" ht="17.100000000000001" customHeight="1" x14ac:dyDescent="0.25"/>
    <row r="31" spans="1:128" ht="17.100000000000001" customHeight="1" x14ac:dyDescent="0.25"/>
    <row r="32" spans="1:128" ht="17.100000000000001" customHeight="1" x14ac:dyDescent="0.25"/>
  </sheetData>
  <sheetProtection formatCells="0" formatColumns="0" formatRows="0" insertColumns="0" insertRows="0" insertHyperlinks="0" deleteColumns="0" deleteRows="0" sort="0" autoFilter="0" pivotTables="0"/>
  <mergeCells count="84">
    <mergeCell ref="AJ1:AL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BT1:BV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DD1:DF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C2:E2"/>
    <mergeCell ref="F2:H2"/>
    <mergeCell ref="I2:K2"/>
    <mergeCell ref="L2:N2"/>
    <mergeCell ref="O2:Q2"/>
    <mergeCell ref="DG1:DI1"/>
    <mergeCell ref="DJ1:DL1"/>
    <mergeCell ref="DM1:DO1"/>
    <mergeCell ref="DP1:DR1"/>
    <mergeCell ref="DV1:DX1"/>
    <mergeCell ref="DS1:DU1"/>
    <mergeCell ref="AY2:BA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CI2:CK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DV2:DX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  <mergeCell ref="DS2:DU2"/>
  </mergeCells>
  <printOptions horizontalCentered="1"/>
  <pageMargins left="0.19685039370078741" right="0.19685039370078741" top="0.19685039370078741" bottom="0.19685039370078741" header="0" footer="0"/>
  <pageSetup paperSize="9" scale="74" fitToHeight="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C8AD-9CA3-44DB-9CE5-2F32221489D0}">
  <sheetPr>
    <pageSetUpPr fitToPage="1"/>
  </sheetPr>
  <dimension ref="A1:DU33"/>
  <sheetViews>
    <sheetView zoomScaleNormal="100" workbookViewId="0">
      <pane xSplit="1" topLeftCell="B1" activePane="topRight" state="frozen"/>
      <selection pane="topRight" activeCell="A14" sqref="A14:XFD14"/>
    </sheetView>
  </sheetViews>
  <sheetFormatPr baseColWidth="10" defaultRowHeight="15" x14ac:dyDescent="0.25"/>
  <cols>
    <col min="1" max="1" width="30.7109375" style="5" bestFit="1" customWidth="1"/>
    <col min="2" max="2" width="8" style="43" bestFit="1" customWidth="1"/>
    <col min="3" max="3" width="8.7109375" style="5" hidden="1" customWidth="1"/>
    <col min="4" max="4" width="2.7109375" style="5" hidden="1" customWidth="1"/>
    <col min="5" max="5" width="8.7109375" style="5" hidden="1" customWidth="1"/>
    <col min="6" max="6" width="8.7109375" style="5" customWidth="1"/>
    <col min="7" max="7" width="4" style="5" customWidth="1"/>
    <col min="8" max="9" width="8.7109375" style="5" customWidth="1"/>
    <col min="10" max="10" width="4.42578125" style="5" customWidth="1"/>
    <col min="11" max="12" width="8.7109375" style="5" customWidth="1"/>
    <col min="13" max="13" width="3.5703125" style="5" customWidth="1"/>
    <col min="14" max="15" width="8.7109375" style="5" customWidth="1"/>
    <col min="16" max="16" width="3.85546875" style="5" customWidth="1"/>
    <col min="17" max="18" width="8.7109375" style="5" customWidth="1"/>
    <col min="19" max="19" width="2.7109375" style="5" customWidth="1"/>
    <col min="20" max="21" width="8.7109375" style="5" customWidth="1"/>
    <col min="22" max="22" width="4.140625" style="5" customWidth="1"/>
    <col min="23" max="23" width="8.7109375" style="5" customWidth="1"/>
    <col min="24" max="24" width="11" style="5" customWidth="1"/>
    <col min="25" max="25" width="4.42578125" style="5" customWidth="1"/>
    <col min="26" max="26" width="12.85546875" style="45" customWidth="1"/>
    <col min="27" max="27" width="8.7109375" style="5" customWidth="1"/>
    <col min="28" max="28" width="2.7109375" style="5" customWidth="1"/>
    <col min="29" max="30" width="8.7109375" style="5" customWidth="1"/>
    <col min="31" max="31" width="2.7109375" style="5" customWidth="1"/>
    <col min="32" max="33" width="8.7109375" style="5" customWidth="1"/>
    <col min="34" max="34" width="2.7109375" style="5" customWidth="1"/>
    <col min="35" max="36" width="8.7109375" style="5" customWidth="1"/>
    <col min="37" max="37" width="2.7109375" style="5" customWidth="1"/>
    <col min="38" max="39" width="8.7109375" style="5" customWidth="1"/>
    <col min="40" max="40" width="2.7109375" style="5" customWidth="1"/>
    <col min="41" max="42" width="8.7109375" style="5" customWidth="1"/>
    <col min="43" max="43" width="2.7109375" style="5" customWidth="1"/>
    <col min="44" max="45" width="8.7109375" style="5" customWidth="1"/>
    <col min="46" max="46" width="2.7109375" style="5" customWidth="1"/>
    <col min="47" max="47" width="8.7109375" style="5" customWidth="1"/>
    <col min="48" max="48" width="9.42578125" style="5" bestFit="1" customWidth="1"/>
    <col min="49" max="49" width="2.7109375" style="5" customWidth="1"/>
    <col min="50" max="50" width="10.42578125" style="5" bestFit="1" customWidth="1"/>
    <col min="51" max="51" width="8.7109375" style="5" customWidth="1"/>
    <col min="52" max="52" width="2.7109375" style="5" customWidth="1"/>
    <col min="53" max="54" width="8.7109375" style="5" customWidth="1"/>
    <col min="55" max="55" width="2.7109375" style="5" customWidth="1"/>
    <col min="56" max="57" width="8.7109375" style="5" customWidth="1"/>
    <col min="58" max="58" width="2.7109375" style="5" customWidth="1"/>
    <col min="59" max="60" width="8.7109375" style="5" customWidth="1"/>
    <col min="61" max="61" width="2.7109375" style="5" customWidth="1"/>
    <col min="62" max="63" width="8.7109375" style="5" customWidth="1"/>
    <col min="64" max="64" width="2.7109375" style="5" customWidth="1"/>
    <col min="65" max="66" width="8.7109375" style="5" customWidth="1"/>
    <col min="67" max="67" width="2.7109375" style="5" customWidth="1"/>
    <col min="68" max="69" width="8.7109375" style="5" customWidth="1"/>
    <col min="70" max="70" width="2.7109375" style="5" customWidth="1"/>
    <col min="71" max="71" width="8.7109375" style="5" customWidth="1"/>
    <col min="72" max="72" width="10.42578125" style="5" bestFit="1" customWidth="1"/>
    <col min="73" max="73" width="2.7109375" style="5" customWidth="1"/>
    <col min="74" max="74" width="10.42578125" style="5" bestFit="1" customWidth="1"/>
    <col min="75" max="75" width="8.7109375" style="5" customWidth="1"/>
    <col min="76" max="76" width="2.7109375" style="5" customWidth="1"/>
    <col min="77" max="78" width="8.7109375" style="5" customWidth="1"/>
    <col min="79" max="79" width="2.7109375" style="5" customWidth="1"/>
    <col min="80" max="81" width="8.7109375" style="5" customWidth="1"/>
    <col min="82" max="82" width="2.7109375" style="5" customWidth="1"/>
    <col min="83" max="84" width="8.7109375" style="5" customWidth="1"/>
    <col min="85" max="85" width="2.7109375" style="5" customWidth="1"/>
    <col min="86" max="87" width="8.7109375" style="5" customWidth="1"/>
    <col min="88" max="88" width="2.7109375" style="5" customWidth="1"/>
    <col min="89" max="90" width="8.7109375" style="5" customWidth="1"/>
    <col min="91" max="91" width="2.7109375" style="5" customWidth="1"/>
    <col min="92" max="93" width="8.7109375" style="5" customWidth="1"/>
    <col min="94" max="94" width="2.7109375" style="5" customWidth="1"/>
    <col min="95" max="95" width="8.7109375" style="5" customWidth="1"/>
    <col min="96" max="96" width="10.42578125" style="5" bestFit="1" customWidth="1"/>
    <col min="97" max="97" width="2.7109375" style="5" customWidth="1"/>
    <col min="98" max="98" width="10.42578125" style="5" bestFit="1" customWidth="1"/>
    <col min="99" max="99" width="8.7109375" style="5" customWidth="1"/>
    <col min="100" max="100" width="2.7109375" style="5" customWidth="1"/>
    <col min="101" max="102" width="8.7109375" style="5" customWidth="1"/>
    <col min="103" max="103" width="2.7109375" style="5" customWidth="1"/>
    <col min="104" max="105" width="8.7109375" style="5" customWidth="1"/>
    <col min="106" max="106" width="2.7109375" style="5" customWidth="1"/>
    <col min="107" max="108" width="8.7109375" style="5" customWidth="1"/>
    <col min="109" max="109" width="2.7109375" style="5" customWidth="1"/>
    <col min="110" max="110" width="8.7109375" style="5" customWidth="1"/>
    <col min="111" max="111" width="8.7109375" style="5" hidden="1" customWidth="1"/>
    <col min="112" max="112" width="2.7109375" style="5" hidden="1" customWidth="1"/>
    <col min="113" max="114" width="8.7109375" style="5" hidden="1" customWidth="1"/>
    <col min="115" max="115" width="2.7109375" style="5" hidden="1" customWidth="1"/>
    <col min="116" max="117" width="8.7109375" style="5" hidden="1" customWidth="1"/>
    <col min="118" max="118" width="2.7109375" style="5" hidden="1" customWidth="1"/>
    <col min="119" max="119" width="8.7109375" style="5" hidden="1" customWidth="1"/>
    <col min="120" max="120" width="10.42578125" style="5" bestFit="1" customWidth="1"/>
    <col min="121" max="121" width="2.7109375" style="5" customWidth="1"/>
    <col min="122" max="122" width="10.42578125" style="5" bestFit="1" customWidth="1"/>
    <col min="123" max="123" width="11.5703125" style="5" bestFit="1" customWidth="1"/>
    <col min="124" max="124" width="5.42578125" style="5" bestFit="1" customWidth="1"/>
    <col min="125" max="125" width="13.28515625" style="5" bestFit="1" customWidth="1"/>
    <col min="126" max="16384" width="11.42578125" style="5"/>
  </cols>
  <sheetData>
    <row r="1" spans="1:125" ht="26.25" x14ac:dyDescent="0.4">
      <c r="A1" s="4" t="s">
        <v>47</v>
      </c>
      <c r="B1" s="76" t="s">
        <v>0</v>
      </c>
      <c r="C1" s="232">
        <v>1</v>
      </c>
      <c r="D1" s="233"/>
      <c r="E1" s="233"/>
      <c r="F1" s="232">
        <v>1</v>
      </c>
      <c r="G1" s="233"/>
      <c r="H1" s="233"/>
      <c r="I1" s="232">
        <v>2</v>
      </c>
      <c r="J1" s="233"/>
      <c r="K1" s="233"/>
      <c r="L1" s="233">
        <v>3</v>
      </c>
      <c r="M1" s="233"/>
      <c r="N1" s="233"/>
      <c r="O1" s="233">
        <v>4</v>
      </c>
      <c r="P1" s="233"/>
      <c r="Q1" s="233"/>
      <c r="R1" s="233">
        <v>5</v>
      </c>
      <c r="S1" s="233"/>
      <c r="T1" s="233"/>
      <c r="U1" s="233">
        <v>6</v>
      </c>
      <c r="V1" s="233"/>
      <c r="W1" s="300"/>
      <c r="X1" s="216" t="s">
        <v>1</v>
      </c>
      <c r="Y1" s="217"/>
      <c r="Z1" s="218"/>
      <c r="AA1" s="234">
        <v>7</v>
      </c>
      <c r="AB1" s="227"/>
      <c r="AC1" s="227"/>
      <c r="AD1" s="227">
        <v>8</v>
      </c>
      <c r="AE1" s="227"/>
      <c r="AF1" s="227"/>
      <c r="AG1" s="227">
        <v>9</v>
      </c>
      <c r="AH1" s="227"/>
      <c r="AI1" s="227"/>
      <c r="AJ1" s="227">
        <v>10</v>
      </c>
      <c r="AK1" s="227"/>
      <c r="AL1" s="227"/>
      <c r="AM1" s="227">
        <v>11</v>
      </c>
      <c r="AN1" s="227"/>
      <c r="AO1" s="227"/>
      <c r="AP1" s="227">
        <v>12</v>
      </c>
      <c r="AQ1" s="227"/>
      <c r="AR1" s="227"/>
      <c r="AS1" s="227">
        <v>13</v>
      </c>
      <c r="AT1" s="227"/>
      <c r="AU1" s="228"/>
      <c r="AV1" s="216" t="s">
        <v>1</v>
      </c>
      <c r="AW1" s="217"/>
      <c r="AX1" s="218"/>
      <c r="AY1" s="229">
        <v>14</v>
      </c>
      <c r="AZ1" s="230"/>
      <c r="BA1" s="230"/>
      <c r="BB1" s="230">
        <v>15</v>
      </c>
      <c r="BC1" s="230"/>
      <c r="BD1" s="230"/>
      <c r="BE1" s="230">
        <v>16</v>
      </c>
      <c r="BF1" s="230"/>
      <c r="BG1" s="230"/>
      <c r="BH1" s="230">
        <v>17</v>
      </c>
      <c r="BI1" s="230"/>
      <c r="BJ1" s="230"/>
      <c r="BK1" s="230">
        <v>18</v>
      </c>
      <c r="BL1" s="230"/>
      <c r="BM1" s="230"/>
      <c r="BN1" s="230">
        <v>19</v>
      </c>
      <c r="BO1" s="230"/>
      <c r="BP1" s="230"/>
      <c r="BQ1" s="230">
        <v>20</v>
      </c>
      <c r="BR1" s="230"/>
      <c r="BS1" s="231"/>
      <c r="BT1" s="216" t="s">
        <v>1</v>
      </c>
      <c r="BU1" s="217"/>
      <c r="BV1" s="218"/>
      <c r="BW1" s="223">
        <v>21</v>
      </c>
      <c r="BX1" s="224"/>
      <c r="BY1" s="224"/>
      <c r="BZ1" s="224">
        <v>22</v>
      </c>
      <c r="CA1" s="224"/>
      <c r="CB1" s="224"/>
      <c r="CC1" s="224">
        <v>23</v>
      </c>
      <c r="CD1" s="224"/>
      <c r="CE1" s="224"/>
      <c r="CF1" s="224">
        <v>24</v>
      </c>
      <c r="CG1" s="224"/>
      <c r="CH1" s="224"/>
      <c r="CI1" s="224">
        <v>25</v>
      </c>
      <c r="CJ1" s="224"/>
      <c r="CK1" s="224"/>
      <c r="CL1" s="224">
        <v>26</v>
      </c>
      <c r="CM1" s="224"/>
      <c r="CN1" s="224"/>
      <c r="CO1" s="224">
        <v>27</v>
      </c>
      <c r="CP1" s="224"/>
      <c r="CQ1" s="225"/>
      <c r="CR1" s="216" t="s">
        <v>1</v>
      </c>
      <c r="CS1" s="217"/>
      <c r="CT1" s="218"/>
      <c r="CU1" s="234">
        <v>28</v>
      </c>
      <c r="CV1" s="227"/>
      <c r="CW1" s="227"/>
      <c r="CX1" s="227">
        <v>29</v>
      </c>
      <c r="CY1" s="227"/>
      <c r="CZ1" s="227"/>
      <c r="DA1" s="227">
        <v>30</v>
      </c>
      <c r="DB1" s="227"/>
      <c r="DC1" s="227"/>
      <c r="DD1" s="227">
        <v>31</v>
      </c>
      <c r="DE1" s="227"/>
      <c r="DF1" s="227"/>
      <c r="DG1" s="303">
        <v>2</v>
      </c>
      <c r="DH1" s="303"/>
      <c r="DI1" s="303"/>
      <c r="DJ1" s="303">
        <v>3</v>
      </c>
      <c r="DK1" s="303"/>
      <c r="DL1" s="303"/>
      <c r="DM1" s="303">
        <v>4</v>
      </c>
      <c r="DN1" s="303"/>
      <c r="DO1" s="304"/>
      <c r="DP1" s="216" t="s">
        <v>1</v>
      </c>
      <c r="DQ1" s="217"/>
      <c r="DR1" s="218"/>
      <c r="DS1" s="219" t="s">
        <v>1</v>
      </c>
      <c r="DT1" s="220"/>
      <c r="DU1" s="221"/>
    </row>
    <row r="2" spans="1:125" ht="19.5" thickBot="1" x14ac:dyDescent="0.3">
      <c r="A2" s="6" t="s">
        <v>2</v>
      </c>
      <c r="B2" s="77" t="s">
        <v>3</v>
      </c>
      <c r="C2" s="222" t="s">
        <v>10</v>
      </c>
      <c r="D2" s="207"/>
      <c r="E2" s="207"/>
      <c r="F2" s="222" t="s">
        <v>11</v>
      </c>
      <c r="G2" s="207"/>
      <c r="H2" s="207"/>
      <c r="I2" s="222" t="s">
        <v>4</v>
      </c>
      <c r="J2" s="207"/>
      <c r="K2" s="207"/>
      <c r="L2" s="207" t="s">
        <v>5</v>
      </c>
      <c r="M2" s="207"/>
      <c r="N2" s="207"/>
      <c r="O2" s="207" t="s">
        <v>6</v>
      </c>
      <c r="P2" s="207"/>
      <c r="Q2" s="207"/>
      <c r="R2" s="207" t="s">
        <v>7</v>
      </c>
      <c r="S2" s="207"/>
      <c r="T2" s="207"/>
      <c r="U2" s="207" t="s">
        <v>8</v>
      </c>
      <c r="V2" s="207"/>
      <c r="W2" s="299"/>
      <c r="X2" s="197" t="s">
        <v>9</v>
      </c>
      <c r="Y2" s="198"/>
      <c r="Z2" s="199"/>
      <c r="AA2" s="211" t="s">
        <v>10</v>
      </c>
      <c r="AB2" s="212"/>
      <c r="AC2" s="212"/>
      <c r="AD2" s="212" t="s">
        <v>11</v>
      </c>
      <c r="AE2" s="212"/>
      <c r="AF2" s="212"/>
      <c r="AG2" s="212" t="s">
        <v>4</v>
      </c>
      <c r="AH2" s="212"/>
      <c r="AI2" s="212"/>
      <c r="AJ2" s="212" t="s">
        <v>5</v>
      </c>
      <c r="AK2" s="212"/>
      <c r="AL2" s="212"/>
      <c r="AM2" s="212" t="s">
        <v>6</v>
      </c>
      <c r="AN2" s="212"/>
      <c r="AO2" s="212"/>
      <c r="AP2" s="212" t="s">
        <v>7</v>
      </c>
      <c r="AQ2" s="212"/>
      <c r="AR2" s="212"/>
      <c r="AS2" s="212" t="s">
        <v>8</v>
      </c>
      <c r="AT2" s="212"/>
      <c r="AU2" s="213"/>
      <c r="AV2" s="197" t="s">
        <v>12</v>
      </c>
      <c r="AW2" s="198"/>
      <c r="AX2" s="199"/>
      <c r="AY2" s="206" t="s">
        <v>10</v>
      </c>
      <c r="AZ2" s="203"/>
      <c r="BA2" s="203"/>
      <c r="BB2" s="203" t="s">
        <v>11</v>
      </c>
      <c r="BC2" s="203"/>
      <c r="BD2" s="203"/>
      <c r="BE2" s="203" t="s">
        <v>4</v>
      </c>
      <c r="BF2" s="203"/>
      <c r="BG2" s="203"/>
      <c r="BH2" s="203" t="s">
        <v>5</v>
      </c>
      <c r="BI2" s="203"/>
      <c r="BJ2" s="203"/>
      <c r="BK2" s="203" t="s">
        <v>6</v>
      </c>
      <c r="BL2" s="203"/>
      <c r="BM2" s="203"/>
      <c r="BN2" s="203" t="s">
        <v>7</v>
      </c>
      <c r="BO2" s="203"/>
      <c r="BP2" s="203"/>
      <c r="BQ2" s="203" t="s">
        <v>8</v>
      </c>
      <c r="BR2" s="203"/>
      <c r="BS2" s="204"/>
      <c r="BT2" s="197" t="s">
        <v>13</v>
      </c>
      <c r="BU2" s="198"/>
      <c r="BV2" s="199"/>
      <c r="BW2" s="205" t="s">
        <v>10</v>
      </c>
      <c r="BX2" s="195"/>
      <c r="BY2" s="195"/>
      <c r="BZ2" s="195" t="s">
        <v>11</v>
      </c>
      <c r="CA2" s="195"/>
      <c r="CB2" s="195"/>
      <c r="CC2" s="195" t="s">
        <v>4</v>
      </c>
      <c r="CD2" s="195"/>
      <c r="CE2" s="195"/>
      <c r="CF2" s="195" t="s">
        <v>5</v>
      </c>
      <c r="CG2" s="195"/>
      <c r="CH2" s="195"/>
      <c r="CI2" s="195" t="s">
        <v>6</v>
      </c>
      <c r="CJ2" s="195"/>
      <c r="CK2" s="195"/>
      <c r="CL2" s="195" t="s">
        <v>7</v>
      </c>
      <c r="CM2" s="195"/>
      <c r="CN2" s="195"/>
      <c r="CO2" s="195" t="s">
        <v>8</v>
      </c>
      <c r="CP2" s="195"/>
      <c r="CQ2" s="196"/>
      <c r="CR2" s="197" t="s">
        <v>14</v>
      </c>
      <c r="CS2" s="198"/>
      <c r="CT2" s="199"/>
      <c r="CU2" s="211" t="s">
        <v>10</v>
      </c>
      <c r="CV2" s="212"/>
      <c r="CW2" s="212"/>
      <c r="CX2" s="212" t="s">
        <v>11</v>
      </c>
      <c r="CY2" s="212"/>
      <c r="CZ2" s="212"/>
      <c r="DA2" s="212" t="s">
        <v>4</v>
      </c>
      <c r="DB2" s="212"/>
      <c r="DC2" s="212"/>
      <c r="DD2" s="212" t="s">
        <v>5</v>
      </c>
      <c r="DE2" s="212"/>
      <c r="DF2" s="212"/>
      <c r="DG2" s="301" t="s">
        <v>6</v>
      </c>
      <c r="DH2" s="301"/>
      <c r="DI2" s="301"/>
      <c r="DJ2" s="301" t="s">
        <v>7</v>
      </c>
      <c r="DK2" s="301"/>
      <c r="DL2" s="301"/>
      <c r="DM2" s="301" t="s">
        <v>37</v>
      </c>
      <c r="DN2" s="301"/>
      <c r="DO2" s="302"/>
      <c r="DP2" s="197" t="s">
        <v>15</v>
      </c>
      <c r="DQ2" s="198"/>
      <c r="DR2" s="199"/>
      <c r="DS2" s="192" t="s">
        <v>16</v>
      </c>
      <c r="DT2" s="193"/>
      <c r="DU2" s="194"/>
    </row>
    <row r="3" spans="1:125" s="17" customFormat="1" ht="17.100000000000001" customHeight="1" thickBot="1" x14ac:dyDescent="0.2">
      <c r="A3" s="7" t="s">
        <v>17</v>
      </c>
      <c r="B3" s="78" t="s">
        <v>18</v>
      </c>
      <c r="C3" s="8" t="s">
        <v>19</v>
      </c>
      <c r="D3" s="9" t="s">
        <v>20</v>
      </c>
      <c r="E3" s="10" t="s">
        <v>21</v>
      </c>
      <c r="F3" s="8" t="s">
        <v>19</v>
      </c>
      <c r="G3" s="9" t="s">
        <v>20</v>
      </c>
      <c r="H3" s="10" t="s">
        <v>21</v>
      </c>
      <c r="I3" s="8" t="s">
        <v>19</v>
      </c>
      <c r="J3" s="9" t="s">
        <v>20</v>
      </c>
      <c r="K3" s="10" t="s">
        <v>21</v>
      </c>
      <c r="L3" s="11" t="s">
        <v>19</v>
      </c>
      <c r="M3" s="9" t="s">
        <v>20</v>
      </c>
      <c r="N3" s="10" t="s">
        <v>21</v>
      </c>
      <c r="O3" s="11" t="s">
        <v>19</v>
      </c>
      <c r="P3" s="9" t="s">
        <v>20</v>
      </c>
      <c r="Q3" s="10" t="s">
        <v>21</v>
      </c>
      <c r="R3" s="11" t="s">
        <v>19</v>
      </c>
      <c r="S3" s="9" t="s">
        <v>20</v>
      </c>
      <c r="T3" s="10" t="s">
        <v>21</v>
      </c>
      <c r="U3" s="11" t="s">
        <v>19</v>
      </c>
      <c r="V3" s="9" t="s">
        <v>20</v>
      </c>
      <c r="W3" s="12" t="s">
        <v>21</v>
      </c>
      <c r="X3" s="8" t="s">
        <v>19</v>
      </c>
      <c r="Y3" s="13" t="s">
        <v>20</v>
      </c>
      <c r="Z3" s="12" t="s">
        <v>21</v>
      </c>
      <c r="AA3" s="8" t="s">
        <v>19</v>
      </c>
      <c r="AB3" s="9" t="s">
        <v>20</v>
      </c>
      <c r="AC3" s="10" t="s">
        <v>21</v>
      </c>
      <c r="AD3" s="8" t="s">
        <v>19</v>
      </c>
      <c r="AE3" s="9" t="s">
        <v>20</v>
      </c>
      <c r="AF3" s="10" t="s">
        <v>21</v>
      </c>
      <c r="AG3" s="8" t="s">
        <v>19</v>
      </c>
      <c r="AH3" s="9" t="s">
        <v>20</v>
      </c>
      <c r="AI3" s="10" t="s">
        <v>21</v>
      </c>
      <c r="AJ3" s="11" t="s">
        <v>19</v>
      </c>
      <c r="AK3" s="9" t="s">
        <v>20</v>
      </c>
      <c r="AL3" s="10" t="s">
        <v>21</v>
      </c>
      <c r="AM3" s="11" t="s">
        <v>19</v>
      </c>
      <c r="AN3" s="9" t="s">
        <v>20</v>
      </c>
      <c r="AO3" s="10" t="s">
        <v>21</v>
      </c>
      <c r="AP3" s="11" t="s">
        <v>19</v>
      </c>
      <c r="AQ3" s="9" t="s">
        <v>20</v>
      </c>
      <c r="AR3" s="10" t="s">
        <v>21</v>
      </c>
      <c r="AS3" s="11" t="s">
        <v>19</v>
      </c>
      <c r="AT3" s="9" t="s">
        <v>20</v>
      </c>
      <c r="AU3" s="12" t="s">
        <v>21</v>
      </c>
      <c r="AV3" s="8" t="s">
        <v>19</v>
      </c>
      <c r="AW3" s="13" t="s">
        <v>20</v>
      </c>
      <c r="AX3" s="12" t="s">
        <v>21</v>
      </c>
      <c r="AY3" s="8" t="s">
        <v>19</v>
      </c>
      <c r="AZ3" s="9" t="s">
        <v>20</v>
      </c>
      <c r="BA3" s="10" t="s">
        <v>21</v>
      </c>
      <c r="BB3" s="11" t="s">
        <v>19</v>
      </c>
      <c r="BC3" s="9" t="s">
        <v>20</v>
      </c>
      <c r="BD3" s="10" t="s">
        <v>21</v>
      </c>
      <c r="BE3" s="11" t="s">
        <v>19</v>
      </c>
      <c r="BF3" s="9" t="s">
        <v>20</v>
      </c>
      <c r="BG3" s="10" t="s">
        <v>21</v>
      </c>
      <c r="BH3" s="11" t="s">
        <v>19</v>
      </c>
      <c r="BI3" s="9" t="s">
        <v>20</v>
      </c>
      <c r="BJ3" s="10" t="s">
        <v>21</v>
      </c>
      <c r="BK3" s="11" t="s">
        <v>19</v>
      </c>
      <c r="BL3" s="9" t="s">
        <v>20</v>
      </c>
      <c r="BM3" s="10" t="s">
        <v>21</v>
      </c>
      <c r="BN3" s="11" t="s">
        <v>19</v>
      </c>
      <c r="BO3" s="9" t="s">
        <v>20</v>
      </c>
      <c r="BP3" s="10" t="s">
        <v>21</v>
      </c>
      <c r="BQ3" s="11" t="s">
        <v>19</v>
      </c>
      <c r="BR3" s="9" t="s">
        <v>20</v>
      </c>
      <c r="BS3" s="12" t="s">
        <v>21</v>
      </c>
      <c r="BT3" s="8" t="s">
        <v>19</v>
      </c>
      <c r="BU3" s="13" t="s">
        <v>20</v>
      </c>
      <c r="BV3" s="12" t="s">
        <v>21</v>
      </c>
      <c r="BW3" s="8" t="s">
        <v>19</v>
      </c>
      <c r="BX3" s="9" t="s">
        <v>20</v>
      </c>
      <c r="BY3" s="10" t="s">
        <v>21</v>
      </c>
      <c r="BZ3" s="11" t="s">
        <v>19</v>
      </c>
      <c r="CA3" s="9" t="s">
        <v>20</v>
      </c>
      <c r="CB3" s="10" t="s">
        <v>21</v>
      </c>
      <c r="CC3" s="11" t="s">
        <v>19</v>
      </c>
      <c r="CD3" s="9" t="s">
        <v>20</v>
      </c>
      <c r="CE3" s="10" t="s">
        <v>21</v>
      </c>
      <c r="CF3" s="11" t="s">
        <v>19</v>
      </c>
      <c r="CG3" s="9" t="s">
        <v>20</v>
      </c>
      <c r="CH3" s="10" t="s">
        <v>21</v>
      </c>
      <c r="CI3" s="11" t="s">
        <v>19</v>
      </c>
      <c r="CJ3" s="9" t="s">
        <v>20</v>
      </c>
      <c r="CK3" s="10" t="s">
        <v>21</v>
      </c>
      <c r="CL3" s="11" t="s">
        <v>19</v>
      </c>
      <c r="CM3" s="9" t="s">
        <v>20</v>
      </c>
      <c r="CN3" s="10" t="s">
        <v>21</v>
      </c>
      <c r="CO3" s="11" t="s">
        <v>19</v>
      </c>
      <c r="CP3" s="9" t="s">
        <v>20</v>
      </c>
      <c r="CQ3" s="12" t="s">
        <v>21</v>
      </c>
      <c r="CR3" s="8" t="s">
        <v>19</v>
      </c>
      <c r="CS3" s="13" t="s">
        <v>20</v>
      </c>
      <c r="CT3" s="12" t="s">
        <v>21</v>
      </c>
      <c r="CU3" s="8" t="s">
        <v>19</v>
      </c>
      <c r="CV3" s="9" t="s">
        <v>20</v>
      </c>
      <c r="CW3" s="10" t="s">
        <v>21</v>
      </c>
      <c r="CX3" s="11" t="s">
        <v>19</v>
      </c>
      <c r="CY3" s="9" t="s">
        <v>20</v>
      </c>
      <c r="CZ3" s="10" t="s">
        <v>21</v>
      </c>
      <c r="DA3" s="11" t="s">
        <v>19</v>
      </c>
      <c r="DB3" s="9" t="s">
        <v>20</v>
      </c>
      <c r="DC3" s="10" t="s">
        <v>21</v>
      </c>
      <c r="DD3" s="11" t="s">
        <v>19</v>
      </c>
      <c r="DE3" s="9" t="s">
        <v>20</v>
      </c>
      <c r="DF3" s="10" t="s">
        <v>21</v>
      </c>
      <c r="DG3" s="11" t="s">
        <v>19</v>
      </c>
      <c r="DH3" s="9" t="s">
        <v>20</v>
      </c>
      <c r="DI3" s="12" t="s">
        <v>21</v>
      </c>
      <c r="DJ3" s="11" t="s">
        <v>19</v>
      </c>
      <c r="DK3" s="9" t="s">
        <v>20</v>
      </c>
      <c r="DL3" s="12" t="s">
        <v>21</v>
      </c>
      <c r="DM3" s="11" t="s">
        <v>19</v>
      </c>
      <c r="DN3" s="9" t="s">
        <v>20</v>
      </c>
      <c r="DO3" s="12" t="s">
        <v>21</v>
      </c>
      <c r="DP3" s="8" t="s">
        <v>19</v>
      </c>
      <c r="DQ3" s="13" t="s">
        <v>20</v>
      </c>
      <c r="DR3" s="12" t="s">
        <v>21</v>
      </c>
      <c r="DS3" s="14" t="s">
        <v>19</v>
      </c>
      <c r="DT3" s="15" t="s">
        <v>20</v>
      </c>
      <c r="DU3" s="16" t="s">
        <v>21</v>
      </c>
    </row>
    <row r="4" spans="1:125" s="26" customFormat="1" ht="17.100000000000001" customHeight="1" thickBot="1" x14ac:dyDescent="0.25">
      <c r="A4" s="18" t="s">
        <v>22</v>
      </c>
      <c r="B4" s="19">
        <v>7000</v>
      </c>
      <c r="C4" s="20"/>
      <c r="D4" s="21"/>
      <c r="E4" s="1">
        <f>$B4*D4</f>
        <v>0</v>
      </c>
      <c r="F4" s="20"/>
      <c r="G4" s="21">
        <v>2</v>
      </c>
      <c r="H4" s="1">
        <f>$B4*G4</f>
        <v>14000</v>
      </c>
      <c r="I4" s="20"/>
      <c r="J4" s="21">
        <v>2</v>
      </c>
      <c r="K4" s="1">
        <f>$B4*J4</f>
        <v>14000</v>
      </c>
      <c r="L4" s="22"/>
      <c r="M4" s="21">
        <v>2</v>
      </c>
      <c r="N4" s="1">
        <f>$B4*M4</f>
        <v>14000</v>
      </c>
      <c r="O4" s="22"/>
      <c r="P4" s="21">
        <v>2</v>
      </c>
      <c r="Q4" s="1">
        <f>$B4*P4</f>
        <v>14000</v>
      </c>
      <c r="R4" s="23"/>
      <c r="S4" s="21">
        <v>2</v>
      </c>
      <c r="T4" s="1">
        <f>$B4*S4</f>
        <v>14000</v>
      </c>
      <c r="U4" s="24"/>
      <c r="V4" s="21">
        <v>2</v>
      </c>
      <c r="W4" s="63">
        <f>$B4*V4</f>
        <v>14000</v>
      </c>
      <c r="X4" s="69">
        <f>C4+F4+I4+L4+O4+R4+U4</f>
        <v>0</v>
      </c>
      <c r="Y4" s="66">
        <f>D4+G4+J4+M4+P4+S4+V4</f>
        <v>12</v>
      </c>
      <c r="Z4" s="72">
        <f>E4+H4+K4+N4+Q4+T4+W4</f>
        <v>84000</v>
      </c>
      <c r="AA4" s="25"/>
      <c r="AB4" s="21">
        <v>2</v>
      </c>
      <c r="AC4" s="1">
        <f>$B4*AB4</f>
        <v>14000</v>
      </c>
      <c r="AD4" s="24"/>
      <c r="AE4" s="21"/>
      <c r="AF4" s="1">
        <f>$B4*AE4</f>
        <v>0</v>
      </c>
      <c r="AG4" s="24"/>
      <c r="AH4" s="21"/>
      <c r="AI4" s="1">
        <f>$B4*AH4</f>
        <v>0</v>
      </c>
      <c r="AJ4" s="24"/>
      <c r="AK4" s="21"/>
      <c r="AL4" s="1">
        <f>$B4*AK4</f>
        <v>0</v>
      </c>
      <c r="AM4" s="24"/>
      <c r="AN4" s="21"/>
      <c r="AO4" s="1">
        <f>$B4*AN4</f>
        <v>0</v>
      </c>
      <c r="AP4" s="24"/>
      <c r="AQ4" s="21"/>
      <c r="AR4" s="1">
        <f>$B4*AQ4</f>
        <v>0</v>
      </c>
      <c r="AS4" s="24"/>
      <c r="AT4" s="21"/>
      <c r="AU4" s="1">
        <f>$B4*AT4</f>
        <v>0</v>
      </c>
      <c r="AV4" s="69">
        <f>AA4+AD4+AG4+AJ4+AM4+AP4+AS4</f>
        <v>0</v>
      </c>
      <c r="AW4" s="66">
        <f>AB4+AE4+AH4+AK4+AN4+AQ4+AT4</f>
        <v>2</v>
      </c>
      <c r="AX4" s="47">
        <f>AC4+AF4+AI4+AL4+AO4+AR4+AU4</f>
        <v>14000</v>
      </c>
      <c r="AY4" s="24"/>
      <c r="AZ4" s="21"/>
      <c r="BA4" s="1">
        <f>$B4*AZ4</f>
        <v>0</v>
      </c>
      <c r="BB4" s="24"/>
      <c r="BC4" s="21"/>
      <c r="BD4" s="1">
        <f>$B4*BC4</f>
        <v>0</v>
      </c>
      <c r="BE4" s="24"/>
      <c r="BF4" s="21"/>
      <c r="BG4" s="1">
        <f>$B4*BF4</f>
        <v>0</v>
      </c>
      <c r="BH4" s="24"/>
      <c r="BI4" s="21"/>
      <c r="BJ4" s="1">
        <f>$B4*BI4</f>
        <v>0</v>
      </c>
      <c r="BK4" s="24"/>
      <c r="BL4" s="21"/>
      <c r="BM4" s="1">
        <f>$B4*BL4</f>
        <v>0</v>
      </c>
      <c r="BN4" s="24"/>
      <c r="BO4" s="21"/>
      <c r="BP4" s="1">
        <f>$B4*BO4</f>
        <v>0</v>
      </c>
      <c r="BQ4" s="24"/>
      <c r="BR4" s="21"/>
      <c r="BS4" s="1">
        <f>$B4*BR4</f>
        <v>0</v>
      </c>
      <c r="BT4" s="69">
        <f>AY4+BB4+BE4+BH4+BK4+BN4+BQ4</f>
        <v>0</v>
      </c>
      <c r="BU4" s="66">
        <f>AZ4+BC4+BF4+BI4+BL4+BO4+BR4</f>
        <v>0</v>
      </c>
      <c r="BV4" s="47">
        <f>BA4+BD4+BG4+BJ4+BM4+BP4+BS4</f>
        <v>0</v>
      </c>
      <c r="BW4" s="24"/>
      <c r="BX4" s="21"/>
      <c r="BY4" s="1">
        <f>$B4*BX4</f>
        <v>0</v>
      </c>
      <c r="BZ4" s="24"/>
      <c r="CA4" s="21"/>
      <c r="CB4" s="1">
        <f>$B4*CA4</f>
        <v>0</v>
      </c>
      <c r="CC4" s="24"/>
      <c r="CD4" s="21"/>
      <c r="CE4" s="1">
        <f>$B4*CD4</f>
        <v>0</v>
      </c>
      <c r="CF4" s="24"/>
      <c r="CG4" s="21"/>
      <c r="CH4" s="1">
        <f>$B4*CG4</f>
        <v>0</v>
      </c>
      <c r="CI4" s="24"/>
      <c r="CJ4" s="21"/>
      <c r="CK4" s="1">
        <f>$B4*CJ4</f>
        <v>0</v>
      </c>
      <c r="CL4" s="24"/>
      <c r="CM4" s="21"/>
      <c r="CN4" s="1">
        <f>$B4*CM4</f>
        <v>0</v>
      </c>
      <c r="CO4" s="24"/>
      <c r="CP4" s="21"/>
      <c r="CQ4" s="1">
        <f>$B4*CP4</f>
        <v>0</v>
      </c>
      <c r="CR4" s="69">
        <f>BW4+BZ4+CC4+CF4+CI4+CL4+CO4</f>
        <v>0</v>
      </c>
      <c r="CS4" s="66">
        <f>BX4+CA4+CD4+CG4+CJ4+CM4+CP4</f>
        <v>0</v>
      </c>
      <c r="CT4" s="47">
        <f>BY4+CB4+CE4+CH4+CK4+CN4+CQ4</f>
        <v>0</v>
      </c>
      <c r="CU4" s="24"/>
      <c r="CV4" s="21"/>
      <c r="CW4" s="1">
        <f>$B4*CV4</f>
        <v>0</v>
      </c>
      <c r="CX4" s="24"/>
      <c r="CY4" s="21"/>
      <c r="CZ4" s="1">
        <f>$B4*CY4</f>
        <v>0</v>
      </c>
      <c r="DA4" s="24"/>
      <c r="DB4" s="21"/>
      <c r="DC4" s="1">
        <f>$B4*DB4</f>
        <v>0</v>
      </c>
      <c r="DD4" s="24"/>
      <c r="DE4" s="21"/>
      <c r="DF4" s="1">
        <f>$B4*DE4</f>
        <v>0</v>
      </c>
      <c r="DG4" s="24"/>
      <c r="DH4" s="21"/>
      <c r="DI4" s="1">
        <f>$B4*DH4</f>
        <v>0</v>
      </c>
      <c r="DJ4" s="24"/>
      <c r="DK4" s="21"/>
      <c r="DL4" s="1">
        <f>$B4*DK4</f>
        <v>0</v>
      </c>
      <c r="DM4" s="24"/>
      <c r="DN4" s="21"/>
      <c r="DO4" s="1">
        <f>$B4*DN4</f>
        <v>0</v>
      </c>
      <c r="DP4" s="69">
        <f>CU4+CX4+DA4+DD4+DG4+DJ4+DM4</f>
        <v>0</v>
      </c>
      <c r="DQ4" s="66">
        <f>CV4+CY4+DB4+DE4+DH4+DK4+DN4</f>
        <v>0</v>
      </c>
      <c r="DR4" s="47">
        <f>CW4+CZ4+DC4+DF4+DI4+DL4+DO4</f>
        <v>0</v>
      </c>
      <c r="DS4" s="48">
        <f>X4+AV4+CR4+DP4</f>
        <v>0</v>
      </c>
      <c r="DT4" s="49">
        <f>Y4+AW4+BU4+CS4+DQ4</f>
        <v>14</v>
      </c>
      <c r="DU4" s="50">
        <f>Z4+AX4+BV4+CT4+DR4</f>
        <v>98000</v>
      </c>
    </row>
    <row r="5" spans="1:125" s="26" customFormat="1" ht="17.100000000000001" customHeight="1" thickBot="1" x14ac:dyDescent="0.25">
      <c r="A5" s="27" t="s">
        <v>23</v>
      </c>
      <c r="B5" s="19">
        <v>7000</v>
      </c>
      <c r="C5" s="29"/>
      <c r="D5" s="30"/>
      <c r="E5" s="2">
        <f t="shared" ref="E5:E25" si="0">$B5*D5</f>
        <v>0</v>
      </c>
      <c r="F5" s="29"/>
      <c r="G5" s="30">
        <v>3</v>
      </c>
      <c r="H5" s="2">
        <f t="shared" ref="H5:H25" si="1">$B5*G5</f>
        <v>21000</v>
      </c>
      <c r="I5" s="29"/>
      <c r="J5" s="30"/>
      <c r="K5" s="2">
        <f t="shared" ref="K5:K25" si="2">$B5*J5</f>
        <v>0</v>
      </c>
      <c r="L5" s="31"/>
      <c r="M5" s="30">
        <v>2</v>
      </c>
      <c r="N5" s="2">
        <f t="shared" ref="N5:N25" si="3">$B5*M5</f>
        <v>14000</v>
      </c>
      <c r="O5" s="31"/>
      <c r="P5" s="30"/>
      <c r="Q5" s="2">
        <f t="shared" ref="Q5:Q25" si="4">$B5*P5</f>
        <v>0</v>
      </c>
      <c r="R5" s="32"/>
      <c r="S5" s="30">
        <v>5</v>
      </c>
      <c r="T5" s="2">
        <f t="shared" ref="T5:T25" si="5">$B5*S5</f>
        <v>35000</v>
      </c>
      <c r="U5" s="33"/>
      <c r="V5" s="30">
        <v>3</v>
      </c>
      <c r="W5" s="64">
        <f t="shared" ref="W5:W25" si="6">$B5*V5</f>
        <v>21000</v>
      </c>
      <c r="X5" s="70">
        <f t="shared" ref="X5:Z25" si="7">C5+F5+I5+L5+O5+R5+U5</f>
        <v>0</v>
      </c>
      <c r="Y5" s="67">
        <f t="shared" si="7"/>
        <v>13</v>
      </c>
      <c r="Z5" s="73">
        <f t="shared" si="7"/>
        <v>91000</v>
      </c>
      <c r="AA5" s="35"/>
      <c r="AB5" s="30">
        <v>2</v>
      </c>
      <c r="AC5" s="2">
        <f t="shared" ref="AC5:AC25" si="8">$B5*AB5</f>
        <v>14000</v>
      </c>
      <c r="AD5" s="33"/>
      <c r="AE5" s="30"/>
      <c r="AF5" s="2">
        <f t="shared" ref="AF5:AF25" si="9">$B5*AE5</f>
        <v>0</v>
      </c>
      <c r="AG5" s="33"/>
      <c r="AH5" s="30"/>
      <c r="AI5" s="2">
        <f t="shared" ref="AI5:AI25" si="10">$B5*AH5</f>
        <v>0</v>
      </c>
      <c r="AJ5" s="33"/>
      <c r="AK5" s="30"/>
      <c r="AL5" s="2">
        <f t="shared" ref="AL5:AL25" si="11">$B5*AK5</f>
        <v>0</v>
      </c>
      <c r="AM5" s="33"/>
      <c r="AN5" s="30"/>
      <c r="AO5" s="2">
        <f t="shared" ref="AO5:AO25" si="12">$B5*AN5</f>
        <v>0</v>
      </c>
      <c r="AP5" s="33"/>
      <c r="AQ5" s="30"/>
      <c r="AR5" s="2">
        <f t="shared" ref="AR5:AR25" si="13">$B5*AQ5</f>
        <v>0</v>
      </c>
      <c r="AS5" s="33"/>
      <c r="AT5" s="30"/>
      <c r="AU5" s="2">
        <f t="shared" ref="AU5:AU25" si="14">$B5*AT5</f>
        <v>0</v>
      </c>
      <c r="AV5" s="70">
        <f t="shared" ref="AV5:AX25" si="15">AA5+AD5+AG5+AJ5+AM5+AP5+AS5</f>
        <v>0</v>
      </c>
      <c r="AW5" s="67">
        <f t="shared" si="15"/>
        <v>2</v>
      </c>
      <c r="AX5" s="51">
        <f t="shared" si="15"/>
        <v>14000</v>
      </c>
      <c r="AY5" s="33"/>
      <c r="AZ5" s="30"/>
      <c r="BA5" s="2">
        <f t="shared" ref="BA5:BA25" si="16">$B5*AZ5</f>
        <v>0</v>
      </c>
      <c r="BB5" s="33"/>
      <c r="BC5" s="30"/>
      <c r="BD5" s="2">
        <f t="shared" ref="BD5:BD25" si="17">$B5*BC5</f>
        <v>0</v>
      </c>
      <c r="BE5" s="33"/>
      <c r="BF5" s="30"/>
      <c r="BG5" s="2">
        <f t="shared" ref="BG5:BG25" si="18">$B5*BF5</f>
        <v>0</v>
      </c>
      <c r="BH5" s="33"/>
      <c r="BI5" s="30"/>
      <c r="BJ5" s="2">
        <f t="shared" ref="BJ5:BJ25" si="19">$B5*BI5</f>
        <v>0</v>
      </c>
      <c r="BK5" s="33"/>
      <c r="BL5" s="30"/>
      <c r="BM5" s="2">
        <f t="shared" ref="BM5:BM25" si="20">$B5*BL5</f>
        <v>0</v>
      </c>
      <c r="BN5" s="33"/>
      <c r="BO5" s="30"/>
      <c r="BP5" s="2">
        <f t="shared" ref="BP5:BP25" si="21">$B5*BO5</f>
        <v>0</v>
      </c>
      <c r="BQ5" s="33"/>
      <c r="BR5" s="30"/>
      <c r="BS5" s="2">
        <f t="shared" ref="BS5:BS25" si="22">$B5*BR5</f>
        <v>0</v>
      </c>
      <c r="BT5" s="70">
        <f t="shared" ref="BT5:BV25" si="23">AY5+BB5+BE5+BH5+BK5+BN5+BQ5</f>
        <v>0</v>
      </c>
      <c r="BU5" s="67">
        <f t="shared" si="23"/>
        <v>0</v>
      </c>
      <c r="BV5" s="51">
        <f t="shared" si="23"/>
        <v>0</v>
      </c>
      <c r="BW5" s="33"/>
      <c r="BX5" s="30"/>
      <c r="BY5" s="2">
        <f t="shared" ref="BY5:BY25" si="24">$B5*BX5</f>
        <v>0</v>
      </c>
      <c r="BZ5" s="33"/>
      <c r="CA5" s="30"/>
      <c r="CB5" s="2">
        <f t="shared" ref="CB5:CB25" si="25">$B5*CA5</f>
        <v>0</v>
      </c>
      <c r="CC5" s="33"/>
      <c r="CD5" s="30"/>
      <c r="CE5" s="2">
        <f t="shared" ref="CE5:CE25" si="26">$B5*CD5</f>
        <v>0</v>
      </c>
      <c r="CF5" s="33"/>
      <c r="CG5" s="30"/>
      <c r="CH5" s="2">
        <f t="shared" ref="CH5:CH25" si="27">$B5*CG5</f>
        <v>0</v>
      </c>
      <c r="CI5" s="33"/>
      <c r="CJ5" s="30"/>
      <c r="CK5" s="2">
        <f t="shared" ref="CK5:CK25" si="28">$B5*CJ5</f>
        <v>0</v>
      </c>
      <c r="CL5" s="33"/>
      <c r="CM5" s="30"/>
      <c r="CN5" s="2">
        <f t="shared" ref="CN5:CN25" si="29">$B5*CM5</f>
        <v>0</v>
      </c>
      <c r="CO5" s="33"/>
      <c r="CP5" s="30"/>
      <c r="CQ5" s="2">
        <f t="shared" ref="CQ5:CQ25" si="30">$B5*CP5</f>
        <v>0</v>
      </c>
      <c r="CR5" s="70">
        <f t="shared" ref="CR5:CT25" si="31">BW5+BZ5+CC5+CF5+CI5+CL5+CO5</f>
        <v>0</v>
      </c>
      <c r="CS5" s="67">
        <f t="shared" si="31"/>
        <v>0</v>
      </c>
      <c r="CT5" s="51">
        <f t="shared" si="31"/>
        <v>0</v>
      </c>
      <c r="CU5" s="33"/>
      <c r="CV5" s="30"/>
      <c r="CW5" s="2">
        <f t="shared" ref="CW5:CW25" si="32">$B5*CV5</f>
        <v>0</v>
      </c>
      <c r="CX5" s="33"/>
      <c r="CY5" s="30"/>
      <c r="CZ5" s="2">
        <f t="shared" ref="CZ5:CZ25" si="33">$B5*CY5</f>
        <v>0</v>
      </c>
      <c r="DA5" s="33"/>
      <c r="DB5" s="30"/>
      <c r="DC5" s="2">
        <f t="shared" ref="DC5:DC25" si="34">$B5*DB5</f>
        <v>0</v>
      </c>
      <c r="DD5" s="33"/>
      <c r="DE5" s="30"/>
      <c r="DF5" s="2">
        <f t="shared" ref="DF5:DF25" si="35">$B5*DE5</f>
        <v>0</v>
      </c>
      <c r="DG5" s="33"/>
      <c r="DH5" s="30"/>
      <c r="DI5" s="2">
        <f t="shared" ref="DI5:DI25" si="36">$B5*DH5</f>
        <v>0</v>
      </c>
      <c r="DJ5" s="33"/>
      <c r="DK5" s="30"/>
      <c r="DL5" s="2">
        <f t="shared" ref="DL5:DL25" si="37">$B5*DK5</f>
        <v>0</v>
      </c>
      <c r="DM5" s="33"/>
      <c r="DN5" s="30"/>
      <c r="DO5" s="2">
        <f t="shared" ref="DO5:DO25" si="38">$B5*DN5</f>
        <v>0</v>
      </c>
      <c r="DP5" s="70">
        <f t="shared" ref="DP5:DR25" si="39">CU5+CX5+DA5+DD5+DG5+DJ5+DM5</f>
        <v>0</v>
      </c>
      <c r="DQ5" s="67">
        <f t="shared" si="39"/>
        <v>0</v>
      </c>
      <c r="DR5" s="51">
        <f t="shared" si="39"/>
        <v>0</v>
      </c>
      <c r="DS5" s="52">
        <f t="shared" ref="DS5:DS25" si="40">X5+AV5+CR5+DP5</f>
        <v>0</v>
      </c>
      <c r="DT5" s="53">
        <f t="shared" ref="DT5:DU25" si="41">Y5+AW5+BU5+CS5+DQ5</f>
        <v>15</v>
      </c>
      <c r="DU5" s="54">
        <f t="shared" si="41"/>
        <v>105000</v>
      </c>
    </row>
    <row r="6" spans="1:125" s="26" customFormat="1" ht="17.100000000000001" customHeight="1" thickBot="1" x14ac:dyDescent="0.25">
      <c r="A6" s="27" t="s">
        <v>24</v>
      </c>
      <c r="B6" s="19">
        <v>7000</v>
      </c>
      <c r="C6" s="29"/>
      <c r="D6" s="30"/>
      <c r="E6" s="2">
        <f t="shared" si="0"/>
        <v>0</v>
      </c>
      <c r="F6" s="29"/>
      <c r="G6" s="30">
        <v>2</v>
      </c>
      <c r="H6" s="2">
        <f t="shared" si="1"/>
        <v>14000</v>
      </c>
      <c r="I6" s="29"/>
      <c r="J6" s="30">
        <v>2</v>
      </c>
      <c r="K6" s="2">
        <f t="shared" si="2"/>
        <v>14000</v>
      </c>
      <c r="L6" s="31"/>
      <c r="M6" s="30">
        <v>2</v>
      </c>
      <c r="N6" s="2">
        <f t="shared" si="3"/>
        <v>14000</v>
      </c>
      <c r="O6" s="31">
        <v>15000</v>
      </c>
      <c r="P6" s="30">
        <v>2</v>
      </c>
      <c r="Q6" s="2">
        <f t="shared" si="4"/>
        <v>14000</v>
      </c>
      <c r="R6" s="32"/>
      <c r="S6" s="30">
        <v>1</v>
      </c>
      <c r="T6" s="2">
        <f t="shared" si="5"/>
        <v>7000</v>
      </c>
      <c r="U6" s="33"/>
      <c r="V6" s="30"/>
      <c r="W6" s="64">
        <f t="shared" si="6"/>
        <v>0</v>
      </c>
      <c r="X6" s="70">
        <f t="shared" si="7"/>
        <v>15000</v>
      </c>
      <c r="Y6" s="67">
        <f t="shared" si="7"/>
        <v>9</v>
      </c>
      <c r="Z6" s="73">
        <f t="shared" si="7"/>
        <v>63000</v>
      </c>
      <c r="AA6" s="35"/>
      <c r="AB6" s="30">
        <v>2</v>
      </c>
      <c r="AC6" s="2">
        <f t="shared" si="8"/>
        <v>14000</v>
      </c>
      <c r="AD6" s="33"/>
      <c r="AE6" s="30"/>
      <c r="AF6" s="2">
        <f t="shared" si="9"/>
        <v>0</v>
      </c>
      <c r="AG6" s="33"/>
      <c r="AH6" s="30"/>
      <c r="AI6" s="2">
        <f t="shared" si="10"/>
        <v>0</v>
      </c>
      <c r="AJ6" s="33"/>
      <c r="AK6" s="30"/>
      <c r="AL6" s="2">
        <f t="shared" si="11"/>
        <v>0</v>
      </c>
      <c r="AM6" s="33"/>
      <c r="AN6" s="30"/>
      <c r="AO6" s="2">
        <f t="shared" si="12"/>
        <v>0</v>
      </c>
      <c r="AP6" s="33"/>
      <c r="AQ6" s="30"/>
      <c r="AR6" s="2">
        <f t="shared" si="13"/>
        <v>0</v>
      </c>
      <c r="AS6" s="33"/>
      <c r="AT6" s="30"/>
      <c r="AU6" s="2">
        <f t="shared" si="14"/>
        <v>0</v>
      </c>
      <c r="AV6" s="70">
        <f t="shared" si="15"/>
        <v>0</v>
      </c>
      <c r="AW6" s="67">
        <f t="shared" si="15"/>
        <v>2</v>
      </c>
      <c r="AX6" s="51">
        <f t="shared" si="15"/>
        <v>14000</v>
      </c>
      <c r="AY6" s="33"/>
      <c r="AZ6" s="30"/>
      <c r="BA6" s="2">
        <f t="shared" si="16"/>
        <v>0</v>
      </c>
      <c r="BB6" s="33"/>
      <c r="BC6" s="30"/>
      <c r="BD6" s="2">
        <f t="shared" si="17"/>
        <v>0</v>
      </c>
      <c r="BE6" s="33"/>
      <c r="BF6" s="30"/>
      <c r="BG6" s="2">
        <f t="shared" si="18"/>
        <v>0</v>
      </c>
      <c r="BH6" s="33"/>
      <c r="BI6" s="30"/>
      <c r="BJ6" s="2">
        <f t="shared" si="19"/>
        <v>0</v>
      </c>
      <c r="BK6" s="33"/>
      <c r="BL6" s="30"/>
      <c r="BM6" s="2">
        <f t="shared" si="20"/>
        <v>0</v>
      </c>
      <c r="BN6" s="33"/>
      <c r="BO6" s="30"/>
      <c r="BP6" s="2">
        <f t="shared" si="21"/>
        <v>0</v>
      </c>
      <c r="BQ6" s="33"/>
      <c r="BR6" s="30"/>
      <c r="BS6" s="2">
        <f t="shared" si="22"/>
        <v>0</v>
      </c>
      <c r="BT6" s="70">
        <f t="shared" si="23"/>
        <v>0</v>
      </c>
      <c r="BU6" s="67">
        <f t="shared" si="23"/>
        <v>0</v>
      </c>
      <c r="BV6" s="51">
        <f t="shared" si="23"/>
        <v>0</v>
      </c>
      <c r="BW6" s="33"/>
      <c r="BX6" s="30"/>
      <c r="BY6" s="2">
        <f t="shared" si="24"/>
        <v>0</v>
      </c>
      <c r="BZ6" s="33"/>
      <c r="CA6" s="30"/>
      <c r="CB6" s="2">
        <f t="shared" si="25"/>
        <v>0</v>
      </c>
      <c r="CC6" s="33"/>
      <c r="CD6" s="30"/>
      <c r="CE6" s="2">
        <f t="shared" si="26"/>
        <v>0</v>
      </c>
      <c r="CF6" s="33"/>
      <c r="CG6" s="30"/>
      <c r="CH6" s="2">
        <f t="shared" si="27"/>
        <v>0</v>
      </c>
      <c r="CI6" s="33"/>
      <c r="CJ6" s="30"/>
      <c r="CK6" s="2">
        <f t="shared" si="28"/>
        <v>0</v>
      </c>
      <c r="CL6" s="33"/>
      <c r="CM6" s="30"/>
      <c r="CN6" s="2">
        <f t="shared" si="29"/>
        <v>0</v>
      </c>
      <c r="CO6" s="33"/>
      <c r="CP6" s="30"/>
      <c r="CQ6" s="2">
        <f t="shared" si="30"/>
        <v>0</v>
      </c>
      <c r="CR6" s="70">
        <f t="shared" si="31"/>
        <v>0</v>
      </c>
      <c r="CS6" s="67">
        <f t="shared" si="31"/>
        <v>0</v>
      </c>
      <c r="CT6" s="51">
        <f t="shared" si="31"/>
        <v>0</v>
      </c>
      <c r="CU6" s="33"/>
      <c r="CV6" s="30"/>
      <c r="CW6" s="2">
        <f t="shared" si="32"/>
        <v>0</v>
      </c>
      <c r="CX6" s="33"/>
      <c r="CY6" s="30"/>
      <c r="CZ6" s="2">
        <f t="shared" si="33"/>
        <v>0</v>
      </c>
      <c r="DA6" s="33"/>
      <c r="DB6" s="30"/>
      <c r="DC6" s="2">
        <f t="shared" si="34"/>
        <v>0</v>
      </c>
      <c r="DD6" s="33"/>
      <c r="DE6" s="30"/>
      <c r="DF6" s="2">
        <f t="shared" si="35"/>
        <v>0</v>
      </c>
      <c r="DG6" s="33"/>
      <c r="DH6" s="30"/>
      <c r="DI6" s="2">
        <f t="shared" si="36"/>
        <v>0</v>
      </c>
      <c r="DJ6" s="33"/>
      <c r="DK6" s="30"/>
      <c r="DL6" s="2">
        <f t="shared" si="37"/>
        <v>0</v>
      </c>
      <c r="DM6" s="33"/>
      <c r="DN6" s="30"/>
      <c r="DO6" s="2">
        <f t="shared" si="38"/>
        <v>0</v>
      </c>
      <c r="DP6" s="70">
        <f t="shared" si="39"/>
        <v>0</v>
      </c>
      <c r="DQ6" s="67">
        <f t="shared" si="39"/>
        <v>0</v>
      </c>
      <c r="DR6" s="51">
        <f t="shared" si="39"/>
        <v>0</v>
      </c>
      <c r="DS6" s="52">
        <f t="shared" si="40"/>
        <v>15000</v>
      </c>
      <c r="DT6" s="53">
        <f t="shared" si="41"/>
        <v>11</v>
      </c>
      <c r="DU6" s="54">
        <f t="shared" si="41"/>
        <v>77000</v>
      </c>
    </row>
    <row r="7" spans="1:125" s="26" customFormat="1" ht="17.100000000000001" customHeight="1" thickBot="1" x14ac:dyDescent="0.25">
      <c r="A7" s="27" t="s">
        <v>25</v>
      </c>
      <c r="B7" s="19">
        <v>7000</v>
      </c>
      <c r="C7" s="29"/>
      <c r="D7" s="30"/>
      <c r="E7" s="2">
        <f t="shared" si="0"/>
        <v>0</v>
      </c>
      <c r="F7" s="29"/>
      <c r="G7" s="30">
        <v>3</v>
      </c>
      <c r="H7" s="2">
        <f t="shared" si="1"/>
        <v>21000</v>
      </c>
      <c r="I7" s="29"/>
      <c r="J7" s="30"/>
      <c r="K7" s="2">
        <f t="shared" si="2"/>
        <v>0</v>
      </c>
      <c r="L7" s="31"/>
      <c r="M7" s="30">
        <v>2</v>
      </c>
      <c r="N7" s="2">
        <f t="shared" si="3"/>
        <v>14000</v>
      </c>
      <c r="O7" s="31"/>
      <c r="P7" s="30">
        <v>2</v>
      </c>
      <c r="Q7" s="2">
        <f t="shared" si="4"/>
        <v>14000</v>
      </c>
      <c r="R7" s="32"/>
      <c r="S7" s="30"/>
      <c r="T7" s="2">
        <f t="shared" si="5"/>
        <v>0</v>
      </c>
      <c r="U7" s="33"/>
      <c r="V7" s="30">
        <v>3</v>
      </c>
      <c r="W7" s="64">
        <f t="shared" si="6"/>
        <v>21000</v>
      </c>
      <c r="X7" s="70">
        <f t="shared" si="7"/>
        <v>0</v>
      </c>
      <c r="Y7" s="67">
        <f t="shared" si="7"/>
        <v>10</v>
      </c>
      <c r="Z7" s="73">
        <f t="shared" si="7"/>
        <v>70000</v>
      </c>
      <c r="AA7" s="35"/>
      <c r="AB7" s="30">
        <v>2</v>
      </c>
      <c r="AC7" s="2">
        <f t="shared" si="8"/>
        <v>14000</v>
      </c>
      <c r="AD7" s="33"/>
      <c r="AE7" s="30"/>
      <c r="AF7" s="2">
        <f t="shared" si="9"/>
        <v>0</v>
      </c>
      <c r="AG7" s="33"/>
      <c r="AH7" s="30"/>
      <c r="AI7" s="2">
        <f t="shared" si="10"/>
        <v>0</v>
      </c>
      <c r="AJ7" s="33"/>
      <c r="AK7" s="30"/>
      <c r="AL7" s="2">
        <f t="shared" si="11"/>
        <v>0</v>
      </c>
      <c r="AM7" s="33"/>
      <c r="AN7" s="30"/>
      <c r="AO7" s="2">
        <f t="shared" si="12"/>
        <v>0</v>
      </c>
      <c r="AP7" s="33"/>
      <c r="AQ7" s="30"/>
      <c r="AR7" s="2">
        <f t="shared" si="13"/>
        <v>0</v>
      </c>
      <c r="AS7" s="33"/>
      <c r="AT7" s="30"/>
      <c r="AU7" s="2">
        <f t="shared" si="14"/>
        <v>0</v>
      </c>
      <c r="AV7" s="70">
        <f t="shared" si="15"/>
        <v>0</v>
      </c>
      <c r="AW7" s="67">
        <f t="shared" si="15"/>
        <v>2</v>
      </c>
      <c r="AX7" s="51">
        <f t="shared" si="15"/>
        <v>14000</v>
      </c>
      <c r="AY7" s="33"/>
      <c r="AZ7" s="30"/>
      <c r="BA7" s="2">
        <f t="shared" si="16"/>
        <v>0</v>
      </c>
      <c r="BB7" s="33"/>
      <c r="BC7" s="30"/>
      <c r="BD7" s="2">
        <f t="shared" si="17"/>
        <v>0</v>
      </c>
      <c r="BE7" s="33"/>
      <c r="BF7" s="30"/>
      <c r="BG7" s="2">
        <f t="shared" si="18"/>
        <v>0</v>
      </c>
      <c r="BH7" s="33"/>
      <c r="BI7" s="30"/>
      <c r="BJ7" s="2">
        <f t="shared" si="19"/>
        <v>0</v>
      </c>
      <c r="BK7" s="33"/>
      <c r="BL7" s="30"/>
      <c r="BM7" s="2">
        <f t="shared" si="20"/>
        <v>0</v>
      </c>
      <c r="BN7" s="33"/>
      <c r="BO7" s="30"/>
      <c r="BP7" s="2">
        <f t="shared" si="21"/>
        <v>0</v>
      </c>
      <c r="BQ7" s="33"/>
      <c r="BR7" s="30"/>
      <c r="BS7" s="2">
        <f t="shared" si="22"/>
        <v>0</v>
      </c>
      <c r="BT7" s="70">
        <f t="shared" si="23"/>
        <v>0</v>
      </c>
      <c r="BU7" s="67">
        <f t="shared" si="23"/>
        <v>0</v>
      </c>
      <c r="BV7" s="51">
        <f t="shared" si="23"/>
        <v>0</v>
      </c>
      <c r="BW7" s="33"/>
      <c r="BX7" s="30"/>
      <c r="BY7" s="2">
        <f t="shared" si="24"/>
        <v>0</v>
      </c>
      <c r="BZ7" s="33"/>
      <c r="CA7" s="30"/>
      <c r="CB7" s="2">
        <f t="shared" si="25"/>
        <v>0</v>
      </c>
      <c r="CC7" s="33"/>
      <c r="CD7" s="30"/>
      <c r="CE7" s="2">
        <f t="shared" si="26"/>
        <v>0</v>
      </c>
      <c r="CF7" s="33"/>
      <c r="CG7" s="30"/>
      <c r="CH7" s="2">
        <f t="shared" si="27"/>
        <v>0</v>
      </c>
      <c r="CI7" s="33"/>
      <c r="CJ7" s="30"/>
      <c r="CK7" s="2">
        <f t="shared" si="28"/>
        <v>0</v>
      </c>
      <c r="CL7" s="33"/>
      <c r="CM7" s="30"/>
      <c r="CN7" s="2">
        <f t="shared" si="29"/>
        <v>0</v>
      </c>
      <c r="CO7" s="33"/>
      <c r="CP7" s="30"/>
      <c r="CQ7" s="2">
        <f t="shared" si="30"/>
        <v>0</v>
      </c>
      <c r="CR7" s="70">
        <f t="shared" si="31"/>
        <v>0</v>
      </c>
      <c r="CS7" s="67">
        <f t="shared" si="31"/>
        <v>0</v>
      </c>
      <c r="CT7" s="51">
        <f t="shared" si="31"/>
        <v>0</v>
      </c>
      <c r="CU7" s="33"/>
      <c r="CV7" s="30"/>
      <c r="CW7" s="2">
        <f t="shared" si="32"/>
        <v>0</v>
      </c>
      <c r="CX7" s="33"/>
      <c r="CY7" s="30"/>
      <c r="CZ7" s="2">
        <f t="shared" si="33"/>
        <v>0</v>
      </c>
      <c r="DA7" s="33"/>
      <c r="DB7" s="30"/>
      <c r="DC7" s="2">
        <f t="shared" si="34"/>
        <v>0</v>
      </c>
      <c r="DD7" s="33"/>
      <c r="DE7" s="30"/>
      <c r="DF7" s="2">
        <f t="shared" si="35"/>
        <v>0</v>
      </c>
      <c r="DG7" s="33"/>
      <c r="DH7" s="30"/>
      <c r="DI7" s="2">
        <f t="shared" si="36"/>
        <v>0</v>
      </c>
      <c r="DJ7" s="33"/>
      <c r="DK7" s="30"/>
      <c r="DL7" s="2">
        <f t="shared" si="37"/>
        <v>0</v>
      </c>
      <c r="DM7" s="33"/>
      <c r="DN7" s="30"/>
      <c r="DO7" s="2">
        <f t="shared" si="38"/>
        <v>0</v>
      </c>
      <c r="DP7" s="70">
        <f t="shared" si="39"/>
        <v>0</v>
      </c>
      <c r="DQ7" s="67">
        <f t="shared" si="39"/>
        <v>0</v>
      </c>
      <c r="DR7" s="51">
        <f t="shared" si="39"/>
        <v>0</v>
      </c>
      <c r="DS7" s="52">
        <f t="shared" si="40"/>
        <v>0</v>
      </c>
      <c r="DT7" s="53">
        <f t="shared" si="41"/>
        <v>12</v>
      </c>
      <c r="DU7" s="54">
        <f t="shared" si="41"/>
        <v>84000</v>
      </c>
    </row>
    <row r="8" spans="1:125" s="26" customFormat="1" ht="17.100000000000001" customHeight="1" thickBot="1" x14ac:dyDescent="0.25">
      <c r="A8" s="27" t="s">
        <v>26</v>
      </c>
      <c r="B8" s="19">
        <v>7000</v>
      </c>
      <c r="C8" s="29"/>
      <c r="D8" s="30"/>
      <c r="E8" s="2">
        <f t="shared" si="0"/>
        <v>0</v>
      </c>
      <c r="F8" s="29">
        <v>10000</v>
      </c>
      <c r="G8" s="30">
        <v>2</v>
      </c>
      <c r="H8" s="2">
        <f t="shared" si="1"/>
        <v>14000</v>
      </c>
      <c r="I8" s="29"/>
      <c r="J8" s="30">
        <v>4</v>
      </c>
      <c r="K8" s="2">
        <f t="shared" si="2"/>
        <v>28000</v>
      </c>
      <c r="L8" s="31"/>
      <c r="M8" s="30">
        <v>2</v>
      </c>
      <c r="N8" s="2">
        <f t="shared" si="3"/>
        <v>14000</v>
      </c>
      <c r="O8" s="33">
        <v>5000</v>
      </c>
      <c r="P8" s="30">
        <v>4</v>
      </c>
      <c r="Q8" s="2">
        <f t="shared" si="4"/>
        <v>28000</v>
      </c>
      <c r="R8" s="32"/>
      <c r="S8" s="30"/>
      <c r="T8" s="2">
        <f t="shared" si="5"/>
        <v>0</v>
      </c>
      <c r="U8" s="33"/>
      <c r="V8" s="30">
        <v>1</v>
      </c>
      <c r="W8" s="64">
        <f t="shared" si="6"/>
        <v>7000</v>
      </c>
      <c r="X8" s="70">
        <f t="shared" si="7"/>
        <v>15000</v>
      </c>
      <c r="Y8" s="67">
        <f t="shared" si="7"/>
        <v>13</v>
      </c>
      <c r="Z8" s="73">
        <f t="shared" si="7"/>
        <v>91000</v>
      </c>
      <c r="AA8" s="35"/>
      <c r="AB8" s="30">
        <v>1</v>
      </c>
      <c r="AC8" s="2">
        <f t="shared" si="8"/>
        <v>7000</v>
      </c>
      <c r="AD8" s="33"/>
      <c r="AE8" s="30"/>
      <c r="AF8" s="2">
        <f t="shared" si="9"/>
        <v>0</v>
      </c>
      <c r="AG8" s="33"/>
      <c r="AH8" s="30"/>
      <c r="AI8" s="2">
        <f t="shared" si="10"/>
        <v>0</v>
      </c>
      <c r="AJ8" s="33"/>
      <c r="AK8" s="30"/>
      <c r="AL8" s="2">
        <f t="shared" si="11"/>
        <v>0</v>
      </c>
      <c r="AM8" s="33"/>
      <c r="AN8" s="30"/>
      <c r="AO8" s="2">
        <f t="shared" si="12"/>
        <v>0</v>
      </c>
      <c r="AP8" s="33"/>
      <c r="AQ8" s="30"/>
      <c r="AR8" s="2">
        <f t="shared" si="13"/>
        <v>0</v>
      </c>
      <c r="AS8" s="33"/>
      <c r="AT8" s="30"/>
      <c r="AU8" s="2">
        <f t="shared" si="14"/>
        <v>0</v>
      </c>
      <c r="AV8" s="70">
        <f t="shared" si="15"/>
        <v>0</v>
      </c>
      <c r="AW8" s="67">
        <f t="shared" si="15"/>
        <v>1</v>
      </c>
      <c r="AX8" s="51">
        <f t="shared" si="15"/>
        <v>7000</v>
      </c>
      <c r="AY8" s="33"/>
      <c r="AZ8" s="30"/>
      <c r="BA8" s="2">
        <f t="shared" si="16"/>
        <v>0</v>
      </c>
      <c r="BB8" s="33"/>
      <c r="BC8" s="30"/>
      <c r="BD8" s="2">
        <f t="shared" si="17"/>
        <v>0</v>
      </c>
      <c r="BE8" s="33"/>
      <c r="BF8" s="30"/>
      <c r="BG8" s="2">
        <f t="shared" si="18"/>
        <v>0</v>
      </c>
      <c r="BH8" s="33"/>
      <c r="BI8" s="30"/>
      <c r="BJ8" s="2">
        <f t="shared" si="19"/>
        <v>0</v>
      </c>
      <c r="BK8" s="33"/>
      <c r="BL8" s="30"/>
      <c r="BM8" s="2">
        <f t="shared" si="20"/>
        <v>0</v>
      </c>
      <c r="BN8" s="33"/>
      <c r="BO8" s="30"/>
      <c r="BP8" s="2">
        <f t="shared" si="21"/>
        <v>0</v>
      </c>
      <c r="BQ8" s="33"/>
      <c r="BR8" s="30"/>
      <c r="BS8" s="2">
        <f t="shared" si="22"/>
        <v>0</v>
      </c>
      <c r="BT8" s="70">
        <f t="shared" si="23"/>
        <v>0</v>
      </c>
      <c r="BU8" s="67">
        <f t="shared" si="23"/>
        <v>0</v>
      </c>
      <c r="BV8" s="51">
        <f t="shared" si="23"/>
        <v>0</v>
      </c>
      <c r="BW8" s="33"/>
      <c r="BX8" s="30"/>
      <c r="BY8" s="2">
        <f t="shared" si="24"/>
        <v>0</v>
      </c>
      <c r="BZ8" s="33"/>
      <c r="CA8" s="30"/>
      <c r="CB8" s="2">
        <f t="shared" si="25"/>
        <v>0</v>
      </c>
      <c r="CC8" s="33"/>
      <c r="CD8" s="30"/>
      <c r="CE8" s="2">
        <f t="shared" si="26"/>
        <v>0</v>
      </c>
      <c r="CF8" s="33"/>
      <c r="CG8" s="30"/>
      <c r="CH8" s="2">
        <f t="shared" si="27"/>
        <v>0</v>
      </c>
      <c r="CI8" s="33"/>
      <c r="CJ8" s="30"/>
      <c r="CK8" s="2">
        <f t="shared" si="28"/>
        <v>0</v>
      </c>
      <c r="CL8" s="33"/>
      <c r="CM8" s="30"/>
      <c r="CN8" s="2">
        <f t="shared" si="29"/>
        <v>0</v>
      </c>
      <c r="CO8" s="33"/>
      <c r="CP8" s="30"/>
      <c r="CQ8" s="2">
        <f t="shared" si="30"/>
        <v>0</v>
      </c>
      <c r="CR8" s="70">
        <f t="shared" si="31"/>
        <v>0</v>
      </c>
      <c r="CS8" s="67">
        <f t="shared" si="31"/>
        <v>0</v>
      </c>
      <c r="CT8" s="51">
        <f t="shared" si="31"/>
        <v>0</v>
      </c>
      <c r="CU8" s="33"/>
      <c r="CV8" s="30"/>
      <c r="CW8" s="2">
        <f t="shared" si="32"/>
        <v>0</v>
      </c>
      <c r="CX8" s="33"/>
      <c r="CY8" s="30"/>
      <c r="CZ8" s="2">
        <f t="shared" si="33"/>
        <v>0</v>
      </c>
      <c r="DA8" s="33"/>
      <c r="DB8" s="30"/>
      <c r="DC8" s="2">
        <f t="shared" si="34"/>
        <v>0</v>
      </c>
      <c r="DD8" s="33"/>
      <c r="DE8" s="30"/>
      <c r="DF8" s="2">
        <f t="shared" si="35"/>
        <v>0</v>
      </c>
      <c r="DG8" s="33"/>
      <c r="DH8" s="30"/>
      <c r="DI8" s="2">
        <f t="shared" si="36"/>
        <v>0</v>
      </c>
      <c r="DJ8" s="33"/>
      <c r="DK8" s="30"/>
      <c r="DL8" s="2">
        <f t="shared" si="37"/>
        <v>0</v>
      </c>
      <c r="DM8" s="33"/>
      <c r="DN8" s="30"/>
      <c r="DO8" s="2">
        <f t="shared" si="38"/>
        <v>0</v>
      </c>
      <c r="DP8" s="70">
        <f t="shared" si="39"/>
        <v>0</v>
      </c>
      <c r="DQ8" s="67">
        <f t="shared" si="39"/>
        <v>0</v>
      </c>
      <c r="DR8" s="51">
        <f t="shared" si="39"/>
        <v>0</v>
      </c>
      <c r="DS8" s="52">
        <f t="shared" si="40"/>
        <v>15000</v>
      </c>
      <c r="DT8" s="53">
        <f t="shared" si="41"/>
        <v>14</v>
      </c>
      <c r="DU8" s="54">
        <f t="shared" si="41"/>
        <v>98000</v>
      </c>
    </row>
    <row r="9" spans="1:125" s="26" customFormat="1" ht="17.100000000000001" customHeight="1" thickBot="1" x14ac:dyDescent="0.25">
      <c r="A9" s="27" t="s">
        <v>27</v>
      </c>
      <c r="B9" s="19">
        <v>7000</v>
      </c>
      <c r="C9" s="29"/>
      <c r="D9" s="30"/>
      <c r="E9" s="2">
        <f t="shared" si="0"/>
        <v>0</v>
      </c>
      <c r="F9" s="29"/>
      <c r="G9" s="30">
        <v>2</v>
      </c>
      <c r="H9" s="2">
        <f t="shared" si="1"/>
        <v>14000</v>
      </c>
      <c r="I9" s="29"/>
      <c r="J9" s="30"/>
      <c r="K9" s="2">
        <f t="shared" si="2"/>
        <v>0</v>
      </c>
      <c r="L9" s="31"/>
      <c r="M9" s="30">
        <v>2</v>
      </c>
      <c r="N9" s="2">
        <f t="shared" si="3"/>
        <v>14000</v>
      </c>
      <c r="O9" s="31"/>
      <c r="P9" s="30">
        <v>2</v>
      </c>
      <c r="Q9" s="2">
        <f t="shared" si="4"/>
        <v>14000</v>
      </c>
      <c r="R9" s="31"/>
      <c r="S9" s="30">
        <v>2</v>
      </c>
      <c r="T9" s="2">
        <f t="shared" si="5"/>
        <v>14000</v>
      </c>
      <c r="U9" s="33"/>
      <c r="V9" s="30">
        <v>2</v>
      </c>
      <c r="W9" s="64">
        <f t="shared" si="6"/>
        <v>14000</v>
      </c>
      <c r="X9" s="70">
        <f t="shared" si="7"/>
        <v>0</v>
      </c>
      <c r="Y9" s="67">
        <f t="shared" si="7"/>
        <v>10</v>
      </c>
      <c r="Z9" s="73">
        <f t="shared" si="7"/>
        <v>70000</v>
      </c>
      <c r="AA9" s="35"/>
      <c r="AB9" s="30">
        <v>2</v>
      </c>
      <c r="AC9" s="2">
        <f t="shared" si="8"/>
        <v>14000</v>
      </c>
      <c r="AD9" s="33"/>
      <c r="AE9" s="30"/>
      <c r="AF9" s="2">
        <f t="shared" si="9"/>
        <v>0</v>
      </c>
      <c r="AG9" s="33"/>
      <c r="AH9" s="30"/>
      <c r="AI9" s="2">
        <f t="shared" si="10"/>
        <v>0</v>
      </c>
      <c r="AJ9" s="33"/>
      <c r="AK9" s="30"/>
      <c r="AL9" s="2">
        <f t="shared" si="11"/>
        <v>0</v>
      </c>
      <c r="AM9" s="33"/>
      <c r="AN9" s="30"/>
      <c r="AO9" s="2">
        <f t="shared" si="12"/>
        <v>0</v>
      </c>
      <c r="AP9" s="33"/>
      <c r="AQ9" s="30"/>
      <c r="AR9" s="2">
        <f t="shared" si="13"/>
        <v>0</v>
      </c>
      <c r="AS9" s="33"/>
      <c r="AT9" s="30"/>
      <c r="AU9" s="2">
        <f t="shared" si="14"/>
        <v>0</v>
      </c>
      <c r="AV9" s="70">
        <f t="shared" si="15"/>
        <v>0</v>
      </c>
      <c r="AW9" s="67">
        <f t="shared" si="15"/>
        <v>2</v>
      </c>
      <c r="AX9" s="51">
        <f t="shared" si="15"/>
        <v>14000</v>
      </c>
      <c r="AY9" s="33"/>
      <c r="AZ9" s="30"/>
      <c r="BA9" s="2">
        <f t="shared" si="16"/>
        <v>0</v>
      </c>
      <c r="BB9" s="33"/>
      <c r="BC9" s="30"/>
      <c r="BD9" s="2">
        <f t="shared" si="17"/>
        <v>0</v>
      </c>
      <c r="BE9" s="33"/>
      <c r="BF9" s="30"/>
      <c r="BG9" s="2">
        <f t="shared" si="18"/>
        <v>0</v>
      </c>
      <c r="BH9" s="33"/>
      <c r="BI9" s="30"/>
      <c r="BJ9" s="2">
        <f t="shared" si="19"/>
        <v>0</v>
      </c>
      <c r="BK9" s="33"/>
      <c r="BL9" s="30"/>
      <c r="BM9" s="2">
        <f t="shared" si="20"/>
        <v>0</v>
      </c>
      <c r="BN9" s="33"/>
      <c r="BO9" s="30"/>
      <c r="BP9" s="2">
        <f t="shared" si="21"/>
        <v>0</v>
      </c>
      <c r="BQ9" s="33"/>
      <c r="BR9" s="30"/>
      <c r="BS9" s="2">
        <f t="shared" si="22"/>
        <v>0</v>
      </c>
      <c r="BT9" s="70">
        <f t="shared" si="23"/>
        <v>0</v>
      </c>
      <c r="BU9" s="67">
        <f t="shared" si="23"/>
        <v>0</v>
      </c>
      <c r="BV9" s="51">
        <f t="shared" si="23"/>
        <v>0</v>
      </c>
      <c r="BW9" s="33"/>
      <c r="BX9" s="30"/>
      <c r="BY9" s="2">
        <f t="shared" si="24"/>
        <v>0</v>
      </c>
      <c r="BZ9" s="33"/>
      <c r="CA9" s="30"/>
      <c r="CB9" s="2">
        <f t="shared" si="25"/>
        <v>0</v>
      </c>
      <c r="CC9" s="33"/>
      <c r="CD9" s="30"/>
      <c r="CE9" s="2">
        <f t="shared" si="26"/>
        <v>0</v>
      </c>
      <c r="CF9" s="33"/>
      <c r="CG9" s="30"/>
      <c r="CH9" s="2">
        <f t="shared" si="27"/>
        <v>0</v>
      </c>
      <c r="CI9" s="33"/>
      <c r="CJ9" s="30"/>
      <c r="CK9" s="2">
        <f t="shared" si="28"/>
        <v>0</v>
      </c>
      <c r="CL9" s="33"/>
      <c r="CM9" s="30"/>
      <c r="CN9" s="2">
        <f t="shared" si="29"/>
        <v>0</v>
      </c>
      <c r="CO9" s="33"/>
      <c r="CP9" s="30"/>
      <c r="CQ9" s="2">
        <f t="shared" si="30"/>
        <v>0</v>
      </c>
      <c r="CR9" s="70">
        <f t="shared" si="31"/>
        <v>0</v>
      </c>
      <c r="CS9" s="67">
        <f t="shared" si="31"/>
        <v>0</v>
      </c>
      <c r="CT9" s="51">
        <f t="shared" si="31"/>
        <v>0</v>
      </c>
      <c r="CU9" s="33"/>
      <c r="CV9" s="30"/>
      <c r="CW9" s="2">
        <f t="shared" si="32"/>
        <v>0</v>
      </c>
      <c r="CX9" s="33"/>
      <c r="CY9" s="30"/>
      <c r="CZ9" s="2">
        <f t="shared" si="33"/>
        <v>0</v>
      </c>
      <c r="DA9" s="33"/>
      <c r="DB9" s="30"/>
      <c r="DC9" s="2">
        <f t="shared" si="34"/>
        <v>0</v>
      </c>
      <c r="DD9" s="33"/>
      <c r="DE9" s="30"/>
      <c r="DF9" s="2">
        <f t="shared" si="35"/>
        <v>0</v>
      </c>
      <c r="DG9" s="33"/>
      <c r="DH9" s="30"/>
      <c r="DI9" s="2">
        <f t="shared" si="36"/>
        <v>0</v>
      </c>
      <c r="DJ9" s="33"/>
      <c r="DK9" s="30"/>
      <c r="DL9" s="2">
        <f t="shared" si="37"/>
        <v>0</v>
      </c>
      <c r="DM9" s="33"/>
      <c r="DN9" s="30"/>
      <c r="DO9" s="2">
        <f t="shared" si="38"/>
        <v>0</v>
      </c>
      <c r="DP9" s="70">
        <f t="shared" si="39"/>
        <v>0</v>
      </c>
      <c r="DQ9" s="67">
        <f t="shared" si="39"/>
        <v>0</v>
      </c>
      <c r="DR9" s="51">
        <f t="shared" si="39"/>
        <v>0</v>
      </c>
      <c r="DS9" s="52">
        <f t="shared" si="40"/>
        <v>0</v>
      </c>
      <c r="DT9" s="53">
        <f t="shared" si="41"/>
        <v>12</v>
      </c>
      <c r="DU9" s="54">
        <f t="shared" si="41"/>
        <v>84000</v>
      </c>
    </row>
    <row r="10" spans="1:125" s="26" customFormat="1" ht="17.100000000000001" customHeight="1" thickBot="1" x14ac:dyDescent="0.25">
      <c r="A10" s="27" t="s">
        <v>52</v>
      </c>
      <c r="B10" s="19">
        <v>7000</v>
      </c>
      <c r="C10" s="29"/>
      <c r="D10" s="30"/>
      <c r="E10" s="2">
        <f t="shared" si="0"/>
        <v>0</v>
      </c>
      <c r="F10" s="29"/>
      <c r="G10" s="30">
        <v>2</v>
      </c>
      <c r="H10" s="2">
        <f t="shared" si="1"/>
        <v>14000</v>
      </c>
      <c r="I10" s="29"/>
      <c r="J10" s="30">
        <v>2</v>
      </c>
      <c r="K10" s="2">
        <f t="shared" si="2"/>
        <v>14000</v>
      </c>
      <c r="L10" s="31"/>
      <c r="M10" s="30">
        <v>1</v>
      </c>
      <c r="N10" s="2">
        <f t="shared" si="3"/>
        <v>7000</v>
      </c>
      <c r="O10" s="31"/>
      <c r="P10" s="30">
        <v>2</v>
      </c>
      <c r="Q10" s="2">
        <f t="shared" si="4"/>
        <v>14000</v>
      </c>
      <c r="R10" s="31"/>
      <c r="S10" s="30">
        <v>2</v>
      </c>
      <c r="T10" s="2">
        <f t="shared" si="5"/>
        <v>14000</v>
      </c>
      <c r="U10" s="33"/>
      <c r="V10" s="30">
        <v>2</v>
      </c>
      <c r="W10" s="64">
        <f t="shared" si="6"/>
        <v>14000</v>
      </c>
      <c r="X10" s="70">
        <f t="shared" si="7"/>
        <v>0</v>
      </c>
      <c r="Y10" s="67">
        <f t="shared" si="7"/>
        <v>11</v>
      </c>
      <c r="Z10" s="73">
        <f t="shared" si="7"/>
        <v>77000</v>
      </c>
      <c r="AA10" s="35"/>
      <c r="AB10" s="30">
        <v>2</v>
      </c>
      <c r="AC10" s="2">
        <f t="shared" si="8"/>
        <v>14000</v>
      </c>
      <c r="AD10" s="33"/>
      <c r="AE10" s="30"/>
      <c r="AF10" s="2">
        <f t="shared" si="9"/>
        <v>0</v>
      </c>
      <c r="AG10" s="33"/>
      <c r="AH10" s="30"/>
      <c r="AI10" s="2">
        <f t="shared" si="10"/>
        <v>0</v>
      </c>
      <c r="AJ10" s="33"/>
      <c r="AK10" s="30"/>
      <c r="AL10" s="2">
        <f t="shared" si="11"/>
        <v>0</v>
      </c>
      <c r="AM10" s="33"/>
      <c r="AN10" s="30"/>
      <c r="AO10" s="2">
        <f t="shared" si="12"/>
        <v>0</v>
      </c>
      <c r="AP10" s="33"/>
      <c r="AQ10" s="30"/>
      <c r="AR10" s="2">
        <f t="shared" si="13"/>
        <v>0</v>
      </c>
      <c r="AS10" s="33"/>
      <c r="AT10" s="30"/>
      <c r="AU10" s="2">
        <f t="shared" si="14"/>
        <v>0</v>
      </c>
      <c r="AV10" s="70">
        <f t="shared" si="15"/>
        <v>0</v>
      </c>
      <c r="AW10" s="67">
        <f t="shared" si="15"/>
        <v>2</v>
      </c>
      <c r="AX10" s="51">
        <f t="shared" si="15"/>
        <v>14000</v>
      </c>
      <c r="AY10" s="33"/>
      <c r="AZ10" s="30"/>
      <c r="BA10" s="2">
        <f t="shared" si="16"/>
        <v>0</v>
      </c>
      <c r="BB10" s="33"/>
      <c r="BC10" s="30"/>
      <c r="BD10" s="2">
        <f t="shared" si="17"/>
        <v>0</v>
      </c>
      <c r="BE10" s="33"/>
      <c r="BF10" s="30"/>
      <c r="BG10" s="2">
        <f t="shared" si="18"/>
        <v>0</v>
      </c>
      <c r="BH10" s="33"/>
      <c r="BI10" s="30"/>
      <c r="BJ10" s="2">
        <f t="shared" si="19"/>
        <v>0</v>
      </c>
      <c r="BK10" s="33"/>
      <c r="BL10" s="30"/>
      <c r="BM10" s="2">
        <f t="shared" si="20"/>
        <v>0</v>
      </c>
      <c r="BN10" s="33"/>
      <c r="BO10" s="30"/>
      <c r="BP10" s="2">
        <f t="shared" si="21"/>
        <v>0</v>
      </c>
      <c r="BQ10" s="33"/>
      <c r="BR10" s="30"/>
      <c r="BS10" s="2">
        <f t="shared" si="22"/>
        <v>0</v>
      </c>
      <c r="BT10" s="70">
        <f t="shared" si="23"/>
        <v>0</v>
      </c>
      <c r="BU10" s="67">
        <f t="shared" si="23"/>
        <v>0</v>
      </c>
      <c r="BV10" s="51">
        <f t="shared" si="23"/>
        <v>0</v>
      </c>
      <c r="BW10" s="33"/>
      <c r="BX10" s="30"/>
      <c r="BY10" s="2">
        <f t="shared" si="24"/>
        <v>0</v>
      </c>
      <c r="BZ10" s="33"/>
      <c r="CA10" s="30"/>
      <c r="CB10" s="2">
        <f t="shared" si="25"/>
        <v>0</v>
      </c>
      <c r="CC10" s="33"/>
      <c r="CD10" s="30"/>
      <c r="CE10" s="2">
        <f t="shared" si="26"/>
        <v>0</v>
      </c>
      <c r="CF10" s="33"/>
      <c r="CG10" s="30"/>
      <c r="CH10" s="2">
        <f t="shared" si="27"/>
        <v>0</v>
      </c>
      <c r="CI10" s="33"/>
      <c r="CJ10" s="30"/>
      <c r="CK10" s="2">
        <f t="shared" si="28"/>
        <v>0</v>
      </c>
      <c r="CL10" s="33"/>
      <c r="CM10" s="30"/>
      <c r="CN10" s="2">
        <f t="shared" si="29"/>
        <v>0</v>
      </c>
      <c r="CO10" s="33"/>
      <c r="CP10" s="30"/>
      <c r="CQ10" s="2">
        <f t="shared" si="30"/>
        <v>0</v>
      </c>
      <c r="CR10" s="70">
        <f t="shared" si="31"/>
        <v>0</v>
      </c>
      <c r="CS10" s="67">
        <f t="shared" si="31"/>
        <v>0</v>
      </c>
      <c r="CT10" s="51">
        <f t="shared" si="31"/>
        <v>0</v>
      </c>
      <c r="CU10" s="33"/>
      <c r="CV10" s="30"/>
      <c r="CW10" s="2">
        <f t="shared" si="32"/>
        <v>0</v>
      </c>
      <c r="CX10" s="33"/>
      <c r="CY10" s="30"/>
      <c r="CZ10" s="2">
        <f t="shared" si="33"/>
        <v>0</v>
      </c>
      <c r="DA10" s="33"/>
      <c r="DB10" s="30"/>
      <c r="DC10" s="2">
        <f t="shared" si="34"/>
        <v>0</v>
      </c>
      <c r="DD10" s="33"/>
      <c r="DE10" s="30"/>
      <c r="DF10" s="2">
        <f t="shared" si="35"/>
        <v>0</v>
      </c>
      <c r="DG10" s="33"/>
      <c r="DH10" s="30"/>
      <c r="DI10" s="2">
        <f t="shared" si="36"/>
        <v>0</v>
      </c>
      <c r="DJ10" s="33"/>
      <c r="DK10" s="30"/>
      <c r="DL10" s="2">
        <f t="shared" si="37"/>
        <v>0</v>
      </c>
      <c r="DM10" s="33"/>
      <c r="DN10" s="30"/>
      <c r="DO10" s="2">
        <f t="shared" si="38"/>
        <v>0</v>
      </c>
      <c r="DP10" s="70">
        <f t="shared" si="39"/>
        <v>0</v>
      </c>
      <c r="DQ10" s="67">
        <f t="shared" si="39"/>
        <v>0</v>
      </c>
      <c r="DR10" s="51">
        <f t="shared" si="39"/>
        <v>0</v>
      </c>
      <c r="DS10" s="52">
        <f t="shared" si="40"/>
        <v>0</v>
      </c>
      <c r="DT10" s="53">
        <f t="shared" si="41"/>
        <v>13</v>
      </c>
      <c r="DU10" s="54">
        <f t="shared" si="41"/>
        <v>91000</v>
      </c>
    </row>
    <row r="11" spans="1:125" s="26" customFormat="1" ht="17.100000000000001" customHeight="1" thickBot="1" x14ac:dyDescent="0.25">
      <c r="A11" s="27" t="s">
        <v>29</v>
      </c>
      <c r="B11" s="19">
        <v>7000</v>
      </c>
      <c r="C11" s="29"/>
      <c r="D11" s="30"/>
      <c r="E11" s="2">
        <f t="shared" si="0"/>
        <v>0</v>
      </c>
      <c r="F11" s="29"/>
      <c r="G11" s="30">
        <v>2</v>
      </c>
      <c r="H11" s="2">
        <f t="shared" si="1"/>
        <v>14000</v>
      </c>
      <c r="I11" s="29"/>
      <c r="J11" s="30">
        <v>2</v>
      </c>
      <c r="K11" s="2">
        <f t="shared" si="2"/>
        <v>14000</v>
      </c>
      <c r="L11" s="31"/>
      <c r="M11" s="30">
        <v>2</v>
      </c>
      <c r="N11" s="2">
        <f t="shared" si="3"/>
        <v>14000</v>
      </c>
      <c r="O11" s="31"/>
      <c r="P11" s="30">
        <v>1</v>
      </c>
      <c r="Q11" s="2">
        <f t="shared" si="4"/>
        <v>7000</v>
      </c>
      <c r="R11" s="31"/>
      <c r="S11" s="30">
        <v>2</v>
      </c>
      <c r="T11" s="2">
        <f t="shared" si="5"/>
        <v>14000</v>
      </c>
      <c r="U11" s="33"/>
      <c r="V11" s="30"/>
      <c r="W11" s="64">
        <f t="shared" si="6"/>
        <v>0</v>
      </c>
      <c r="X11" s="70">
        <f t="shared" si="7"/>
        <v>0</v>
      </c>
      <c r="Y11" s="67">
        <f t="shared" si="7"/>
        <v>9</v>
      </c>
      <c r="Z11" s="73">
        <f t="shared" si="7"/>
        <v>63000</v>
      </c>
      <c r="AA11" s="35"/>
      <c r="AB11" s="30">
        <v>2</v>
      </c>
      <c r="AC11" s="2">
        <f t="shared" si="8"/>
        <v>14000</v>
      </c>
      <c r="AD11" s="33"/>
      <c r="AE11" s="30"/>
      <c r="AF11" s="2">
        <f t="shared" si="9"/>
        <v>0</v>
      </c>
      <c r="AG11" s="33"/>
      <c r="AH11" s="30"/>
      <c r="AI11" s="2">
        <f t="shared" si="10"/>
        <v>0</v>
      </c>
      <c r="AJ11" s="33"/>
      <c r="AK11" s="30"/>
      <c r="AL11" s="2">
        <f t="shared" si="11"/>
        <v>0</v>
      </c>
      <c r="AM11" s="33"/>
      <c r="AN11" s="30"/>
      <c r="AO11" s="2">
        <f t="shared" si="12"/>
        <v>0</v>
      </c>
      <c r="AP11" s="33"/>
      <c r="AQ11" s="30"/>
      <c r="AR11" s="2">
        <f t="shared" si="13"/>
        <v>0</v>
      </c>
      <c r="AS11" s="33"/>
      <c r="AT11" s="30"/>
      <c r="AU11" s="2">
        <f t="shared" si="14"/>
        <v>0</v>
      </c>
      <c r="AV11" s="70">
        <f t="shared" si="15"/>
        <v>0</v>
      </c>
      <c r="AW11" s="67">
        <f t="shared" si="15"/>
        <v>2</v>
      </c>
      <c r="AX11" s="51">
        <f t="shared" si="15"/>
        <v>14000</v>
      </c>
      <c r="AY11" s="33"/>
      <c r="AZ11" s="30"/>
      <c r="BA11" s="2">
        <f t="shared" si="16"/>
        <v>0</v>
      </c>
      <c r="BB11" s="33"/>
      <c r="BC11" s="30"/>
      <c r="BD11" s="2">
        <f t="shared" si="17"/>
        <v>0</v>
      </c>
      <c r="BE11" s="33"/>
      <c r="BF11" s="30"/>
      <c r="BG11" s="2">
        <f t="shared" si="18"/>
        <v>0</v>
      </c>
      <c r="BH11" s="33"/>
      <c r="BI11" s="30"/>
      <c r="BJ11" s="2">
        <f t="shared" si="19"/>
        <v>0</v>
      </c>
      <c r="BK11" s="33"/>
      <c r="BL11" s="30"/>
      <c r="BM11" s="2">
        <f t="shared" si="20"/>
        <v>0</v>
      </c>
      <c r="BN11" s="33"/>
      <c r="BO11" s="30"/>
      <c r="BP11" s="2">
        <f t="shared" si="21"/>
        <v>0</v>
      </c>
      <c r="BQ11" s="33"/>
      <c r="BR11" s="30"/>
      <c r="BS11" s="2">
        <f t="shared" si="22"/>
        <v>0</v>
      </c>
      <c r="BT11" s="70">
        <f t="shared" si="23"/>
        <v>0</v>
      </c>
      <c r="BU11" s="67">
        <f t="shared" si="23"/>
        <v>0</v>
      </c>
      <c r="BV11" s="51">
        <f t="shared" si="23"/>
        <v>0</v>
      </c>
      <c r="BW11" s="33"/>
      <c r="BX11" s="30"/>
      <c r="BY11" s="2">
        <f t="shared" si="24"/>
        <v>0</v>
      </c>
      <c r="BZ11" s="33"/>
      <c r="CA11" s="30"/>
      <c r="CB11" s="2">
        <f t="shared" si="25"/>
        <v>0</v>
      </c>
      <c r="CC11" s="33"/>
      <c r="CD11" s="30"/>
      <c r="CE11" s="2">
        <f t="shared" si="26"/>
        <v>0</v>
      </c>
      <c r="CF11" s="33"/>
      <c r="CG11" s="30"/>
      <c r="CH11" s="2">
        <f t="shared" si="27"/>
        <v>0</v>
      </c>
      <c r="CI11" s="33"/>
      <c r="CJ11" s="30"/>
      <c r="CK11" s="2">
        <f t="shared" si="28"/>
        <v>0</v>
      </c>
      <c r="CL11" s="33"/>
      <c r="CM11" s="30"/>
      <c r="CN11" s="2">
        <f t="shared" si="29"/>
        <v>0</v>
      </c>
      <c r="CO11" s="33"/>
      <c r="CP11" s="30"/>
      <c r="CQ11" s="2">
        <f t="shared" si="30"/>
        <v>0</v>
      </c>
      <c r="CR11" s="70">
        <f t="shared" si="31"/>
        <v>0</v>
      </c>
      <c r="CS11" s="67">
        <f t="shared" si="31"/>
        <v>0</v>
      </c>
      <c r="CT11" s="51">
        <f t="shared" si="31"/>
        <v>0</v>
      </c>
      <c r="CU11" s="33"/>
      <c r="CV11" s="30"/>
      <c r="CW11" s="2">
        <f t="shared" si="32"/>
        <v>0</v>
      </c>
      <c r="CX11" s="33"/>
      <c r="CY11" s="30"/>
      <c r="CZ11" s="2">
        <f t="shared" si="33"/>
        <v>0</v>
      </c>
      <c r="DA11" s="33"/>
      <c r="DB11" s="30"/>
      <c r="DC11" s="2">
        <f t="shared" si="34"/>
        <v>0</v>
      </c>
      <c r="DD11" s="33"/>
      <c r="DE11" s="30"/>
      <c r="DF11" s="2">
        <f t="shared" si="35"/>
        <v>0</v>
      </c>
      <c r="DG11" s="33"/>
      <c r="DH11" s="30"/>
      <c r="DI11" s="2">
        <f t="shared" si="36"/>
        <v>0</v>
      </c>
      <c r="DJ11" s="33"/>
      <c r="DK11" s="30"/>
      <c r="DL11" s="2">
        <f t="shared" si="37"/>
        <v>0</v>
      </c>
      <c r="DM11" s="33"/>
      <c r="DN11" s="30"/>
      <c r="DO11" s="2">
        <f t="shared" si="38"/>
        <v>0</v>
      </c>
      <c r="DP11" s="70">
        <f t="shared" si="39"/>
        <v>0</v>
      </c>
      <c r="DQ11" s="67">
        <f t="shared" si="39"/>
        <v>0</v>
      </c>
      <c r="DR11" s="51">
        <f t="shared" si="39"/>
        <v>0</v>
      </c>
      <c r="DS11" s="52">
        <f t="shared" si="40"/>
        <v>0</v>
      </c>
      <c r="DT11" s="53">
        <f t="shared" si="41"/>
        <v>11</v>
      </c>
      <c r="DU11" s="54">
        <f t="shared" si="41"/>
        <v>77000</v>
      </c>
    </row>
    <row r="12" spans="1:125" s="26" customFormat="1" ht="17.100000000000001" customHeight="1" thickBot="1" x14ac:dyDescent="0.25">
      <c r="A12" s="27" t="s">
        <v>30</v>
      </c>
      <c r="B12" s="19">
        <v>7000</v>
      </c>
      <c r="C12" s="29"/>
      <c r="D12" s="30"/>
      <c r="E12" s="2">
        <f t="shared" si="0"/>
        <v>0</v>
      </c>
      <c r="F12" s="29"/>
      <c r="G12" s="99">
        <v>2.5</v>
      </c>
      <c r="H12" s="2">
        <f t="shared" si="1"/>
        <v>17500</v>
      </c>
      <c r="I12" s="29">
        <v>30000</v>
      </c>
      <c r="J12" s="30"/>
      <c r="K12" s="2"/>
      <c r="L12" s="33"/>
      <c r="M12" s="30"/>
      <c r="N12" s="2">
        <f t="shared" si="3"/>
        <v>0</v>
      </c>
      <c r="O12" s="31">
        <v>20000</v>
      </c>
      <c r="P12" s="30"/>
      <c r="Q12" s="2">
        <f t="shared" si="4"/>
        <v>0</v>
      </c>
      <c r="R12" s="31"/>
      <c r="S12" s="30">
        <v>2</v>
      </c>
      <c r="T12" s="2">
        <f t="shared" si="5"/>
        <v>14000</v>
      </c>
      <c r="U12" s="33"/>
      <c r="V12" s="30"/>
      <c r="W12" s="64">
        <f t="shared" si="6"/>
        <v>0</v>
      </c>
      <c r="X12" s="70">
        <f t="shared" si="7"/>
        <v>50000</v>
      </c>
      <c r="Y12" s="100">
        <f t="shared" si="7"/>
        <v>4.5</v>
      </c>
      <c r="Z12" s="73">
        <f t="shared" si="7"/>
        <v>31500</v>
      </c>
      <c r="AA12" s="35"/>
      <c r="AB12" s="30"/>
      <c r="AC12" s="2">
        <f t="shared" si="8"/>
        <v>0</v>
      </c>
      <c r="AD12" s="33"/>
      <c r="AE12" s="30"/>
      <c r="AF12" s="2">
        <f t="shared" si="9"/>
        <v>0</v>
      </c>
      <c r="AG12" s="33"/>
      <c r="AH12" s="30"/>
      <c r="AI12" s="2">
        <f t="shared" si="10"/>
        <v>0</v>
      </c>
      <c r="AJ12" s="33"/>
      <c r="AK12" s="30"/>
      <c r="AL12" s="2">
        <f t="shared" si="11"/>
        <v>0</v>
      </c>
      <c r="AM12" s="33"/>
      <c r="AN12" s="30"/>
      <c r="AO12" s="2">
        <f t="shared" si="12"/>
        <v>0</v>
      </c>
      <c r="AP12" s="33"/>
      <c r="AQ12" s="30"/>
      <c r="AR12" s="2">
        <f t="shared" si="13"/>
        <v>0</v>
      </c>
      <c r="AS12" s="33"/>
      <c r="AT12" s="30"/>
      <c r="AU12" s="2">
        <f t="shared" si="14"/>
        <v>0</v>
      </c>
      <c r="AV12" s="70">
        <f t="shared" si="15"/>
        <v>0</v>
      </c>
      <c r="AW12" s="67">
        <f t="shared" si="15"/>
        <v>0</v>
      </c>
      <c r="AX12" s="51">
        <f t="shared" si="15"/>
        <v>0</v>
      </c>
      <c r="AY12" s="33"/>
      <c r="AZ12" s="30"/>
      <c r="BA12" s="2">
        <f t="shared" si="16"/>
        <v>0</v>
      </c>
      <c r="BB12" s="33"/>
      <c r="BC12" s="30"/>
      <c r="BD12" s="2">
        <f t="shared" si="17"/>
        <v>0</v>
      </c>
      <c r="BE12" s="33"/>
      <c r="BF12" s="30"/>
      <c r="BG12" s="2">
        <f t="shared" si="18"/>
        <v>0</v>
      </c>
      <c r="BH12" s="33"/>
      <c r="BI12" s="30"/>
      <c r="BJ12" s="2">
        <f t="shared" si="19"/>
        <v>0</v>
      </c>
      <c r="BK12" s="33"/>
      <c r="BL12" s="30"/>
      <c r="BM12" s="2">
        <f t="shared" si="20"/>
        <v>0</v>
      </c>
      <c r="BN12" s="33"/>
      <c r="BO12" s="30"/>
      <c r="BP12" s="2">
        <f t="shared" si="21"/>
        <v>0</v>
      </c>
      <c r="BQ12" s="33"/>
      <c r="BR12" s="30"/>
      <c r="BS12" s="2">
        <f t="shared" si="22"/>
        <v>0</v>
      </c>
      <c r="BT12" s="70">
        <f t="shared" si="23"/>
        <v>0</v>
      </c>
      <c r="BU12" s="67">
        <f t="shared" si="23"/>
        <v>0</v>
      </c>
      <c r="BV12" s="51">
        <f t="shared" si="23"/>
        <v>0</v>
      </c>
      <c r="BW12" s="33"/>
      <c r="BX12" s="30"/>
      <c r="BY12" s="2">
        <f t="shared" si="24"/>
        <v>0</v>
      </c>
      <c r="BZ12" s="33"/>
      <c r="CA12" s="30"/>
      <c r="CB12" s="2">
        <f t="shared" si="25"/>
        <v>0</v>
      </c>
      <c r="CC12" s="33"/>
      <c r="CD12" s="30"/>
      <c r="CE12" s="2">
        <f t="shared" si="26"/>
        <v>0</v>
      </c>
      <c r="CF12" s="33"/>
      <c r="CG12" s="30"/>
      <c r="CH12" s="2">
        <f t="shared" si="27"/>
        <v>0</v>
      </c>
      <c r="CI12" s="33"/>
      <c r="CJ12" s="30"/>
      <c r="CK12" s="2">
        <f t="shared" si="28"/>
        <v>0</v>
      </c>
      <c r="CL12" s="33"/>
      <c r="CM12" s="30"/>
      <c r="CN12" s="2">
        <f t="shared" si="29"/>
        <v>0</v>
      </c>
      <c r="CO12" s="33"/>
      <c r="CP12" s="30"/>
      <c r="CQ12" s="2">
        <f t="shared" si="30"/>
        <v>0</v>
      </c>
      <c r="CR12" s="70">
        <f t="shared" si="31"/>
        <v>0</v>
      </c>
      <c r="CS12" s="67">
        <f t="shared" si="31"/>
        <v>0</v>
      </c>
      <c r="CT12" s="51">
        <f t="shared" si="31"/>
        <v>0</v>
      </c>
      <c r="CU12" s="33"/>
      <c r="CV12" s="30"/>
      <c r="CW12" s="2">
        <f t="shared" si="32"/>
        <v>0</v>
      </c>
      <c r="CX12" s="33"/>
      <c r="CY12" s="30"/>
      <c r="CZ12" s="2">
        <f t="shared" si="33"/>
        <v>0</v>
      </c>
      <c r="DA12" s="33"/>
      <c r="DB12" s="30"/>
      <c r="DC12" s="2">
        <f t="shared" si="34"/>
        <v>0</v>
      </c>
      <c r="DD12" s="33"/>
      <c r="DE12" s="30"/>
      <c r="DF12" s="2">
        <f t="shared" si="35"/>
        <v>0</v>
      </c>
      <c r="DG12" s="33"/>
      <c r="DH12" s="30"/>
      <c r="DI12" s="2">
        <f t="shared" si="36"/>
        <v>0</v>
      </c>
      <c r="DJ12" s="33"/>
      <c r="DK12" s="30"/>
      <c r="DL12" s="2">
        <f t="shared" si="37"/>
        <v>0</v>
      </c>
      <c r="DM12" s="33"/>
      <c r="DN12" s="30"/>
      <c r="DO12" s="2">
        <f t="shared" si="38"/>
        <v>0</v>
      </c>
      <c r="DP12" s="70">
        <f t="shared" si="39"/>
        <v>0</v>
      </c>
      <c r="DQ12" s="67">
        <f t="shared" si="39"/>
        <v>0</v>
      </c>
      <c r="DR12" s="51">
        <f t="shared" si="39"/>
        <v>0</v>
      </c>
      <c r="DS12" s="52">
        <f t="shared" si="40"/>
        <v>50000</v>
      </c>
      <c r="DT12" s="107">
        <f t="shared" si="41"/>
        <v>4.5</v>
      </c>
      <c r="DU12" s="54">
        <f t="shared" si="41"/>
        <v>31500</v>
      </c>
    </row>
    <row r="13" spans="1:125" s="26" customFormat="1" ht="17.100000000000001" customHeight="1" thickBot="1" x14ac:dyDescent="0.25">
      <c r="A13" s="27" t="s">
        <v>31</v>
      </c>
      <c r="B13" s="19">
        <v>7000</v>
      </c>
      <c r="C13" s="29"/>
      <c r="D13" s="30"/>
      <c r="E13" s="2">
        <f t="shared" si="0"/>
        <v>0</v>
      </c>
      <c r="F13" s="29"/>
      <c r="G13" s="99">
        <v>1.5</v>
      </c>
      <c r="H13" s="2">
        <f t="shared" si="1"/>
        <v>10500</v>
      </c>
      <c r="I13" s="29"/>
      <c r="J13" s="99">
        <v>1.5</v>
      </c>
      <c r="K13" s="2">
        <f t="shared" si="2"/>
        <v>10500</v>
      </c>
      <c r="L13" s="31"/>
      <c r="M13" s="30">
        <v>2</v>
      </c>
      <c r="N13" s="2">
        <f t="shared" si="3"/>
        <v>14000</v>
      </c>
      <c r="O13" s="31"/>
      <c r="P13" s="30">
        <v>1</v>
      </c>
      <c r="Q13" s="2">
        <f t="shared" si="4"/>
        <v>7000</v>
      </c>
      <c r="R13" s="31"/>
      <c r="S13" s="30">
        <v>1</v>
      </c>
      <c r="T13" s="2">
        <f t="shared" si="5"/>
        <v>7000</v>
      </c>
      <c r="U13" s="33"/>
      <c r="V13" s="30">
        <v>1</v>
      </c>
      <c r="W13" s="64">
        <f t="shared" si="6"/>
        <v>7000</v>
      </c>
      <c r="X13" s="70">
        <f t="shared" si="7"/>
        <v>0</v>
      </c>
      <c r="Y13" s="67">
        <f t="shared" si="7"/>
        <v>8</v>
      </c>
      <c r="Z13" s="73">
        <f t="shared" si="7"/>
        <v>56000</v>
      </c>
      <c r="AA13" s="35"/>
      <c r="AB13" s="30">
        <v>1</v>
      </c>
      <c r="AC13" s="2">
        <f t="shared" si="8"/>
        <v>7000</v>
      </c>
      <c r="AD13" s="33"/>
      <c r="AE13" s="30"/>
      <c r="AF13" s="2">
        <f t="shared" si="9"/>
        <v>0</v>
      </c>
      <c r="AG13" s="33"/>
      <c r="AH13" s="30"/>
      <c r="AI13" s="2">
        <f t="shared" si="10"/>
        <v>0</v>
      </c>
      <c r="AJ13" s="33"/>
      <c r="AK13" s="30"/>
      <c r="AL13" s="2">
        <f t="shared" si="11"/>
        <v>0</v>
      </c>
      <c r="AM13" s="33"/>
      <c r="AN13" s="30"/>
      <c r="AO13" s="2">
        <f t="shared" si="12"/>
        <v>0</v>
      </c>
      <c r="AP13" s="33"/>
      <c r="AQ13" s="30"/>
      <c r="AR13" s="2">
        <f t="shared" si="13"/>
        <v>0</v>
      </c>
      <c r="AS13" s="33"/>
      <c r="AT13" s="30"/>
      <c r="AU13" s="2">
        <f t="shared" si="14"/>
        <v>0</v>
      </c>
      <c r="AV13" s="70">
        <f t="shared" ref="AV13:AV15" si="42">AA13+AD13+AG13+AJ13+AM13+AP13+AS13</f>
        <v>0</v>
      </c>
      <c r="AW13" s="67">
        <f t="shared" ref="AW13:AW15" si="43">AB13+AE13+AH13+AK13+AN13+AQ13+AT13</f>
        <v>1</v>
      </c>
      <c r="AX13" s="51">
        <f t="shared" ref="AX13:AX15" si="44">AC13+AF13+AI13+AL13+AO13+AR13+AU13</f>
        <v>7000</v>
      </c>
      <c r="AY13" s="33"/>
      <c r="AZ13" s="30"/>
      <c r="BA13" s="2">
        <f t="shared" si="16"/>
        <v>0</v>
      </c>
      <c r="BB13" s="33"/>
      <c r="BC13" s="30"/>
      <c r="BD13" s="2">
        <f t="shared" si="17"/>
        <v>0</v>
      </c>
      <c r="BE13" s="33"/>
      <c r="BF13" s="30"/>
      <c r="BG13" s="2">
        <f t="shared" si="18"/>
        <v>0</v>
      </c>
      <c r="BH13" s="33"/>
      <c r="BI13" s="30"/>
      <c r="BJ13" s="2">
        <f t="shared" si="19"/>
        <v>0</v>
      </c>
      <c r="BK13" s="33"/>
      <c r="BL13" s="30"/>
      <c r="BM13" s="2">
        <f t="shared" si="20"/>
        <v>0</v>
      </c>
      <c r="BN13" s="33"/>
      <c r="BO13" s="30"/>
      <c r="BP13" s="2">
        <f t="shared" si="21"/>
        <v>0</v>
      </c>
      <c r="BQ13" s="33"/>
      <c r="BR13" s="30"/>
      <c r="BS13" s="2">
        <f t="shared" si="22"/>
        <v>0</v>
      </c>
      <c r="BT13" s="70">
        <f t="shared" ref="BT13:BT15" si="45">AY13+BB13+BE13+BH13+BK13+BN13+BQ13</f>
        <v>0</v>
      </c>
      <c r="BU13" s="67">
        <f t="shared" ref="BU13:BU15" si="46">AZ13+BC13+BF13+BI13+BL13+BO13+BR13</f>
        <v>0</v>
      </c>
      <c r="BV13" s="51">
        <f t="shared" ref="BV13:BV15" si="47">BA13+BD13+BG13+BJ13+BM13+BP13+BS13</f>
        <v>0</v>
      </c>
      <c r="BW13" s="33"/>
      <c r="BX13" s="30"/>
      <c r="BY13" s="2">
        <f t="shared" si="24"/>
        <v>0</v>
      </c>
      <c r="BZ13" s="33"/>
      <c r="CA13" s="30"/>
      <c r="CB13" s="2">
        <f t="shared" si="25"/>
        <v>0</v>
      </c>
      <c r="CC13" s="33"/>
      <c r="CD13" s="30"/>
      <c r="CE13" s="2">
        <f t="shared" si="26"/>
        <v>0</v>
      </c>
      <c r="CF13" s="33"/>
      <c r="CG13" s="30"/>
      <c r="CH13" s="2">
        <f t="shared" si="27"/>
        <v>0</v>
      </c>
      <c r="CI13" s="33"/>
      <c r="CJ13" s="30"/>
      <c r="CK13" s="2">
        <f t="shared" si="28"/>
        <v>0</v>
      </c>
      <c r="CL13" s="33"/>
      <c r="CM13" s="30"/>
      <c r="CN13" s="2">
        <f t="shared" si="29"/>
        <v>0</v>
      </c>
      <c r="CO13" s="33"/>
      <c r="CP13" s="30"/>
      <c r="CQ13" s="2">
        <f t="shared" si="30"/>
        <v>0</v>
      </c>
      <c r="CR13" s="70">
        <f t="shared" si="31"/>
        <v>0</v>
      </c>
      <c r="CS13" s="67">
        <f t="shared" si="31"/>
        <v>0</v>
      </c>
      <c r="CT13" s="51">
        <f t="shared" si="31"/>
        <v>0</v>
      </c>
      <c r="CU13" s="33"/>
      <c r="CV13" s="30"/>
      <c r="CW13" s="2">
        <f t="shared" si="32"/>
        <v>0</v>
      </c>
      <c r="CX13" s="33"/>
      <c r="CY13" s="30"/>
      <c r="CZ13" s="2">
        <f t="shared" si="33"/>
        <v>0</v>
      </c>
      <c r="DA13" s="33"/>
      <c r="DB13" s="30"/>
      <c r="DC13" s="2">
        <f t="shared" si="34"/>
        <v>0</v>
      </c>
      <c r="DD13" s="33"/>
      <c r="DE13" s="30"/>
      <c r="DF13" s="2">
        <f t="shared" si="35"/>
        <v>0</v>
      </c>
      <c r="DG13" s="33"/>
      <c r="DH13" s="30"/>
      <c r="DI13" s="2">
        <f t="shared" si="36"/>
        <v>0</v>
      </c>
      <c r="DJ13" s="33"/>
      <c r="DK13" s="30"/>
      <c r="DL13" s="2">
        <f t="shared" si="37"/>
        <v>0</v>
      </c>
      <c r="DM13" s="33"/>
      <c r="DN13" s="30"/>
      <c r="DO13" s="2">
        <f t="shared" si="38"/>
        <v>0</v>
      </c>
      <c r="DP13" s="70">
        <f t="shared" ref="DP13:DP15" si="48">CU13+CX13+DA13+DD13+DG13+DJ13+DM13</f>
        <v>0</v>
      </c>
      <c r="DQ13" s="67">
        <f t="shared" ref="DQ13:DQ15" si="49">CV13+CY13+DB13+DE13+DH13+DK13+DN13</f>
        <v>0</v>
      </c>
      <c r="DR13" s="51">
        <f t="shared" ref="DR13:DR15" si="50">CW13+CZ13+DC13+DF13+DI13+DL13+DO13</f>
        <v>0</v>
      </c>
      <c r="DS13" s="52">
        <f>X13+AV13+CR13+DP13</f>
        <v>0</v>
      </c>
      <c r="DT13" s="53">
        <f>Y13+AW13+BU13+CS13+DQ13</f>
        <v>9</v>
      </c>
      <c r="DU13" s="54">
        <f>Z13+AX13+BV13+CT13+DR13</f>
        <v>63000</v>
      </c>
    </row>
    <row r="14" spans="1:125" s="26" customFormat="1" ht="17.100000000000001" customHeight="1" thickBot="1" x14ac:dyDescent="0.25">
      <c r="A14" s="27" t="s">
        <v>59</v>
      </c>
      <c r="B14" s="19">
        <v>6000</v>
      </c>
      <c r="C14" s="29"/>
      <c r="D14" s="30"/>
      <c r="E14" s="2">
        <f t="shared" si="0"/>
        <v>0</v>
      </c>
      <c r="F14" s="29"/>
      <c r="G14" s="99"/>
      <c r="H14" s="2">
        <f t="shared" ref="H14:H15" si="51">$B14*G14</f>
        <v>0</v>
      </c>
      <c r="I14" s="29"/>
      <c r="J14" s="99"/>
      <c r="K14" s="2">
        <f t="shared" si="2"/>
        <v>0</v>
      </c>
      <c r="L14" s="31"/>
      <c r="M14" s="30"/>
      <c r="N14" s="2">
        <f t="shared" si="3"/>
        <v>0</v>
      </c>
      <c r="O14" s="31"/>
      <c r="P14" s="30">
        <v>2</v>
      </c>
      <c r="Q14" s="2">
        <f t="shared" si="4"/>
        <v>12000</v>
      </c>
      <c r="R14" s="31"/>
      <c r="S14" s="30">
        <v>2</v>
      </c>
      <c r="T14" s="2">
        <f t="shared" si="5"/>
        <v>12000</v>
      </c>
      <c r="U14" s="33"/>
      <c r="V14" s="99">
        <v>1.5</v>
      </c>
      <c r="W14" s="64">
        <f t="shared" si="6"/>
        <v>9000</v>
      </c>
      <c r="X14" s="70">
        <f t="shared" si="7"/>
        <v>0</v>
      </c>
      <c r="Y14" s="100">
        <f t="shared" si="7"/>
        <v>5.5</v>
      </c>
      <c r="Z14" s="73">
        <f t="shared" si="7"/>
        <v>33000</v>
      </c>
      <c r="AA14" s="35"/>
      <c r="AB14" s="30">
        <v>2</v>
      </c>
      <c r="AC14" s="2">
        <f t="shared" si="8"/>
        <v>12000</v>
      </c>
      <c r="AD14" s="33"/>
      <c r="AE14" s="30"/>
      <c r="AF14" s="2">
        <f t="shared" si="9"/>
        <v>0</v>
      </c>
      <c r="AG14" s="33"/>
      <c r="AH14" s="30"/>
      <c r="AI14" s="2">
        <f t="shared" si="10"/>
        <v>0</v>
      </c>
      <c r="AJ14" s="33"/>
      <c r="AK14" s="30"/>
      <c r="AL14" s="2">
        <f t="shared" si="11"/>
        <v>0</v>
      </c>
      <c r="AM14" s="33"/>
      <c r="AN14" s="30"/>
      <c r="AO14" s="2">
        <f t="shared" si="12"/>
        <v>0</v>
      </c>
      <c r="AP14" s="33"/>
      <c r="AQ14" s="30"/>
      <c r="AR14" s="2">
        <f t="shared" si="13"/>
        <v>0</v>
      </c>
      <c r="AS14" s="33"/>
      <c r="AT14" s="30"/>
      <c r="AU14" s="2">
        <f t="shared" si="14"/>
        <v>0</v>
      </c>
      <c r="AV14" s="70">
        <f t="shared" si="42"/>
        <v>0</v>
      </c>
      <c r="AW14" s="67">
        <f t="shared" si="43"/>
        <v>2</v>
      </c>
      <c r="AX14" s="51">
        <f t="shared" si="44"/>
        <v>12000</v>
      </c>
      <c r="AY14" s="33"/>
      <c r="AZ14" s="30"/>
      <c r="BA14" s="2">
        <f t="shared" si="16"/>
        <v>0</v>
      </c>
      <c r="BB14" s="33"/>
      <c r="BC14" s="30"/>
      <c r="BD14" s="2">
        <f t="shared" si="17"/>
        <v>0</v>
      </c>
      <c r="BE14" s="33"/>
      <c r="BF14" s="30"/>
      <c r="BG14" s="2">
        <f t="shared" si="18"/>
        <v>0</v>
      </c>
      <c r="BH14" s="33"/>
      <c r="BI14" s="30"/>
      <c r="BJ14" s="2">
        <f t="shared" si="19"/>
        <v>0</v>
      </c>
      <c r="BK14" s="33"/>
      <c r="BL14" s="30"/>
      <c r="BM14" s="2">
        <f t="shared" si="20"/>
        <v>0</v>
      </c>
      <c r="BN14" s="33"/>
      <c r="BO14" s="30"/>
      <c r="BP14" s="2">
        <f t="shared" si="21"/>
        <v>0</v>
      </c>
      <c r="BQ14" s="33"/>
      <c r="BR14" s="30"/>
      <c r="BS14" s="2">
        <f t="shared" si="22"/>
        <v>0</v>
      </c>
      <c r="BT14" s="70">
        <f t="shared" si="45"/>
        <v>0</v>
      </c>
      <c r="BU14" s="67">
        <f t="shared" si="46"/>
        <v>0</v>
      </c>
      <c r="BV14" s="51">
        <f t="shared" si="47"/>
        <v>0</v>
      </c>
      <c r="BW14" s="33"/>
      <c r="BX14" s="30"/>
      <c r="BY14" s="2">
        <f t="shared" si="24"/>
        <v>0</v>
      </c>
      <c r="BZ14" s="33"/>
      <c r="CA14" s="30"/>
      <c r="CB14" s="2">
        <f t="shared" si="25"/>
        <v>0</v>
      </c>
      <c r="CC14" s="33"/>
      <c r="CD14" s="30"/>
      <c r="CE14" s="2">
        <f t="shared" si="26"/>
        <v>0</v>
      </c>
      <c r="CF14" s="33"/>
      <c r="CG14" s="30"/>
      <c r="CH14" s="2">
        <f t="shared" si="27"/>
        <v>0</v>
      </c>
      <c r="CI14" s="33"/>
      <c r="CJ14" s="30"/>
      <c r="CK14" s="2">
        <f t="shared" si="28"/>
        <v>0</v>
      </c>
      <c r="CL14" s="33"/>
      <c r="CM14" s="30"/>
      <c r="CN14" s="2">
        <f t="shared" si="29"/>
        <v>0</v>
      </c>
      <c r="CO14" s="33"/>
      <c r="CP14" s="30"/>
      <c r="CQ14" s="2">
        <f t="shared" si="30"/>
        <v>0</v>
      </c>
      <c r="CR14" s="70">
        <f t="shared" ref="CR14:CR15" si="52">BW14+BZ14+CC14+CF14+CI14+CL14+CO14</f>
        <v>0</v>
      </c>
      <c r="CS14" s="67">
        <f t="shared" ref="CS14:CS15" si="53">BX14+CA14+CD14+CG14+CJ14+CM14+CP14</f>
        <v>0</v>
      </c>
      <c r="CT14" s="51">
        <f t="shared" ref="CT14:CT15" si="54">BY14+CB14+CE14+CH14+CK14+CN14+CQ14</f>
        <v>0</v>
      </c>
      <c r="CU14" s="33"/>
      <c r="CV14" s="30"/>
      <c r="CW14" s="2">
        <f t="shared" si="32"/>
        <v>0</v>
      </c>
      <c r="CX14" s="33"/>
      <c r="CY14" s="30"/>
      <c r="CZ14" s="2">
        <f t="shared" si="33"/>
        <v>0</v>
      </c>
      <c r="DA14" s="33"/>
      <c r="DB14" s="30"/>
      <c r="DC14" s="2">
        <f t="shared" si="34"/>
        <v>0</v>
      </c>
      <c r="DD14" s="33"/>
      <c r="DE14" s="30"/>
      <c r="DF14" s="2">
        <f t="shared" si="35"/>
        <v>0</v>
      </c>
      <c r="DG14" s="33"/>
      <c r="DH14" s="30"/>
      <c r="DI14" s="2">
        <f t="shared" si="36"/>
        <v>0</v>
      </c>
      <c r="DJ14" s="33"/>
      <c r="DK14" s="30"/>
      <c r="DL14" s="2">
        <f t="shared" si="37"/>
        <v>0</v>
      </c>
      <c r="DM14" s="33"/>
      <c r="DN14" s="30"/>
      <c r="DO14" s="2">
        <f t="shared" si="38"/>
        <v>0</v>
      </c>
      <c r="DP14" s="70">
        <f t="shared" si="48"/>
        <v>0</v>
      </c>
      <c r="DQ14" s="67">
        <f t="shared" si="49"/>
        <v>0</v>
      </c>
      <c r="DR14" s="51">
        <f t="shared" si="50"/>
        <v>0</v>
      </c>
      <c r="DS14" s="52">
        <f t="shared" ref="DS14:DS15" si="55">X14+AV14+CR14+DP14</f>
        <v>0</v>
      </c>
      <c r="DT14" s="53">
        <f t="shared" ref="DT14:DT15" si="56">Y14+AW14+BU14+CS14+DQ14</f>
        <v>7.5</v>
      </c>
      <c r="DU14" s="54">
        <f t="shared" ref="DU14:DU15" si="57">Z14+AX14+BV14+CT14+DR14</f>
        <v>45000</v>
      </c>
    </row>
    <row r="15" spans="1:125" s="26" customFormat="1" ht="17.100000000000001" customHeight="1" thickBot="1" x14ac:dyDescent="0.25">
      <c r="A15" s="27" t="s">
        <v>60</v>
      </c>
      <c r="B15" s="19">
        <v>6000</v>
      </c>
      <c r="C15" s="29"/>
      <c r="D15" s="30"/>
      <c r="E15" s="2">
        <f t="shared" si="0"/>
        <v>0</v>
      </c>
      <c r="F15" s="29"/>
      <c r="G15" s="99"/>
      <c r="H15" s="2">
        <f t="shared" si="51"/>
        <v>0</v>
      </c>
      <c r="I15" s="29"/>
      <c r="J15" s="99"/>
      <c r="K15" s="2">
        <f t="shared" si="2"/>
        <v>0</v>
      </c>
      <c r="L15" s="31"/>
      <c r="M15" s="30">
        <v>2</v>
      </c>
      <c r="N15" s="2">
        <f t="shared" si="3"/>
        <v>12000</v>
      </c>
      <c r="O15" s="31"/>
      <c r="P15" s="30">
        <v>2</v>
      </c>
      <c r="Q15" s="2">
        <f t="shared" si="4"/>
        <v>12000</v>
      </c>
      <c r="R15" s="31"/>
      <c r="S15" s="30">
        <v>2</v>
      </c>
      <c r="T15" s="2">
        <f t="shared" si="5"/>
        <v>12000</v>
      </c>
      <c r="U15" s="33"/>
      <c r="V15" s="30">
        <v>2</v>
      </c>
      <c r="W15" s="64">
        <f t="shared" si="6"/>
        <v>12000</v>
      </c>
      <c r="X15" s="70">
        <f t="shared" si="7"/>
        <v>0</v>
      </c>
      <c r="Y15" s="67">
        <f t="shared" si="7"/>
        <v>8</v>
      </c>
      <c r="Z15" s="73">
        <f t="shared" si="7"/>
        <v>48000</v>
      </c>
      <c r="AA15" s="35"/>
      <c r="AB15" s="30">
        <v>2</v>
      </c>
      <c r="AC15" s="2">
        <f t="shared" si="8"/>
        <v>12000</v>
      </c>
      <c r="AD15" s="33"/>
      <c r="AE15" s="30"/>
      <c r="AF15" s="2">
        <f t="shared" si="9"/>
        <v>0</v>
      </c>
      <c r="AG15" s="33"/>
      <c r="AH15" s="30"/>
      <c r="AI15" s="2">
        <f t="shared" si="10"/>
        <v>0</v>
      </c>
      <c r="AJ15" s="33"/>
      <c r="AK15" s="30"/>
      <c r="AL15" s="2">
        <f t="shared" si="11"/>
        <v>0</v>
      </c>
      <c r="AM15" s="33"/>
      <c r="AN15" s="30"/>
      <c r="AO15" s="2">
        <f t="shared" si="12"/>
        <v>0</v>
      </c>
      <c r="AP15" s="33"/>
      <c r="AQ15" s="30"/>
      <c r="AR15" s="2">
        <f t="shared" si="13"/>
        <v>0</v>
      </c>
      <c r="AS15" s="33"/>
      <c r="AT15" s="30"/>
      <c r="AU15" s="2">
        <f t="shared" si="14"/>
        <v>0</v>
      </c>
      <c r="AV15" s="70">
        <f t="shared" si="42"/>
        <v>0</v>
      </c>
      <c r="AW15" s="67">
        <f t="shared" si="43"/>
        <v>2</v>
      </c>
      <c r="AX15" s="51">
        <f t="shared" si="44"/>
        <v>12000</v>
      </c>
      <c r="AY15" s="33"/>
      <c r="AZ15" s="30"/>
      <c r="BA15" s="2">
        <f t="shared" si="16"/>
        <v>0</v>
      </c>
      <c r="BB15" s="33"/>
      <c r="BC15" s="30"/>
      <c r="BD15" s="2">
        <f t="shared" si="17"/>
        <v>0</v>
      </c>
      <c r="BE15" s="33"/>
      <c r="BF15" s="30"/>
      <c r="BG15" s="2">
        <f t="shared" si="18"/>
        <v>0</v>
      </c>
      <c r="BH15" s="33"/>
      <c r="BI15" s="30"/>
      <c r="BJ15" s="2">
        <f t="shared" si="19"/>
        <v>0</v>
      </c>
      <c r="BK15" s="33"/>
      <c r="BL15" s="30"/>
      <c r="BM15" s="2">
        <f t="shared" si="20"/>
        <v>0</v>
      </c>
      <c r="BN15" s="33"/>
      <c r="BO15" s="30"/>
      <c r="BP15" s="2">
        <f t="shared" si="21"/>
        <v>0</v>
      </c>
      <c r="BQ15" s="33"/>
      <c r="BR15" s="30"/>
      <c r="BS15" s="2">
        <f t="shared" si="22"/>
        <v>0</v>
      </c>
      <c r="BT15" s="70">
        <f t="shared" si="45"/>
        <v>0</v>
      </c>
      <c r="BU15" s="67">
        <f t="shared" si="46"/>
        <v>0</v>
      </c>
      <c r="BV15" s="51">
        <f t="shared" si="47"/>
        <v>0</v>
      </c>
      <c r="BW15" s="33"/>
      <c r="BX15" s="30"/>
      <c r="BY15" s="2">
        <f t="shared" si="24"/>
        <v>0</v>
      </c>
      <c r="BZ15" s="33"/>
      <c r="CA15" s="30"/>
      <c r="CB15" s="2">
        <f t="shared" si="25"/>
        <v>0</v>
      </c>
      <c r="CC15" s="33"/>
      <c r="CD15" s="30"/>
      <c r="CE15" s="2">
        <f t="shared" si="26"/>
        <v>0</v>
      </c>
      <c r="CF15" s="33"/>
      <c r="CG15" s="30"/>
      <c r="CH15" s="2">
        <f t="shared" si="27"/>
        <v>0</v>
      </c>
      <c r="CI15" s="33"/>
      <c r="CJ15" s="30"/>
      <c r="CK15" s="2">
        <f t="shared" si="28"/>
        <v>0</v>
      </c>
      <c r="CL15" s="33"/>
      <c r="CM15" s="30"/>
      <c r="CN15" s="2">
        <f t="shared" si="29"/>
        <v>0</v>
      </c>
      <c r="CO15" s="33"/>
      <c r="CP15" s="30"/>
      <c r="CQ15" s="2">
        <f t="shared" si="30"/>
        <v>0</v>
      </c>
      <c r="CR15" s="70">
        <f t="shared" si="52"/>
        <v>0</v>
      </c>
      <c r="CS15" s="67">
        <f t="shared" si="53"/>
        <v>0</v>
      </c>
      <c r="CT15" s="51">
        <f t="shared" si="54"/>
        <v>0</v>
      </c>
      <c r="CU15" s="33"/>
      <c r="CV15" s="30"/>
      <c r="CW15" s="2">
        <f t="shared" si="32"/>
        <v>0</v>
      </c>
      <c r="CX15" s="33"/>
      <c r="CY15" s="30"/>
      <c r="CZ15" s="2">
        <f t="shared" si="33"/>
        <v>0</v>
      </c>
      <c r="DA15" s="33"/>
      <c r="DB15" s="30"/>
      <c r="DC15" s="2">
        <f t="shared" si="34"/>
        <v>0</v>
      </c>
      <c r="DD15" s="33"/>
      <c r="DE15" s="30"/>
      <c r="DF15" s="2">
        <f t="shared" si="35"/>
        <v>0</v>
      </c>
      <c r="DG15" s="33"/>
      <c r="DH15" s="30"/>
      <c r="DI15" s="2">
        <f t="shared" si="36"/>
        <v>0</v>
      </c>
      <c r="DJ15" s="33"/>
      <c r="DK15" s="30"/>
      <c r="DL15" s="2">
        <f t="shared" si="37"/>
        <v>0</v>
      </c>
      <c r="DM15" s="33"/>
      <c r="DN15" s="30"/>
      <c r="DO15" s="2">
        <f t="shared" si="38"/>
        <v>0</v>
      </c>
      <c r="DP15" s="70">
        <f t="shared" si="48"/>
        <v>0</v>
      </c>
      <c r="DQ15" s="67">
        <f t="shared" si="49"/>
        <v>0</v>
      </c>
      <c r="DR15" s="51">
        <f t="shared" si="50"/>
        <v>0</v>
      </c>
      <c r="DS15" s="52">
        <f t="shared" si="55"/>
        <v>0</v>
      </c>
      <c r="DT15" s="53">
        <f t="shared" si="56"/>
        <v>10</v>
      </c>
      <c r="DU15" s="54">
        <f t="shared" si="57"/>
        <v>60000</v>
      </c>
    </row>
    <row r="16" spans="1:125" s="26" customFormat="1" ht="17.100000000000001" customHeight="1" thickBot="1" x14ac:dyDescent="0.25">
      <c r="A16" s="27" t="s">
        <v>58</v>
      </c>
      <c r="B16" s="19">
        <v>6000</v>
      </c>
      <c r="C16" s="29"/>
      <c r="D16" s="30"/>
      <c r="E16" s="2">
        <f t="shared" si="0"/>
        <v>0</v>
      </c>
      <c r="F16" s="29"/>
      <c r="G16" s="30">
        <v>2</v>
      </c>
      <c r="H16" s="2">
        <f t="shared" si="1"/>
        <v>12000</v>
      </c>
      <c r="I16" s="29"/>
      <c r="J16" s="30">
        <v>2</v>
      </c>
      <c r="K16" s="2">
        <f t="shared" si="2"/>
        <v>12000</v>
      </c>
      <c r="L16" s="31"/>
      <c r="M16" s="99">
        <v>1.5</v>
      </c>
      <c r="N16" s="2">
        <f t="shared" si="3"/>
        <v>9000</v>
      </c>
      <c r="O16" s="31"/>
      <c r="P16" s="30">
        <v>2</v>
      </c>
      <c r="Q16" s="2">
        <f t="shared" si="4"/>
        <v>12000</v>
      </c>
      <c r="R16" s="31"/>
      <c r="S16" s="30">
        <v>2</v>
      </c>
      <c r="T16" s="2">
        <f t="shared" si="5"/>
        <v>12000</v>
      </c>
      <c r="U16" s="33"/>
      <c r="V16" s="30">
        <v>2</v>
      </c>
      <c r="W16" s="64">
        <f t="shared" si="6"/>
        <v>12000</v>
      </c>
      <c r="X16" s="70">
        <f t="shared" si="7"/>
        <v>0</v>
      </c>
      <c r="Y16" s="100">
        <f t="shared" ref="Y16" si="58">D16+G16+J16+M16+P16+S16+V16</f>
        <v>11.5</v>
      </c>
      <c r="Z16" s="73">
        <f t="shared" ref="Z16" si="59">E16+H16+K16+N16+Q16+T16+W16</f>
        <v>69000</v>
      </c>
      <c r="AA16" s="35"/>
      <c r="AB16" s="30">
        <v>2</v>
      </c>
      <c r="AC16" s="2">
        <f t="shared" si="8"/>
        <v>12000</v>
      </c>
      <c r="AD16" s="33"/>
      <c r="AE16" s="30"/>
      <c r="AF16" s="2">
        <f t="shared" si="9"/>
        <v>0</v>
      </c>
      <c r="AG16" s="33"/>
      <c r="AH16" s="30"/>
      <c r="AI16" s="2">
        <f t="shared" si="10"/>
        <v>0</v>
      </c>
      <c r="AJ16" s="33"/>
      <c r="AK16" s="30"/>
      <c r="AL16" s="2">
        <f t="shared" si="11"/>
        <v>0</v>
      </c>
      <c r="AM16" s="33"/>
      <c r="AN16" s="30"/>
      <c r="AO16" s="2">
        <f t="shared" si="12"/>
        <v>0</v>
      </c>
      <c r="AP16" s="33"/>
      <c r="AQ16" s="30"/>
      <c r="AR16" s="2">
        <f t="shared" si="13"/>
        <v>0</v>
      </c>
      <c r="AS16" s="33"/>
      <c r="AT16" s="30"/>
      <c r="AU16" s="2">
        <f t="shared" si="14"/>
        <v>0</v>
      </c>
      <c r="AV16" s="70">
        <f t="shared" ref="AV16" si="60">AA16+AD16+AG16+AJ16+AM16+AP16+AS16</f>
        <v>0</v>
      </c>
      <c r="AW16" s="67">
        <f t="shared" ref="AW16" si="61">AB16+AE16+AH16+AK16+AN16+AQ16+AT16</f>
        <v>2</v>
      </c>
      <c r="AX16" s="51">
        <f t="shared" ref="AX16" si="62">AC16+AF16+AI16+AL16+AO16+AR16+AU16</f>
        <v>12000</v>
      </c>
      <c r="AY16" s="33"/>
      <c r="AZ16" s="30"/>
      <c r="BA16" s="2">
        <f t="shared" si="16"/>
        <v>0</v>
      </c>
      <c r="BB16" s="33"/>
      <c r="BC16" s="30"/>
      <c r="BD16" s="2">
        <f t="shared" si="17"/>
        <v>0</v>
      </c>
      <c r="BE16" s="33"/>
      <c r="BF16" s="30"/>
      <c r="BG16" s="2">
        <f t="shared" si="18"/>
        <v>0</v>
      </c>
      <c r="BH16" s="33"/>
      <c r="BI16" s="30"/>
      <c r="BJ16" s="2">
        <f t="shared" si="19"/>
        <v>0</v>
      </c>
      <c r="BK16" s="33"/>
      <c r="BL16" s="30"/>
      <c r="BM16" s="2">
        <f t="shared" si="20"/>
        <v>0</v>
      </c>
      <c r="BN16" s="33"/>
      <c r="BO16" s="30"/>
      <c r="BP16" s="2">
        <f t="shared" si="21"/>
        <v>0</v>
      </c>
      <c r="BQ16" s="33"/>
      <c r="BR16" s="30"/>
      <c r="BS16" s="2">
        <f t="shared" si="22"/>
        <v>0</v>
      </c>
      <c r="BT16" s="70">
        <f t="shared" ref="BT16" si="63">AY16+BB16+BE16+BH16+BK16+BN16+BQ16</f>
        <v>0</v>
      </c>
      <c r="BU16" s="67">
        <f t="shared" ref="BU16" si="64">AZ16+BC16+BF16+BI16+BL16+BO16+BR16</f>
        <v>0</v>
      </c>
      <c r="BV16" s="51">
        <f t="shared" ref="BV16" si="65">BA16+BD16+BG16+BJ16+BM16+BP16+BS16</f>
        <v>0</v>
      </c>
      <c r="BW16" s="33"/>
      <c r="BX16" s="30"/>
      <c r="BY16" s="2">
        <f t="shared" si="24"/>
        <v>0</v>
      </c>
      <c r="BZ16" s="33"/>
      <c r="CA16" s="30"/>
      <c r="CB16" s="2">
        <f t="shared" si="25"/>
        <v>0</v>
      </c>
      <c r="CC16" s="33"/>
      <c r="CD16" s="30"/>
      <c r="CE16" s="2">
        <f t="shared" si="26"/>
        <v>0</v>
      </c>
      <c r="CF16" s="33"/>
      <c r="CG16" s="30"/>
      <c r="CH16" s="2">
        <f t="shared" si="27"/>
        <v>0</v>
      </c>
      <c r="CI16" s="33"/>
      <c r="CJ16" s="30"/>
      <c r="CK16" s="2">
        <f t="shared" si="28"/>
        <v>0</v>
      </c>
      <c r="CL16" s="33"/>
      <c r="CM16" s="30"/>
      <c r="CN16" s="2">
        <f t="shared" si="29"/>
        <v>0</v>
      </c>
      <c r="CO16" s="33"/>
      <c r="CP16" s="30"/>
      <c r="CQ16" s="2">
        <f t="shared" si="30"/>
        <v>0</v>
      </c>
      <c r="CR16" s="70">
        <f t="shared" ref="CR16" si="66">BW16+BZ16+CC16+CF16+CI16+CL16+CO16</f>
        <v>0</v>
      </c>
      <c r="CS16" s="67">
        <f t="shared" ref="CS16" si="67">BX16+CA16+CD16+CG16+CJ16+CM16+CP16</f>
        <v>0</v>
      </c>
      <c r="CT16" s="51">
        <f t="shared" ref="CT16" si="68">BY16+CB16+CE16+CH16+CK16+CN16+CQ16</f>
        <v>0</v>
      </c>
      <c r="CU16" s="33"/>
      <c r="CV16" s="30"/>
      <c r="CW16" s="2">
        <f t="shared" si="32"/>
        <v>0</v>
      </c>
      <c r="CX16" s="33"/>
      <c r="CY16" s="30"/>
      <c r="CZ16" s="2">
        <f t="shared" si="33"/>
        <v>0</v>
      </c>
      <c r="DA16" s="33"/>
      <c r="DB16" s="30"/>
      <c r="DC16" s="2">
        <f t="shared" si="34"/>
        <v>0</v>
      </c>
      <c r="DD16" s="33"/>
      <c r="DE16" s="30"/>
      <c r="DF16" s="2">
        <f t="shared" si="35"/>
        <v>0</v>
      </c>
      <c r="DG16" s="33"/>
      <c r="DH16" s="30"/>
      <c r="DI16" s="2">
        <f t="shared" si="36"/>
        <v>0</v>
      </c>
      <c r="DJ16" s="33"/>
      <c r="DK16" s="30"/>
      <c r="DL16" s="2">
        <f t="shared" si="37"/>
        <v>0</v>
      </c>
      <c r="DM16" s="33"/>
      <c r="DN16" s="30"/>
      <c r="DO16" s="2">
        <f t="shared" si="38"/>
        <v>0</v>
      </c>
      <c r="DP16" s="70">
        <f t="shared" ref="DP16" si="69">CU16+CX16+DA16+DD16+DG16+DJ16+DM16</f>
        <v>0</v>
      </c>
      <c r="DQ16" s="67">
        <f t="shared" ref="DQ16" si="70">CV16+CY16+DB16+DE16+DH16+DK16+DN16</f>
        <v>0</v>
      </c>
      <c r="DR16" s="51">
        <f t="shared" ref="DR16" si="71">CW16+CZ16+DC16+DF16+DI16+DL16+DO16</f>
        <v>0</v>
      </c>
      <c r="DS16" s="52">
        <f t="shared" ref="DS16" si="72">X16+AV16+CR16+DP16</f>
        <v>0</v>
      </c>
      <c r="DT16" s="107">
        <f t="shared" ref="DT16" si="73">Y16+AW16+BU16+CS16+DQ16</f>
        <v>13.5</v>
      </c>
      <c r="DU16" s="54">
        <f t="shared" ref="DU16" si="74">Z16+AX16+BV16+CT16+DR16</f>
        <v>81000</v>
      </c>
    </row>
    <row r="17" spans="1:125" s="26" customFormat="1" ht="17.100000000000001" customHeight="1" thickBot="1" x14ac:dyDescent="0.25">
      <c r="A17" s="27" t="s">
        <v>32</v>
      </c>
      <c r="B17" s="19">
        <v>7000</v>
      </c>
      <c r="C17" s="29"/>
      <c r="D17" s="30"/>
      <c r="E17" s="2">
        <f t="shared" si="0"/>
        <v>0</v>
      </c>
      <c r="F17" s="29"/>
      <c r="G17" s="30">
        <v>2</v>
      </c>
      <c r="H17" s="2">
        <f t="shared" si="1"/>
        <v>14000</v>
      </c>
      <c r="I17" s="29"/>
      <c r="J17" s="30">
        <v>2</v>
      </c>
      <c r="K17" s="2">
        <f t="shared" si="2"/>
        <v>14000</v>
      </c>
      <c r="L17" s="31"/>
      <c r="M17" s="30">
        <v>2</v>
      </c>
      <c r="N17" s="2">
        <f t="shared" si="3"/>
        <v>14000</v>
      </c>
      <c r="O17" s="31"/>
      <c r="P17" s="30">
        <v>2</v>
      </c>
      <c r="Q17" s="2">
        <f t="shared" ref="Q17" si="75">$B17*P17</f>
        <v>14000</v>
      </c>
      <c r="R17" s="31"/>
      <c r="S17" s="30">
        <v>2</v>
      </c>
      <c r="T17" s="2">
        <f t="shared" si="5"/>
        <v>14000</v>
      </c>
      <c r="U17" s="33"/>
      <c r="V17" s="30"/>
      <c r="W17" s="64">
        <f t="shared" si="6"/>
        <v>0</v>
      </c>
      <c r="X17" s="70">
        <f t="shared" si="7"/>
        <v>0</v>
      </c>
      <c r="Y17" s="67">
        <f t="shared" si="7"/>
        <v>10</v>
      </c>
      <c r="Z17" s="73">
        <f t="shared" si="7"/>
        <v>70000</v>
      </c>
      <c r="AA17" s="35"/>
      <c r="AB17" s="30">
        <v>2</v>
      </c>
      <c r="AC17" s="2">
        <f t="shared" si="8"/>
        <v>14000</v>
      </c>
      <c r="AD17" s="33"/>
      <c r="AE17" s="30"/>
      <c r="AF17" s="2">
        <f t="shared" si="9"/>
        <v>0</v>
      </c>
      <c r="AG17" s="33"/>
      <c r="AH17" s="30"/>
      <c r="AI17" s="2">
        <f t="shared" si="10"/>
        <v>0</v>
      </c>
      <c r="AJ17" s="33"/>
      <c r="AK17" s="30"/>
      <c r="AL17" s="2">
        <f t="shared" si="11"/>
        <v>0</v>
      </c>
      <c r="AM17" s="33"/>
      <c r="AN17" s="30"/>
      <c r="AO17" s="2">
        <f t="shared" si="12"/>
        <v>0</v>
      </c>
      <c r="AP17" s="33"/>
      <c r="AQ17" s="30"/>
      <c r="AR17" s="2">
        <f t="shared" si="13"/>
        <v>0</v>
      </c>
      <c r="AS17" s="33"/>
      <c r="AT17" s="30"/>
      <c r="AU17" s="2">
        <f t="shared" ref="AU17" si="76">$B17*AT17</f>
        <v>0</v>
      </c>
      <c r="AV17" s="70">
        <f t="shared" si="15"/>
        <v>0</v>
      </c>
      <c r="AW17" s="67">
        <f t="shared" si="15"/>
        <v>2</v>
      </c>
      <c r="AX17" s="51">
        <f t="shared" si="15"/>
        <v>14000</v>
      </c>
      <c r="AY17" s="33"/>
      <c r="AZ17" s="30"/>
      <c r="BA17" s="2">
        <f t="shared" si="16"/>
        <v>0</v>
      </c>
      <c r="BB17" s="33"/>
      <c r="BC17" s="30"/>
      <c r="BD17" s="2">
        <f t="shared" si="17"/>
        <v>0</v>
      </c>
      <c r="BE17" s="33"/>
      <c r="BF17" s="30"/>
      <c r="BG17" s="2">
        <f t="shared" si="18"/>
        <v>0</v>
      </c>
      <c r="BH17" s="33"/>
      <c r="BI17" s="30"/>
      <c r="BJ17" s="2">
        <f t="shared" si="19"/>
        <v>0</v>
      </c>
      <c r="BK17" s="33"/>
      <c r="BL17" s="30"/>
      <c r="BM17" s="2">
        <f t="shared" si="20"/>
        <v>0</v>
      </c>
      <c r="BN17" s="33"/>
      <c r="BO17" s="30"/>
      <c r="BP17" s="2">
        <f t="shared" si="21"/>
        <v>0</v>
      </c>
      <c r="BQ17" s="33"/>
      <c r="BR17" s="30"/>
      <c r="BS17" s="2">
        <f t="shared" si="22"/>
        <v>0</v>
      </c>
      <c r="BT17" s="70">
        <f t="shared" si="23"/>
        <v>0</v>
      </c>
      <c r="BU17" s="67">
        <f t="shared" si="23"/>
        <v>0</v>
      </c>
      <c r="BV17" s="51">
        <f t="shared" si="23"/>
        <v>0</v>
      </c>
      <c r="BW17" s="33"/>
      <c r="BX17" s="30"/>
      <c r="BY17" s="2">
        <f t="shared" si="24"/>
        <v>0</v>
      </c>
      <c r="BZ17" s="33"/>
      <c r="CA17" s="30"/>
      <c r="CB17" s="2">
        <f t="shared" si="25"/>
        <v>0</v>
      </c>
      <c r="CC17" s="33"/>
      <c r="CD17" s="30"/>
      <c r="CE17" s="2">
        <f t="shared" si="26"/>
        <v>0</v>
      </c>
      <c r="CF17" s="33"/>
      <c r="CG17" s="30"/>
      <c r="CH17" s="2">
        <f t="shared" si="27"/>
        <v>0</v>
      </c>
      <c r="CI17" s="33"/>
      <c r="CJ17" s="30"/>
      <c r="CK17" s="2">
        <f t="shared" si="28"/>
        <v>0</v>
      </c>
      <c r="CL17" s="33"/>
      <c r="CM17" s="30"/>
      <c r="CN17" s="2">
        <f t="shared" si="29"/>
        <v>0</v>
      </c>
      <c r="CO17" s="33"/>
      <c r="CP17" s="30"/>
      <c r="CQ17" s="2">
        <f t="shared" si="30"/>
        <v>0</v>
      </c>
      <c r="CR17" s="70">
        <f t="shared" si="31"/>
        <v>0</v>
      </c>
      <c r="CS17" s="67">
        <f t="shared" si="31"/>
        <v>0</v>
      </c>
      <c r="CT17" s="51">
        <f t="shared" si="31"/>
        <v>0</v>
      </c>
      <c r="CU17" s="33"/>
      <c r="CV17" s="30"/>
      <c r="CW17" s="2">
        <f t="shared" si="32"/>
        <v>0</v>
      </c>
      <c r="CX17" s="33"/>
      <c r="CY17" s="30"/>
      <c r="CZ17" s="2">
        <f t="shared" si="33"/>
        <v>0</v>
      </c>
      <c r="DA17" s="33"/>
      <c r="DB17" s="30"/>
      <c r="DC17" s="2">
        <f t="shared" si="34"/>
        <v>0</v>
      </c>
      <c r="DD17" s="33"/>
      <c r="DE17" s="30"/>
      <c r="DF17" s="2">
        <f t="shared" si="35"/>
        <v>0</v>
      </c>
      <c r="DG17" s="33"/>
      <c r="DH17" s="30"/>
      <c r="DI17" s="2">
        <f t="shared" si="36"/>
        <v>0</v>
      </c>
      <c r="DJ17" s="33"/>
      <c r="DK17" s="30"/>
      <c r="DL17" s="2">
        <f t="shared" si="37"/>
        <v>0</v>
      </c>
      <c r="DM17" s="33"/>
      <c r="DN17" s="30"/>
      <c r="DO17" s="2">
        <f t="shared" si="38"/>
        <v>0</v>
      </c>
      <c r="DP17" s="70">
        <f t="shared" si="39"/>
        <v>0</v>
      </c>
      <c r="DQ17" s="67">
        <f t="shared" si="39"/>
        <v>0</v>
      </c>
      <c r="DR17" s="51">
        <f t="shared" si="39"/>
        <v>0</v>
      </c>
      <c r="DS17" s="52">
        <f t="shared" si="40"/>
        <v>0</v>
      </c>
      <c r="DT17" s="53">
        <f t="shared" si="41"/>
        <v>12</v>
      </c>
      <c r="DU17" s="54">
        <f t="shared" si="41"/>
        <v>84000</v>
      </c>
    </row>
    <row r="18" spans="1:125" s="26" customFormat="1" ht="17.100000000000001" customHeight="1" thickBot="1" x14ac:dyDescent="0.25">
      <c r="A18" s="27" t="s">
        <v>36</v>
      </c>
      <c r="B18" s="19">
        <v>7000</v>
      </c>
      <c r="C18" s="29"/>
      <c r="D18" s="30"/>
      <c r="E18" s="2">
        <f t="shared" si="0"/>
        <v>0</v>
      </c>
      <c r="F18" s="29"/>
      <c r="G18" s="30">
        <v>2</v>
      </c>
      <c r="H18" s="2">
        <f t="shared" si="1"/>
        <v>14000</v>
      </c>
      <c r="I18" s="29"/>
      <c r="J18" s="30">
        <v>2</v>
      </c>
      <c r="K18" s="2">
        <f t="shared" si="2"/>
        <v>14000</v>
      </c>
      <c r="L18" s="31"/>
      <c r="M18" s="30">
        <v>2</v>
      </c>
      <c r="N18" s="2">
        <f t="shared" si="3"/>
        <v>14000</v>
      </c>
      <c r="O18" s="31"/>
      <c r="P18" s="30">
        <v>2</v>
      </c>
      <c r="Q18" s="2">
        <f t="shared" si="4"/>
        <v>14000</v>
      </c>
      <c r="R18" s="31"/>
      <c r="S18" s="30"/>
      <c r="T18" s="2">
        <f t="shared" si="5"/>
        <v>0</v>
      </c>
      <c r="U18" s="33"/>
      <c r="V18" s="30">
        <v>2</v>
      </c>
      <c r="W18" s="64">
        <f t="shared" si="6"/>
        <v>14000</v>
      </c>
      <c r="X18" s="70">
        <f t="shared" si="7"/>
        <v>0</v>
      </c>
      <c r="Y18" s="67">
        <f t="shared" si="7"/>
        <v>10</v>
      </c>
      <c r="Z18" s="73">
        <f t="shared" si="7"/>
        <v>70000</v>
      </c>
      <c r="AA18" s="35"/>
      <c r="AB18" s="30">
        <v>2</v>
      </c>
      <c r="AC18" s="2">
        <f t="shared" ref="AC18" si="77">$B18*AB18</f>
        <v>14000</v>
      </c>
      <c r="AD18" s="33"/>
      <c r="AE18" s="30"/>
      <c r="AF18" s="2">
        <f t="shared" ref="AF18" si="78">$B18*AE18</f>
        <v>0</v>
      </c>
      <c r="AG18" s="33"/>
      <c r="AH18" s="30"/>
      <c r="AI18" s="2">
        <f t="shared" si="10"/>
        <v>0</v>
      </c>
      <c r="AJ18" s="33"/>
      <c r="AK18" s="30"/>
      <c r="AL18" s="2">
        <f t="shared" si="11"/>
        <v>0</v>
      </c>
      <c r="AM18" s="33"/>
      <c r="AN18" s="30"/>
      <c r="AO18" s="2">
        <f t="shared" si="12"/>
        <v>0</v>
      </c>
      <c r="AP18" s="33"/>
      <c r="AQ18" s="30"/>
      <c r="AR18" s="2">
        <f t="shared" si="13"/>
        <v>0</v>
      </c>
      <c r="AS18" s="33"/>
      <c r="AT18" s="30"/>
      <c r="AU18" s="2">
        <f t="shared" si="14"/>
        <v>0</v>
      </c>
      <c r="AV18" s="70">
        <f t="shared" si="15"/>
        <v>0</v>
      </c>
      <c r="AW18" s="67">
        <f t="shared" si="15"/>
        <v>2</v>
      </c>
      <c r="AX18" s="51">
        <f t="shared" si="15"/>
        <v>14000</v>
      </c>
      <c r="AY18" s="33"/>
      <c r="AZ18" s="30"/>
      <c r="BA18" s="2">
        <f t="shared" si="16"/>
        <v>0</v>
      </c>
      <c r="BB18" s="33"/>
      <c r="BC18" s="30"/>
      <c r="BD18" s="2">
        <f t="shared" si="17"/>
        <v>0</v>
      </c>
      <c r="BE18" s="33"/>
      <c r="BF18" s="30"/>
      <c r="BG18" s="2">
        <f t="shared" si="18"/>
        <v>0</v>
      </c>
      <c r="BH18" s="33"/>
      <c r="BI18" s="30"/>
      <c r="BJ18" s="2">
        <f t="shared" si="19"/>
        <v>0</v>
      </c>
      <c r="BK18" s="33"/>
      <c r="BL18" s="30"/>
      <c r="BM18" s="2">
        <f t="shared" si="20"/>
        <v>0</v>
      </c>
      <c r="BN18" s="33"/>
      <c r="BO18" s="30"/>
      <c r="BP18" s="2">
        <f t="shared" si="21"/>
        <v>0</v>
      </c>
      <c r="BQ18" s="33"/>
      <c r="BR18" s="30"/>
      <c r="BS18" s="2">
        <f t="shared" si="22"/>
        <v>0</v>
      </c>
      <c r="BT18" s="70">
        <f t="shared" si="23"/>
        <v>0</v>
      </c>
      <c r="BU18" s="67">
        <f t="shared" si="23"/>
        <v>0</v>
      </c>
      <c r="BV18" s="51">
        <f t="shared" si="23"/>
        <v>0</v>
      </c>
      <c r="BW18" s="33"/>
      <c r="BX18" s="30"/>
      <c r="BY18" s="2">
        <f t="shared" si="24"/>
        <v>0</v>
      </c>
      <c r="BZ18" s="33"/>
      <c r="CA18" s="30"/>
      <c r="CB18" s="2">
        <f t="shared" si="25"/>
        <v>0</v>
      </c>
      <c r="CC18" s="33"/>
      <c r="CD18" s="30"/>
      <c r="CE18" s="2">
        <f t="shared" si="26"/>
        <v>0</v>
      </c>
      <c r="CF18" s="33"/>
      <c r="CG18" s="30"/>
      <c r="CH18" s="2">
        <f t="shared" si="27"/>
        <v>0</v>
      </c>
      <c r="CI18" s="33"/>
      <c r="CJ18" s="30"/>
      <c r="CK18" s="2">
        <f t="shared" si="28"/>
        <v>0</v>
      </c>
      <c r="CL18" s="33"/>
      <c r="CM18" s="30"/>
      <c r="CN18" s="2">
        <f t="shared" si="29"/>
        <v>0</v>
      </c>
      <c r="CO18" s="33"/>
      <c r="CP18" s="30"/>
      <c r="CQ18" s="2">
        <f t="shared" si="30"/>
        <v>0</v>
      </c>
      <c r="CR18" s="70">
        <f t="shared" si="31"/>
        <v>0</v>
      </c>
      <c r="CS18" s="67">
        <f t="shared" si="31"/>
        <v>0</v>
      </c>
      <c r="CT18" s="51">
        <f t="shared" si="31"/>
        <v>0</v>
      </c>
      <c r="CU18" s="33"/>
      <c r="CV18" s="30"/>
      <c r="CW18" s="2">
        <f t="shared" si="32"/>
        <v>0</v>
      </c>
      <c r="CX18" s="33"/>
      <c r="CY18" s="30"/>
      <c r="CZ18" s="2">
        <f t="shared" si="33"/>
        <v>0</v>
      </c>
      <c r="DA18" s="33"/>
      <c r="DB18" s="30"/>
      <c r="DC18" s="2">
        <f t="shared" si="34"/>
        <v>0</v>
      </c>
      <c r="DD18" s="33"/>
      <c r="DE18" s="30"/>
      <c r="DF18" s="2">
        <f t="shared" si="35"/>
        <v>0</v>
      </c>
      <c r="DG18" s="33"/>
      <c r="DH18" s="30"/>
      <c r="DI18" s="2">
        <f t="shared" si="36"/>
        <v>0</v>
      </c>
      <c r="DJ18" s="33"/>
      <c r="DK18" s="30"/>
      <c r="DL18" s="2">
        <f t="shared" si="37"/>
        <v>0</v>
      </c>
      <c r="DM18" s="33"/>
      <c r="DN18" s="30"/>
      <c r="DO18" s="2">
        <f t="shared" si="38"/>
        <v>0</v>
      </c>
      <c r="DP18" s="70">
        <f t="shared" si="39"/>
        <v>0</v>
      </c>
      <c r="DQ18" s="67">
        <f t="shared" si="39"/>
        <v>0</v>
      </c>
      <c r="DR18" s="51">
        <f t="shared" si="39"/>
        <v>0</v>
      </c>
      <c r="DS18" s="52">
        <f t="shared" si="40"/>
        <v>0</v>
      </c>
      <c r="DT18" s="53">
        <f t="shared" si="41"/>
        <v>12</v>
      </c>
      <c r="DU18" s="54">
        <f t="shared" si="41"/>
        <v>84000</v>
      </c>
    </row>
    <row r="19" spans="1:125" s="26" customFormat="1" ht="17.100000000000001" customHeight="1" thickBot="1" x14ac:dyDescent="0.25">
      <c r="A19" s="27" t="s">
        <v>33</v>
      </c>
      <c r="B19" s="19">
        <v>7000</v>
      </c>
      <c r="C19" s="29"/>
      <c r="D19" s="30"/>
      <c r="E19" s="2">
        <f t="shared" si="0"/>
        <v>0</v>
      </c>
      <c r="F19" s="29"/>
      <c r="G19" s="30"/>
      <c r="H19" s="2">
        <f t="shared" si="1"/>
        <v>0</v>
      </c>
      <c r="I19" s="29"/>
      <c r="J19" s="30"/>
      <c r="K19" s="2">
        <f t="shared" si="2"/>
        <v>0</v>
      </c>
      <c r="L19" s="31"/>
      <c r="M19" s="30"/>
      <c r="N19" s="2">
        <f t="shared" si="3"/>
        <v>0</v>
      </c>
      <c r="O19" s="31"/>
      <c r="P19" s="30"/>
      <c r="Q19" s="2">
        <f t="shared" si="4"/>
        <v>0</v>
      </c>
      <c r="R19" s="31"/>
      <c r="S19" s="30"/>
      <c r="T19" s="2">
        <f t="shared" si="5"/>
        <v>0</v>
      </c>
      <c r="U19" s="33"/>
      <c r="V19" s="30"/>
      <c r="W19" s="64">
        <f t="shared" si="6"/>
        <v>0</v>
      </c>
      <c r="X19" s="70">
        <f t="shared" si="7"/>
        <v>0</v>
      </c>
      <c r="Y19" s="67">
        <f t="shared" si="7"/>
        <v>0</v>
      </c>
      <c r="Z19" s="73">
        <f t="shared" si="7"/>
        <v>0</v>
      </c>
      <c r="AA19" s="35"/>
      <c r="AB19" s="30"/>
      <c r="AC19" s="2">
        <f t="shared" si="8"/>
        <v>0</v>
      </c>
      <c r="AD19" s="33"/>
      <c r="AE19" s="30"/>
      <c r="AF19" s="2">
        <f t="shared" si="9"/>
        <v>0</v>
      </c>
      <c r="AG19" s="33"/>
      <c r="AH19" s="30"/>
      <c r="AI19" s="2">
        <f t="shared" si="10"/>
        <v>0</v>
      </c>
      <c r="AJ19" s="33"/>
      <c r="AK19" s="30"/>
      <c r="AL19" s="2">
        <f t="shared" si="11"/>
        <v>0</v>
      </c>
      <c r="AM19" s="33"/>
      <c r="AN19" s="30"/>
      <c r="AO19" s="2">
        <f t="shared" si="12"/>
        <v>0</v>
      </c>
      <c r="AP19" s="33"/>
      <c r="AQ19" s="30"/>
      <c r="AR19" s="2">
        <f t="shared" si="13"/>
        <v>0</v>
      </c>
      <c r="AS19" s="33"/>
      <c r="AT19" s="30"/>
      <c r="AU19" s="2">
        <f t="shared" si="14"/>
        <v>0</v>
      </c>
      <c r="AV19" s="70">
        <f t="shared" si="15"/>
        <v>0</v>
      </c>
      <c r="AW19" s="67">
        <f t="shared" si="15"/>
        <v>0</v>
      </c>
      <c r="AX19" s="51">
        <f t="shared" si="15"/>
        <v>0</v>
      </c>
      <c r="AY19" s="33"/>
      <c r="AZ19" s="30"/>
      <c r="BA19" s="2">
        <f t="shared" si="16"/>
        <v>0</v>
      </c>
      <c r="BB19" s="33"/>
      <c r="BC19" s="30"/>
      <c r="BD19" s="2">
        <f t="shared" si="17"/>
        <v>0</v>
      </c>
      <c r="BE19" s="33"/>
      <c r="BF19" s="30"/>
      <c r="BG19" s="2">
        <f t="shared" si="18"/>
        <v>0</v>
      </c>
      <c r="BH19" s="33"/>
      <c r="BI19" s="30"/>
      <c r="BJ19" s="2">
        <f t="shared" si="19"/>
        <v>0</v>
      </c>
      <c r="BK19" s="33"/>
      <c r="BL19" s="30"/>
      <c r="BM19" s="2">
        <f t="shared" si="20"/>
        <v>0</v>
      </c>
      <c r="BN19" s="33"/>
      <c r="BO19" s="30"/>
      <c r="BP19" s="2">
        <f t="shared" si="21"/>
        <v>0</v>
      </c>
      <c r="BQ19" s="33"/>
      <c r="BR19" s="30"/>
      <c r="BS19" s="2">
        <f t="shared" si="22"/>
        <v>0</v>
      </c>
      <c r="BT19" s="70">
        <f t="shared" si="23"/>
        <v>0</v>
      </c>
      <c r="BU19" s="67">
        <f t="shared" si="23"/>
        <v>0</v>
      </c>
      <c r="BV19" s="51">
        <f t="shared" si="23"/>
        <v>0</v>
      </c>
      <c r="BW19" s="33"/>
      <c r="BX19" s="30"/>
      <c r="BY19" s="2">
        <f t="shared" si="24"/>
        <v>0</v>
      </c>
      <c r="BZ19" s="33"/>
      <c r="CA19" s="30"/>
      <c r="CB19" s="2">
        <f t="shared" si="25"/>
        <v>0</v>
      </c>
      <c r="CC19" s="33"/>
      <c r="CD19" s="30"/>
      <c r="CE19" s="2">
        <f t="shared" si="26"/>
        <v>0</v>
      </c>
      <c r="CF19" s="33"/>
      <c r="CG19" s="30"/>
      <c r="CH19" s="2">
        <f t="shared" si="27"/>
        <v>0</v>
      </c>
      <c r="CI19" s="33"/>
      <c r="CJ19" s="30"/>
      <c r="CK19" s="2">
        <f t="shared" si="28"/>
        <v>0</v>
      </c>
      <c r="CL19" s="33"/>
      <c r="CM19" s="30"/>
      <c r="CN19" s="2">
        <f t="shared" si="29"/>
        <v>0</v>
      </c>
      <c r="CO19" s="33"/>
      <c r="CP19" s="30"/>
      <c r="CQ19" s="2">
        <f t="shared" si="30"/>
        <v>0</v>
      </c>
      <c r="CR19" s="70">
        <f t="shared" si="31"/>
        <v>0</v>
      </c>
      <c r="CS19" s="67">
        <f t="shared" si="31"/>
        <v>0</v>
      </c>
      <c r="CT19" s="51">
        <f t="shared" si="31"/>
        <v>0</v>
      </c>
      <c r="CU19" s="33"/>
      <c r="CV19" s="30"/>
      <c r="CW19" s="2">
        <f t="shared" si="32"/>
        <v>0</v>
      </c>
      <c r="CX19" s="33"/>
      <c r="CY19" s="30"/>
      <c r="CZ19" s="2">
        <f t="shared" si="33"/>
        <v>0</v>
      </c>
      <c r="DA19" s="33"/>
      <c r="DB19" s="30"/>
      <c r="DC19" s="2">
        <f t="shared" si="34"/>
        <v>0</v>
      </c>
      <c r="DD19" s="33"/>
      <c r="DE19" s="30"/>
      <c r="DF19" s="2">
        <f t="shared" si="35"/>
        <v>0</v>
      </c>
      <c r="DG19" s="33"/>
      <c r="DH19" s="30"/>
      <c r="DI19" s="2">
        <f t="shared" si="36"/>
        <v>0</v>
      </c>
      <c r="DJ19" s="33"/>
      <c r="DK19" s="30"/>
      <c r="DL19" s="2">
        <f t="shared" si="37"/>
        <v>0</v>
      </c>
      <c r="DM19" s="33"/>
      <c r="DN19" s="30"/>
      <c r="DO19" s="2">
        <f t="shared" si="38"/>
        <v>0</v>
      </c>
      <c r="DP19" s="70">
        <f t="shared" si="39"/>
        <v>0</v>
      </c>
      <c r="DQ19" s="67">
        <f t="shared" si="39"/>
        <v>0</v>
      </c>
      <c r="DR19" s="51">
        <f t="shared" si="39"/>
        <v>0</v>
      </c>
      <c r="DS19" s="52">
        <f t="shared" si="40"/>
        <v>0</v>
      </c>
      <c r="DT19" s="53">
        <f t="shared" si="41"/>
        <v>0</v>
      </c>
      <c r="DU19" s="54">
        <f t="shared" si="41"/>
        <v>0</v>
      </c>
    </row>
    <row r="20" spans="1:125" s="26" customFormat="1" ht="17.100000000000001" customHeight="1" thickBot="1" x14ac:dyDescent="0.25">
      <c r="A20" s="27" t="s">
        <v>48</v>
      </c>
      <c r="B20" s="19">
        <v>7000</v>
      </c>
      <c r="C20" s="29"/>
      <c r="D20" s="30"/>
      <c r="E20" s="2">
        <f t="shared" si="0"/>
        <v>0</v>
      </c>
      <c r="F20" s="29"/>
      <c r="G20" s="30">
        <v>2</v>
      </c>
      <c r="H20" s="2">
        <f t="shared" si="1"/>
        <v>14000</v>
      </c>
      <c r="I20" s="29"/>
      <c r="J20" s="30">
        <v>2</v>
      </c>
      <c r="K20" s="2">
        <f t="shared" si="2"/>
        <v>14000</v>
      </c>
      <c r="L20" s="31"/>
      <c r="M20" s="30">
        <v>2</v>
      </c>
      <c r="N20" s="2">
        <f t="shared" si="3"/>
        <v>14000</v>
      </c>
      <c r="O20" s="31"/>
      <c r="P20" s="30">
        <v>2</v>
      </c>
      <c r="Q20" s="2">
        <f t="shared" si="4"/>
        <v>14000</v>
      </c>
      <c r="R20" s="31"/>
      <c r="S20" s="30">
        <v>2</v>
      </c>
      <c r="T20" s="2">
        <f t="shared" si="5"/>
        <v>14000</v>
      </c>
      <c r="U20" s="33"/>
      <c r="V20" s="30">
        <v>2</v>
      </c>
      <c r="W20" s="64">
        <f t="shared" si="6"/>
        <v>14000</v>
      </c>
      <c r="X20" s="70">
        <f t="shared" si="7"/>
        <v>0</v>
      </c>
      <c r="Y20" s="67">
        <f t="shared" si="7"/>
        <v>12</v>
      </c>
      <c r="Z20" s="73">
        <f t="shared" si="7"/>
        <v>84000</v>
      </c>
      <c r="AA20" s="35"/>
      <c r="AB20" s="30">
        <v>2</v>
      </c>
      <c r="AC20" s="2">
        <f t="shared" si="8"/>
        <v>14000</v>
      </c>
      <c r="AD20" s="33"/>
      <c r="AE20" s="30"/>
      <c r="AF20" s="2">
        <f t="shared" si="9"/>
        <v>0</v>
      </c>
      <c r="AG20" s="33"/>
      <c r="AH20" s="30"/>
      <c r="AI20" s="2">
        <f t="shared" si="10"/>
        <v>0</v>
      </c>
      <c r="AJ20" s="33"/>
      <c r="AK20" s="30"/>
      <c r="AL20" s="2">
        <f t="shared" si="11"/>
        <v>0</v>
      </c>
      <c r="AM20" s="33"/>
      <c r="AN20" s="30"/>
      <c r="AO20" s="2">
        <f t="shared" si="12"/>
        <v>0</v>
      </c>
      <c r="AP20" s="33"/>
      <c r="AQ20" s="30"/>
      <c r="AR20" s="2">
        <f t="shared" si="13"/>
        <v>0</v>
      </c>
      <c r="AS20" s="33"/>
      <c r="AT20" s="30"/>
      <c r="AU20" s="2">
        <f t="shared" si="14"/>
        <v>0</v>
      </c>
      <c r="AV20" s="70">
        <f t="shared" si="15"/>
        <v>0</v>
      </c>
      <c r="AW20" s="67">
        <f t="shared" si="15"/>
        <v>2</v>
      </c>
      <c r="AX20" s="51">
        <f t="shared" si="15"/>
        <v>14000</v>
      </c>
      <c r="AY20" s="33"/>
      <c r="AZ20" s="30"/>
      <c r="BA20" s="2">
        <f t="shared" si="16"/>
        <v>0</v>
      </c>
      <c r="BB20" s="33"/>
      <c r="BC20" s="30"/>
      <c r="BD20" s="2">
        <f t="shared" si="17"/>
        <v>0</v>
      </c>
      <c r="BE20" s="33"/>
      <c r="BF20" s="30"/>
      <c r="BG20" s="2">
        <f t="shared" si="18"/>
        <v>0</v>
      </c>
      <c r="BH20" s="33"/>
      <c r="BI20" s="30"/>
      <c r="BJ20" s="2">
        <f t="shared" si="19"/>
        <v>0</v>
      </c>
      <c r="BK20" s="33"/>
      <c r="BL20" s="30"/>
      <c r="BM20" s="2">
        <f t="shared" si="20"/>
        <v>0</v>
      </c>
      <c r="BN20" s="33"/>
      <c r="BO20" s="30"/>
      <c r="BP20" s="2">
        <f t="shared" si="21"/>
        <v>0</v>
      </c>
      <c r="BQ20" s="33"/>
      <c r="BR20" s="30"/>
      <c r="BS20" s="2">
        <f t="shared" si="22"/>
        <v>0</v>
      </c>
      <c r="BT20" s="70">
        <f t="shared" si="23"/>
        <v>0</v>
      </c>
      <c r="BU20" s="67">
        <f t="shared" si="23"/>
        <v>0</v>
      </c>
      <c r="BV20" s="51">
        <f t="shared" si="23"/>
        <v>0</v>
      </c>
      <c r="BW20" s="33"/>
      <c r="BX20" s="30"/>
      <c r="BY20" s="2">
        <f t="shared" si="24"/>
        <v>0</v>
      </c>
      <c r="BZ20" s="33"/>
      <c r="CA20" s="30"/>
      <c r="CB20" s="2">
        <f t="shared" si="25"/>
        <v>0</v>
      </c>
      <c r="CC20" s="33"/>
      <c r="CD20" s="30"/>
      <c r="CE20" s="2">
        <f t="shared" si="26"/>
        <v>0</v>
      </c>
      <c r="CF20" s="33"/>
      <c r="CG20" s="30"/>
      <c r="CH20" s="2">
        <f t="shared" si="27"/>
        <v>0</v>
      </c>
      <c r="CI20" s="33"/>
      <c r="CJ20" s="30"/>
      <c r="CK20" s="2">
        <f t="shared" si="28"/>
        <v>0</v>
      </c>
      <c r="CL20" s="33"/>
      <c r="CM20" s="30"/>
      <c r="CN20" s="2">
        <f t="shared" si="29"/>
        <v>0</v>
      </c>
      <c r="CO20" s="33"/>
      <c r="CP20" s="30"/>
      <c r="CQ20" s="2">
        <f t="shared" si="30"/>
        <v>0</v>
      </c>
      <c r="CR20" s="70">
        <f t="shared" si="31"/>
        <v>0</v>
      </c>
      <c r="CS20" s="67">
        <f t="shared" si="31"/>
        <v>0</v>
      </c>
      <c r="CT20" s="51">
        <f t="shared" si="31"/>
        <v>0</v>
      </c>
      <c r="CU20" s="33"/>
      <c r="CV20" s="30"/>
      <c r="CW20" s="2">
        <f t="shared" si="32"/>
        <v>0</v>
      </c>
      <c r="CX20" s="33"/>
      <c r="CY20" s="30"/>
      <c r="CZ20" s="2">
        <f t="shared" si="33"/>
        <v>0</v>
      </c>
      <c r="DA20" s="33"/>
      <c r="DB20" s="30"/>
      <c r="DC20" s="2">
        <f t="shared" si="34"/>
        <v>0</v>
      </c>
      <c r="DD20" s="33"/>
      <c r="DE20" s="30"/>
      <c r="DF20" s="2">
        <f t="shared" si="35"/>
        <v>0</v>
      </c>
      <c r="DG20" s="33"/>
      <c r="DH20" s="30"/>
      <c r="DI20" s="2">
        <f t="shared" si="36"/>
        <v>0</v>
      </c>
      <c r="DJ20" s="33"/>
      <c r="DK20" s="30"/>
      <c r="DL20" s="2">
        <f t="shared" si="37"/>
        <v>0</v>
      </c>
      <c r="DM20" s="33"/>
      <c r="DN20" s="30"/>
      <c r="DO20" s="2">
        <f t="shared" si="38"/>
        <v>0</v>
      </c>
      <c r="DP20" s="70">
        <f t="shared" si="39"/>
        <v>0</v>
      </c>
      <c r="DQ20" s="67">
        <f t="shared" si="39"/>
        <v>0</v>
      </c>
      <c r="DR20" s="51">
        <f t="shared" si="39"/>
        <v>0</v>
      </c>
      <c r="DS20" s="52">
        <f t="shared" si="40"/>
        <v>0</v>
      </c>
      <c r="DT20" s="53">
        <f t="shared" si="41"/>
        <v>14</v>
      </c>
      <c r="DU20" s="54">
        <f t="shared" si="41"/>
        <v>98000</v>
      </c>
    </row>
    <row r="21" spans="1:125" s="26" customFormat="1" ht="17.100000000000001" customHeight="1" thickBot="1" x14ac:dyDescent="0.25">
      <c r="A21" s="27" t="s">
        <v>38</v>
      </c>
      <c r="B21" s="19">
        <v>7000</v>
      </c>
      <c r="C21" s="29"/>
      <c r="D21" s="30"/>
      <c r="E21" s="2">
        <f t="shared" si="0"/>
        <v>0</v>
      </c>
      <c r="F21" s="29"/>
      <c r="G21" s="30"/>
      <c r="H21" s="2">
        <f t="shared" si="1"/>
        <v>0</v>
      </c>
      <c r="I21" s="29"/>
      <c r="J21" s="30"/>
      <c r="K21" s="2">
        <f t="shared" si="2"/>
        <v>0</v>
      </c>
      <c r="L21" s="31"/>
      <c r="M21" s="30"/>
      <c r="N21" s="2">
        <f t="shared" si="3"/>
        <v>0</v>
      </c>
      <c r="O21" s="31"/>
      <c r="P21" s="30">
        <v>2</v>
      </c>
      <c r="Q21" s="2">
        <f t="shared" si="4"/>
        <v>14000</v>
      </c>
      <c r="R21" s="31"/>
      <c r="S21" s="30"/>
      <c r="T21" s="2">
        <f t="shared" si="5"/>
        <v>0</v>
      </c>
      <c r="U21" s="33"/>
      <c r="V21" s="30"/>
      <c r="W21" s="64">
        <f t="shared" si="6"/>
        <v>0</v>
      </c>
      <c r="X21" s="70">
        <f t="shared" si="7"/>
        <v>0</v>
      </c>
      <c r="Y21" s="67">
        <f t="shared" si="7"/>
        <v>2</v>
      </c>
      <c r="Z21" s="73">
        <f t="shared" si="7"/>
        <v>14000</v>
      </c>
      <c r="AA21" s="35"/>
      <c r="AB21" s="30"/>
      <c r="AC21" s="2">
        <f t="shared" si="8"/>
        <v>0</v>
      </c>
      <c r="AD21" s="33"/>
      <c r="AE21" s="30"/>
      <c r="AF21" s="2">
        <f t="shared" si="9"/>
        <v>0</v>
      </c>
      <c r="AG21" s="33"/>
      <c r="AH21" s="30"/>
      <c r="AI21" s="2">
        <f t="shared" si="10"/>
        <v>0</v>
      </c>
      <c r="AJ21" s="33"/>
      <c r="AK21" s="30"/>
      <c r="AL21" s="2">
        <f t="shared" si="11"/>
        <v>0</v>
      </c>
      <c r="AM21" s="33"/>
      <c r="AN21" s="30"/>
      <c r="AO21" s="2">
        <f t="shared" si="12"/>
        <v>0</v>
      </c>
      <c r="AP21" s="33"/>
      <c r="AQ21" s="30"/>
      <c r="AR21" s="2">
        <f t="shared" si="13"/>
        <v>0</v>
      </c>
      <c r="AS21" s="33"/>
      <c r="AT21" s="30"/>
      <c r="AU21" s="2">
        <f t="shared" si="14"/>
        <v>0</v>
      </c>
      <c r="AV21" s="70">
        <f t="shared" si="15"/>
        <v>0</v>
      </c>
      <c r="AW21" s="67">
        <f t="shared" si="15"/>
        <v>0</v>
      </c>
      <c r="AX21" s="51">
        <f t="shared" si="15"/>
        <v>0</v>
      </c>
      <c r="AY21" s="33"/>
      <c r="AZ21" s="30"/>
      <c r="BA21" s="2">
        <f t="shared" si="16"/>
        <v>0</v>
      </c>
      <c r="BB21" s="33"/>
      <c r="BC21" s="30"/>
      <c r="BD21" s="2">
        <f t="shared" si="17"/>
        <v>0</v>
      </c>
      <c r="BE21" s="33"/>
      <c r="BF21" s="30"/>
      <c r="BG21" s="2">
        <f t="shared" si="18"/>
        <v>0</v>
      </c>
      <c r="BH21" s="33"/>
      <c r="BI21" s="30"/>
      <c r="BJ21" s="2">
        <f t="shared" si="19"/>
        <v>0</v>
      </c>
      <c r="BK21" s="33"/>
      <c r="BL21" s="30"/>
      <c r="BM21" s="2">
        <f t="shared" si="20"/>
        <v>0</v>
      </c>
      <c r="BN21" s="33"/>
      <c r="BO21" s="30"/>
      <c r="BP21" s="2">
        <f t="shared" si="21"/>
        <v>0</v>
      </c>
      <c r="BQ21" s="33"/>
      <c r="BR21" s="30"/>
      <c r="BS21" s="2">
        <f t="shared" si="22"/>
        <v>0</v>
      </c>
      <c r="BT21" s="70">
        <f t="shared" si="23"/>
        <v>0</v>
      </c>
      <c r="BU21" s="67">
        <f t="shared" si="23"/>
        <v>0</v>
      </c>
      <c r="BV21" s="51">
        <f t="shared" si="23"/>
        <v>0</v>
      </c>
      <c r="BW21" s="33"/>
      <c r="BX21" s="30"/>
      <c r="BY21" s="2">
        <f t="shared" si="24"/>
        <v>0</v>
      </c>
      <c r="BZ21" s="33"/>
      <c r="CA21" s="30"/>
      <c r="CB21" s="2">
        <f t="shared" si="25"/>
        <v>0</v>
      </c>
      <c r="CC21" s="33"/>
      <c r="CD21" s="30"/>
      <c r="CE21" s="2">
        <f t="shared" si="26"/>
        <v>0</v>
      </c>
      <c r="CF21" s="33"/>
      <c r="CG21" s="30"/>
      <c r="CH21" s="2">
        <f t="shared" si="27"/>
        <v>0</v>
      </c>
      <c r="CI21" s="33"/>
      <c r="CJ21" s="30"/>
      <c r="CK21" s="2">
        <f t="shared" si="28"/>
        <v>0</v>
      </c>
      <c r="CL21" s="33"/>
      <c r="CM21" s="30"/>
      <c r="CN21" s="2">
        <f t="shared" si="29"/>
        <v>0</v>
      </c>
      <c r="CO21" s="33"/>
      <c r="CP21" s="30"/>
      <c r="CQ21" s="2">
        <f t="shared" si="30"/>
        <v>0</v>
      </c>
      <c r="CR21" s="70">
        <f t="shared" si="31"/>
        <v>0</v>
      </c>
      <c r="CS21" s="67">
        <f t="shared" si="31"/>
        <v>0</v>
      </c>
      <c r="CT21" s="51">
        <f t="shared" si="31"/>
        <v>0</v>
      </c>
      <c r="CU21" s="33"/>
      <c r="CV21" s="30"/>
      <c r="CW21" s="2">
        <f t="shared" si="32"/>
        <v>0</v>
      </c>
      <c r="CX21" s="33"/>
      <c r="CY21" s="30"/>
      <c r="CZ21" s="2">
        <f t="shared" si="33"/>
        <v>0</v>
      </c>
      <c r="DA21" s="33"/>
      <c r="DB21" s="30"/>
      <c r="DC21" s="2">
        <f t="shared" si="34"/>
        <v>0</v>
      </c>
      <c r="DD21" s="33"/>
      <c r="DE21" s="30"/>
      <c r="DF21" s="2">
        <f t="shared" si="35"/>
        <v>0</v>
      </c>
      <c r="DG21" s="33"/>
      <c r="DH21" s="30"/>
      <c r="DI21" s="2">
        <f t="shared" si="36"/>
        <v>0</v>
      </c>
      <c r="DJ21" s="33"/>
      <c r="DK21" s="30"/>
      <c r="DL21" s="2">
        <f t="shared" si="37"/>
        <v>0</v>
      </c>
      <c r="DM21" s="33"/>
      <c r="DN21" s="30"/>
      <c r="DO21" s="2">
        <f t="shared" si="38"/>
        <v>0</v>
      </c>
      <c r="DP21" s="70">
        <f t="shared" si="39"/>
        <v>0</v>
      </c>
      <c r="DQ21" s="67">
        <f t="shared" si="39"/>
        <v>0</v>
      </c>
      <c r="DR21" s="51">
        <f t="shared" si="39"/>
        <v>0</v>
      </c>
      <c r="DS21" s="52">
        <f t="shared" si="40"/>
        <v>0</v>
      </c>
      <c r="DT21" s="53">
        <f t="shared" si="41"/>
        <v>2</v>
      </c>
      <c r="DU21" s="54">
        <f t="shared" si="41"/>
        <v>14000</v>
      </c>
    </row>
    <row r="22" spans="1:125" s="26" customFormat="1" ht="17.100000000000001" customHeight="1" x14ac:dyDescent="0.2">
      <c r="A22" s="27" t="s">
        <v>40</v>
      </c>
      <c r="B22" s="19">
        <v>7000</v>
      </c>
      <c r="C22" s="29"/>
      <c r="D22" s="30"/>
      <c r="E22" s="2">
        <f t="shared" si="0"/>
        <v>0</v>
      </c>
      <c r="F22" s="29"/>
      <c r="G22" s="30">
        <v>2</v>
      </c>
      <c r="H22" s="2">
        <f t="shared" si="1"/>
        <v>14000</v>
      </c>
      <c r="I22" s="29"/>
      <c r="J22" s="30">
        <v>3</v>
      </c>
      <c r="K22" s="2">
        <f t="shared" si="2"/>
        <v>21000</v>
      </c>
      <c r="L22" s="31"/>
      <c r="M22" s="30">
        <v>2</v>
      </c>
      <c r="N22" s="2">
        <f t="shared" si="3"/>
        <v>14000</v>
      </c>
      <c r="O22" s="31"/>
      <c r="P22" s="30">
        <v>2</v>
      </c>
      <c r="Q22" s="2">
        <f t="shared" si="4"/>
        <v>14000</v>
      </c>
      <c r="R22" s="31"/>
      <c r="S22" s="30">
        <v>2</v>
      </c>
      <c r="T22" s="2">
        <f t="shared" si="5"/>
        <v>14000</v>
      </c>
      <c r="U22" s="33"/>
      <c r="V22" s="30">
        <v>2</v>
      </c>
      <c r="W22" s="64">
        <f t="shared" si="6"/>
        <v>14000</v>
      </c>
      <c r="X22" s="70">
        <f t="shared" si="7"/>
        <v>0</v>
      </c>
      <c r="Y22" s="67">
        <f t="shared" si="7"/>
        <v>13</v>
      </c>
      <c r="Z22" s="73">
        <f t="shared" si="7"/>
        <v>91000</v>
      </c>
      <c r="AA22" s="35"/>
      <c r="AB22" s="30"/>
      <c r="AC22" s="2">
        <f t="shared" si="8"/>
        <v>0</v>
      </c>
      <c r="AD22" s="33"/>
      <c r="AE22" s="30"/>
      <c r="AF22" s="2">
        <f t="shared" si="9"/>
        <v>0</v>
      </c>
      <c r="AG22" s="33"/>
      <c r="AH22" s="30"/>
      <c r="AI22" s="2">
        <f t="shared" si="10"/>
        <v>0</v>
      </c>
      <c r="AJ22" s="33"/>
      <c r="AK22" s="30"/>
      <c r="AL22" s="2">
        <f t="shared" si="11"/>
        <v>0</v>
      </c>
      <c r="AM22" s="33"/>
      <c r="AN22" s="30"/>
      <c r="AO22" s="2">
        <f t="shared" si="12"/>
        <v>0</v>
      </c>
      <c r="AP22" s="33"/>
      <c r="AQ22" s="30"/>
      <c r="AR22" s="2">
        <f t="shared" si="13"/>
        <v>0</v>
      </c>
      <c r="AS22" s="33"/>
      <c r="AT22" s="30"/>
      <c r="AU22" s="2">
        <f t="shared" si="14"/>
        <v>0</v>
      </c>
      <c r="AV22" s="70">
        <f t="shared" si="15"/>
        <v>0</v>
      </c>
      <c r="AW22" s="67">
        <f t="shared" si="15"/>
        <v>0</v>
      </c>
      <c r="AX22" s="51">
        <f>AC22+AF22+AI22+AL22+AO22+AR22+AU22</f>
        <v>0</v>
      </c>
      <c r="AY22" s="33"/>
      <c r="AZ22" s="30"/>
      <c r="BA22" s="2">
        <f t="shared" si="16"/>
        <v>0</v>
      </c>
      <c r="BB22" s="33"/>
      <c r="BC22" s="30"/>
      <c r="BD22" s="2">
        <f t="shared" si="17"/>
        <v>0</v>
      </c>
      <c r="BE22" s="33"/>
      <c r="BF22" s="30"/>
      <c r="BG22" s="2">
        <f t="shared" si="18"/>
        <v>0</v>
      </c>
      <c r="BH22" s="33"/>
      <c r="BI22" s="30"/>
      <c r="BJ22" s="2">
        <f t="shared" si="19"/>
        <v>0</v>
      </c>
      <c r="BK22" s="33"/>
      <c r="BL22" s="30"/>
      <c r="BM22" s="2">
        <f t="shared" si="20"/>
        <v>0</v>
      </c>
      <c r="BN22" s="33"/>
      <c r="BO22" s="30"/>
      <c r="BP22" s="2">
        <f t="shared" si="21"/>
        <v>0</v>
      </c>
      <c r="BQ22" s="33"/>
      <c r="BR22" s="30"/>
      <c r="BS22" s="2">
        <f t="shared" si="22"/>
        <v>0</v>
      </c>
      <c r="BT22" s="70">
        <f t="shared" si="23"/>
        <v>0</v>
      </c>
      <c r="BU22" s="67">
        <f t="shared" si="23"/>
        <v>0</v>
      </c>
      <c r="BV22" s="51">
        <f t="shared" si="23"/>
        <v>0</v>
      </c>
      <c r="BW22" s="33"/>
      <c r="BX22" s="30"/>
      <c r="BY22" s="2">
        <f t="shared" si="24"/>
        <v>0</v>
      </c>
      <c r="BZ22" s="33"/>
      <c r="CA22" s="30"/>
      <c r="CB22" s="2">
        <f t="shared" si="25"/>
        <v>0</v>
      </c>
      <c r="CC22" s="33"/>
      <c r="CD22" s="30"/>
      <c r="CE22" s="2">
        <f t="shared" si="26"/>
        <v>0</v>
      </c>
      <c r="CF22" s="33"/>
      <c r="CG22" s="30"/>
      <c r="CH22" s="2">
        <f t="shared" si="27"/>
        <v>0</v>
      </c>
      <c r="CI22" s="33"/>
      <c r="CJ22" s="30"/>
      <c r="CK22" s="2">
        <f t="shared" si="28"/>
        <v>0</v>
      </c>
      <c r="CL22" s="33"/>
      <c r="CM22" s="30"/>
      <c r="CN22" s="2">
        <f t="shared" si="29"/>
        <v>0</v>
      </c>
      <c r="CO22" s="33"/>
      <c r="CP22" s="30"/>
      <c r="CQ22" s="2">
        <f t="shared" si="30"/>
        <v>0</v>
      </c>
      <c r="CR22" s="70">
        <f t="shared" si="31"/>
        <v>0</v>
      </c>
      <c r="CS22" s="67">
        <f t="shared" si="31"/>
        <v>0</v>
      </c>
      <c r="CT22" s="51">
        <f t="shared" si="31"/>
        <v>0</v>
      </c>
      <c r="CU22" s="33"/>
      <c r="CV22" s="30"/>
      <c r="CW22" s="2">
        <f t="shared" si="32"/>
        <v>0</v>
      </c>
      <c r="CX22" s="33"/>
      <c r="CY22" s="30"/>
      <c r="CZ22" s="2">
        <f t="shared" si="33"/>
        <v>0</v>
      </c>
      <c r="DA22" s="33"/>
      <c r="DB22" s="30"/>
      <c r="DC22" s="2">
        <f t="shared" si="34"/>
        <v>0</v>
      </c>
      <c r="DD22" s="33"/>
      <c r="DE22" s="30"/>
      <c r="DF22" s="2">
        <f t="shared" si="35"/>
        <v>0</v>
      </c>
      <c r="DG22" s="33"/>
      <c r="DH22" s="30"/>
      <c r="DI22" s="2">
        <f t="shared" si="36"/>
        <v>0</v>
      </c>
      <c r="DJ22" s="33"/>
      <c r="DK22" s="30"/>
      <c r="DL22" s="2">
        <f t="shared" si="37"/>
        <v>0</v>
      </c>
      <c r="DM22" s="33"/>
      <c r="DN22" s="30"/>
      <c r="DO22" s="2">
        <f t="shared" si="38"/>
        <v>0</v>
      </c>
      <c r="DP22" s="70">
        <f t="shared" si="39"/>
        <v>0</v>
      </c>
      <c r="DQ22" s="67">
        <f t="shared" si="39"/>
        <v>0</v>
      </c>
      <c r="DR22" s="51">
        <f t="shared" si="39"/>
        <v>0</v>
      </c>
      <c r="DS22" s="52">
        <f t="shared" si="40"/>
        <v>0</v>
      </c>
      <c r="DT22" s="53">
        <f t="shared" si="41"/>
        <v>13</v>
      </c>
      <c r="DU22" s="54">
        <f>Z22+AX22+BV22+CT22+DR22</f>
        <v>91000</v>
      </c>
    </row>
    <row r="23" spans="1:125" s="26" customFormat="1" ht="17.100000000000001" customHeight="1" x14ac:dyDescent="0.2">
      <c r="A23" s="79" t="s">
        <v>35</v>
      </c>
      <c r="B23" s="80"/>
      <c r="C23" s="81"/>
      <c r="D23" s="82"/>
      <c r="E23" s="83">
        <f t="shared" si="0"/>
        <v>0</v>
      </c>
      <c r="F23" s="81"/>
      <c r="G23" s="82"/>
      <c r="H23" s="83">
        <f t="shared" si="1"/>
        <v>0</v>
      </c>
      <c r="I23" s="81"/>
      <c r="J23" s="82"/>
      <c r="K23" s="83">
        <f t="shared" si="2"/>
        <v>0</v>
      </c>
      <c r="L23" s="84"/>
      <c r="M23" s="82"/>
      <c r="N23" s="83">
        <f t="shared" si="3"/>
        <v>0</v>
      </c>
      <c r="O23" s="84"/>
      <c r="P23" s="82"/>
      <c r="Q23" s="83">
        <f t="shared" si="4"/>
        <v>0</v>
      </c>
      <c r="R23" s="84"/>
      <c r="S23" s="82"/>
      <c r="T23" s="83">
        <f t="shared" si="5"/>
        <v>0</v>
      </c>
      <c r="U23" s="84"/>
      <c r="V23" s="82"/>
      <c r="W23" s="85">
        <f t="shared" si="6"/>
        <v>0</v>
      </c>
      <c r="X23" s="86">
        <f t="shared" si="7"/>
        <v>0</v>
      </c>
      <c r="Y23" s="87">
        <f t="shared" si="7"/>
        <v>0</v>
      </c>
      <c r="Z23" s="88">
        <f t="shared" si="7"/>
        <v>0</v>
      </c>
      <c r="AA23" s="89"/>
      <c r="AB23" s="82"/>
      <c r="AC23" s="83">
        <f t="shared" si="8"/>
        <v>0</v>
      </c>
      <c r="AD23" s="84"/>
      <c r="AE23" s="82"/>
      <c r="AF23" s="83">
        <f t="shared" si="9"/>
        <v>0</v>
      </c>
      <c r="AG23" s="84"/>
      <c r="AH23" s="82"/>
      <c r="AI23" s="83">
        <f t="shared" si="10"/>
        <v>0</v>
      </c>
      <c r="AJ23" s="84"/>
      <c r="AK23" s="82"/>
      <c r="AL23" s="83">
        <f t="shared" si="11"/>
        <v>0</v>
      </c>
      <c r="AM23" s="84"/>
      <c r="AN23" s="82"/>
      <c r="AO23" s="83">
        <f t="shared" si="12"/>
        <v>0</v>
      </c>
      <c r="AP23" s="84"/>
      <c r="AQ23" s="82"/>
      <c r="AR23" s="83">
        <f t="shared" si="13"/>
        <v>0</v>
      </c>
      <c r="AS23" s="84"/>
      <c r="AT23" s="82"/>
      <c r="AU23" s="83">
        <f t="shared" si="14"/>
        <v>0</v>
      </c>
      <c r="AV23" s="86">
        <f t="shared" si="15"/>
        <v>0</v>
      </c>
      <c r="AW23" s="87">
        <f t="shared" si="15"/>
        <v>0</v>
      </c>
      <c r="AX23" s="90">
        <f t="shared" si="15"/>
        <v>0</v>
      </c>
      <c r="AY23" s="84"/>
      <c r="AZ23" s="82"/>
      <c r="BA23" s="83">
        <f t="shared" si="16"/>
        <v>0</v>
      </c>
      <c r="BB23" s="84"/>
      <c r="BC23" s="82"/>
      <c r="BD23" s="83">
        <f t="shared" si="17"/>
        <v>0</v>
      </c>
      <c r="BE23" s="84"/>
      <c r="BF23" s="82"/>
      <c r="BG23" s="83">
        <f t="shared" si="18"/>
        <v>0</v>
      </c>
      <c r="BH23" s="84"/>
      <c r="BI23" s="82"/>
      <c r="BJ23" s="83">
        <f t="shared" si="19"/>
        <v>0</v>
      </c>
      <c r="BK23" s="84"/>
      <c r="BL23" s="82"/>
      <c r="BM23" s="83">
        <f t="shared" si="20"/>
        <v>0</v>
      </c>
      <c r="BN23" s="84"/>
      <c r="BO23" s="82"/>
      <c r="BP23" s="83">
        <f t="shared" si="21"/>
        <v>0</v>
      </c>
      <c r="BQ23" s="84"/>
      <c r="BR23" s="82"/>
      <c r="BS23" s="83">
        <f t="shared" si="22"/>
        <v>0</v>
      </c>
      <c r="BT23" s="86">
        <f t="shared" si="23"/>
        <v>0</v>
      </c>
      <c r="BU23" s="87">
        <f t="shared" si="23"/>
        <v>0</v>
      </c>
      <c r="BV23" s="90">
        <f t="shared" si="23"/>
        <v>0</v>
      </c>
      <c r="BW23" s="84"/>
      <c r="BX23" s="82"/>
      <c r="BY23" s="83">
        <f t="shared" si="24"/>
        <v>0</v>
      </c>
      <c r="BZ23" s="84"/>
      <c r="CA23" s="82"/>
      <c r="CB23" s="83">
        <f t="shared" si="25"/>
        <v>0</v>
      </c>
      <c r="CC23" s="84"/>
      <c r="CD23" s="82"/>
      <c r="CE23" s="83">
        <f t="shared" si="26"/>
        <v>0</v>
      </c>
      <c r="CF23" s="84"/>
      <c r="CG23" s="82"/>
      <c r="CH23" s="83">
        <f t="shared" si="27"/>
        <v>0</v>
      </c>
      <c r="CI23" s="84"/>
      <c r="CJ23" s="82"/>
      <c r="CK23" s="83">
        <f t="shared" si="28"/>
        <v>0</v>
      </c>
      <c r="CL23" s="84"/>
      <c r="CM23" s="82"/>
      <c r="CN23" s="83">
        <f t="shared" si="29"/>
        <v>0</v>
      </c>
      <c r="CO23" s="84"/>
      <c r="CP23" s="82"/>
      <c r="CQ23" s="83">
        <f t="shared" si="30"/>
        <v>0</v>
      </c>
      <c r="CR23" s="86">
        <f t="shared" si="31"/>
        <v>0</v>
      </c>
      <c r="CS23" s="87">
        <f t="shared" si="31"/>
        <v>0</v>
      </c>
      <c r="CT23" s="51">
        <f t="shared" si="31"/>
        <v>0</v>
      </c>
      <c r="CU23" s="84"/>
      <c r="CV23" s="82"/>
      <c r="CW23" s="83">
        <f t="shared" si="32"/>
        <v>0</v>
      </c>
      <c r="CX23" s="84"/>
      <c r="CY23" s="82"/>
      <c r="CZ23" s="83">
        <f t="shared" si="33"/>
        <v>0</v>
      </c>
      <c r="DA23" s="84"/>
      <c r="DB23" s="82"/>
      <c r="DC23" s="83">
        <f t="shared" si="34"/>
        <v>0</v>
      </c>
      <c r="DD23" s="84"/>
      <c r="DE23" s="82"/>
      <c r="DF23" s="83">
        <f t="shared" si="35"/>
        <v>0</v>
      </c>
      <c r="DG23" s="84"/>
      <c r="DH23" s="82"/>
      <c r="DI23" s="83">
        <f t="shared" si="36"/>
        <v>0</v>
      </c>
      <c r="DJ23" s="84"/>
      <c r="DK23" s="82"/>
      <c r="DL23" s="83">
        <f t="shared" si="37"/>
        <v>0</v>
      </c>
      <c r="DM23" s="84"/>
      <c r="DN23" s="82"/>
      <c r="DO23" s="83">
        <f t="shared" si="38"/>
        <v>0</v>
      </c>
      <c r="DP23" s="86">
        <f t="shared" si="39"/>
        <v>0</v>
      </c>
      <c r="DQ23" s="87">
        <f t="shared" si="39"/>
        <v>0</v>
      </c>
      <c r="DR23" s="90">
        <f t="shared" si="39"/>
        <v>0</v>
      </c>
      <c r="DS23" s="91">
        <f t="shared" si="40"/>
        <v>0</v>
      </c>
      <c r="DT23" s="92">
        <f t="shared" si="41"/>
        <v>0</v>
      </c>
      <c r="DU23" s="88">
        <f t="shared" si="41"/>
        <v>0</v>
      </c>
    </row>
    <row r="24" spans="1:125" s="26" customFormat="1" ht="17.100000000000001" customHeight="1" x14ac:dyDescent="0.2">
      <c r="A24" s="116" t="s">
        <v>61</v>
      </c>
      <c r="B24" s="117">
        <v>7000</v>
      </c>
      <c r="C24" s="118"/>
      <c r="D24" s="119"/>
      <c r="E24" s="120"/>
      <c r="F24" s="118"/>
      <c r="G24" s="119">
        <v>2</v>
      </c>
      <c r="H24" s="83">
        <f t="shared" si="1"/>
        <v>14000</v>
      </c>
      <c r="I24" s="118"/>
      <c r="J24" s="119"/>
      <c r="K24" s="83">
        <f t="shared" si="2"/>
        <v>0</v>
      </c>
      <c r="L24" s="121"/>
      <c r="M24" s="119">
        <v>2</v>
      </c>
      <c r="N24" s="83">
        <f t="shared" si="3"/>
        <v>14000</v>
      </c>
      <c r="O24" s="121"/>
      <c r="P24" s="119"/>
      <c r="Q24" s="83">
        <f t="shared" si="4"/>
        <v>0</v>
      </c>
      <c r="R24" s="121"/>
      <c r="S24" s="119">
        <v>2</v>
      </c>
      <c r="T24" s="83">
        <f t="shared" ref="T24" si="79">$B24*S24</f>
        <v>14000</v>
      </c>
      <c r="U24" s="84"/>
      <c r="V24" s="82"/>
      <c r="W24" s="85">
        <f t="shared" ref="W24" si="80">$B24*V24</f>
        <v>0</v>
      </c>
      <c r="X24" s="86">
        <f t="shared" ref="X24" si="81">C24+F24+I24+L24+O24+R24+U24</f>
        <v>0</v>
      </c>
      <c r="Y24" s="87">
        <f t="shared" ref="Y24" si="82">D24+G24+J24+M24+P24+S24+V24</f>
        <v>6</v>
      </c>
      <c r="Z24" s="88">
        <f t="shared" ref="Z24" si="83">E24+H24+K24+N24+Q24+T24+W24</f>
        <v>42000</v>
      </c>
      <c r="AA24" s="89"/>
      <c r="AB24" s="82"/>
      <c r="AC24" s="83">
        <f t="shared" ref="AC24" si="84">$B24*AB24</f>
        <v>0</v>
      </c>
      <c r="AD24" s="84"/>
      <c r="AE24" s="82"/>
      <c r="AF24" s="83">
        <f t="shared" ref="AF24" si="85">$B24*AE24</f>
        <v>0</v>
      </c>
      <c r="AG24" s="84"/>
      <c r="AH24" s="82"/>
      <c r="AI24" s="83">
        <f t="shared" ref="AI24" si="86">$B24*AH24</f>
        <v>0</v>
      </c>
      <c r="AJ24" s="84"/>
      <c r="AK24" s="82"/>
      <c r="AL24" s="83">
        <f t="shared" ref="AL24" si="87">$B24*AK24</f>
        <v>0</v>
      </c>
      <c r="AM24" s="84"/>
      <c r="AN24" s="82"/>
      <c r="AO24" s="83">
        <f t="shared" ref="AO24" si="88">$B24*AN24</f>
        <v>0</v>
      </c>
      <c r="AP24" s="84"/>
      <c r="AQ24" s="82"/>
      <c r="AR24" s="83">
        <f t="shared" ref="AR24" si="89">$B24*AQ24</f>
        <v>0</v>
      </c>
      <c r="AS24" s="84"/>
      <c r="AT24" s="82"/>
      <c r="AU24" s="83">
        <f t="shared" ref="AU24" si="90">$B24*AT24</f>
        <v>0</v>
      </c>
      <c r="AV24" s="86">
        <f t="shared" ref="AV24" si="91">AA24+AD24+AG24+AJ24+AM24+AP24+AS24</f>
        <v>0</v>
      </c>
      <c r="AW24" s="87">
        <f t="shared" ref="AW24" si="92">AB24+AE24+AH24+AK24+AN24+AQ24+AT24</f>
        <v>0</v>
      </c>
      <c r="AX24" s="90">
        <f t="shared" ref="AX24" si="93">AC24+AF24+AI24+AL24+AO24+AR24+AU24</f>
        <v>0</v>
      </c>
      <c r="AY24" s="84"/>
      <c r="AZ24" s="82"/>
      <c r="BA24" s="83">
        <f t="shared" ref="BA24" si="94">$B24*AZ24</f>
        <v>0</v>
      </c>
      <c r="BB24" s="84"/>
      <c r="BC24" s="82"/>
      <c r="BD24" s="83">
        <f t="shared" ref="BD24" si="95">$B24*BC24</f>
        <v>0</v>
      </c>
      <c r="BE24" s="84"/>
      <c r="BF24" s="82"/>
      <c r="BG24" s="83">
        <f t="shared" ref="BG24" si="96">$B24*BF24</f>
        <v>0</v>
      </c>
      <c r="BH24" s="84"/>
      <c r="BI24" s="82"/>
      <c r="BJ24" s="83">
        <f t="shared" ref="BJ24" si="97">$B24*BI24</f>
        <v>0</v>
      </c>
      <c r="BK24" s="84"/>
      <c r="BL24" s="82"/>
      <c r="BM24" s="83">
        <f t="shared" ref="BM24" si="98">$B24*BL24</f>
        <v>0</v>
      </c>
      <c r="BN24" s="84"/>
      <c r="BO24" s="82"/>
      <c r="BP24" s="83">
        <f t="shared" ref="BP24" si="99">$B24*BO24</f>
        <v>0</v>
      </c>
      <c r="BQ24" s="84"/>
      <c r="BR24" s="82"/>
      <c r="BS24" s="83">
        <f t="shared" ref="BS24" si="100">$B24*BR24</f>
        <v>0</v>
      </c>
      <c r="BT24" s="86">
        <f t="shared" ref="BT24" si="101">AY24+BB24+BE24+BH24+BK24+BN24+BQ24</f>
        <v>0</v>
      </c>
      <c r="BU24" s="87">
        <f t="shared" ref="BU24" si="102">AZ24+BC24+BF24+BI24+BL24+BO24+BR24</f>
        <v>0</v>
      </c>
      <c r="BV24" s="90">
        <f t="shared" ref="BV24" si="103">BA24+BD24+BG24+BJ24+BM24+BP24+BS24</f>
        <v>0</v>
      </c>
      <c r="BW24" s="84"/>
      <c r="BX24" s="82"/>
      <c r="BY24" s="83">
        <f t="shared" ref="BY24" si="104">$B24*BX24</f>
        <v>0</v>
      </c>
      <c r="BZ24" s="84"/>
      <c r="CA24" s="82"/>
      <c r="CB24" s="83">
        <f t="shared" ref="CB24" si="105">$B24*CA24</f>
        <v>0</v>
      </c>
      <c r="CC24" s="84"/>
      <c r="CD24" s="82"/>
      <c r="CE24" s="83">
        <f t="shared" ref="CE24" si="106">$B24*CD24</f>
        <v>0</v>
      </c>
      <c r="CF24" s="84"/>
      <c r="CG24" s="82"/>
      <c r="CH24" s="83">
        <f t="shared" ref="CH24" si="107">$B24*CG24</f>
        <v>0</v>
      </c>
      <c r="CI24" s="84"/>
      <c r="CJ24" s="82"/>
      <c r="CK24" s="83">
        <f t="shared" ref="CK24" si="108">$B24*CJ24</f>
        <v>0</v>
      </c>
      <c r="CL24" s="84"/>
      <c r="CM24" s="82"/>
      <c r="CN24" s="83">
        <f t="shared" ref="CN24" si="109">$B24*CM24</f>
        <v>0</v>
      </c>
      <c r="CO24" s="84"/>
      <c r="CP24" s="82"/>
      <c r="CQ24" s="83">
        <f t="shared" ref="CQ24" si="110">$B24*CP24</f>
        <v>0</v>
      </c>
      <c r="CR24" s="86">
        <f t="shared" ref="CR24" si="111">BW24+BZ24+CC24+CF24+CI24+CL24+CO24</f>
        <v>0</v>
      </c>
      <c r="CS24" s="87">
        <f t="shared" ref="CS24" si="112">BX24+CA24+CD24+CG24+CJ24+CM24+CP24</f>
        <v>0</v>
      </c>
      <c r="CT24" s="51">
        <f t="shared" ref="CT24" si="113">BY24+CB24+CE24+CH24+CK24+CN24+CQ24</f>
        <v>0</v>
      </c>
      <c r="CU24" s="84"/>
      <c r="CV24" s="82"/>
      <c r="CW24" s="83">
        <f t="shared" ref="CW24" si="114">$B24*CV24</f>
        <v>0</v>
      </c>
      <c r="CX24" s="84"/>
      <c r="CY24" s="82"/>
      <c r="CZ24" s="83">
        <f t="shared" ref="CZ24" si="115">$B24*CY24</f>
        <v>0</v>
      </c>
      <c r="DA24" s="84"/>
      <c r="DB24" s="82"/>
      <c r="DC24" s="83">
        <f t="shared" ref="DC24" si="116">$B24*DB24</f>
        <v>0</v>
      </c>
      <c r="DD24" s="84"/>
      <c r="DE24" s="82"/>
      <c r="DF24" s="83">
        <f t="shared" ref="DF24" si="117">$B24*DE24</f>
        <v>0</v>
      </c>
      <c r="DG24" s="84"/>
      <c r="DH24" s="82"/>
      <c r="DI24" s="83">
        <f t="shared" ref="DI24" si="118">$B24*DH24</f>
        <v>0</v>
      </c>
      <c r="DJ24" s="84"/>
      <c r="DK24" s="82"/>
      <c r="DL24" s="83">
        <f t="shared" ref="DL24" si="119">$B24*DK24</f>
        <v>0</v>
      </c>
      <c r="DM24" s="84"/>
      <c r="DN24" s="82"/>
      <c r="DO24" s="83">
        <f t="shared" ref="DO24" si="120">$B24*DN24</f>
        <v>0</v>
      </c>
      <c r="DP24" s="86">
        <f t="shared" ref="DP24" si="121">CU24+CX24+DA24+DD24+DG24+DJ24+DM24</f>
        <v>0</v>
      </c>
      <c r="DQ24" s="87">
        <f t="shared" ref="DQ24" si="122">CV24+CY24+DB24+DE24+DH24+DK24+DN24</f>
        <v>0</v>
      </c>
      <c r="DR24" s="90">
        <f t="shared" ref="DR24" si="123">CW24+CZ24+DC24+DF24+DI24+DL24+DO24</f>
        <v>0</v>
      </c>
      <c r="DS24" s="91">
        <f t="shared" ref="DS24" si="124">X24+AV24+CR24+DP24</f>
        <v>0</v>
      </c>
      <c r="DT24" s="92">
        <f t="shared" ref="DT24" si="125">Y24+AW24+BU24+CS24+DQ24</f>
        <v>6</v>
      </c>
      <c r="DU24" s="88">
        <f t="shared" ref="DU24" si="126">Z24+AX24+BV24+CT24+DR24</f>
        <v>42000</v>
      </c>
    </row>
    <row r="25" spans="1:125" s="26" customFormat="1" ht="17.100000000000001" customHeight="1" thickBot="1" x14ac:dyDescent="0.25">
      <c r="A25" s="36" t="s">
        <v>34</v>
      </c>
      <c r="B25" s="37">
        <v>5000</v>
      </c>
      <c r="C25" s="38"/>
      <c r="D25" s="39"/>
      <c r="E25" s="3">
        <f t="shared" si="0"/>
        <v>0</v>
      </c>
      <c r="F25" s="109">
        <v>60000</v>
      </c>
      <c r="G25" s="39"/>
      <c r="H25" s="3">
        <f t="shared" si="1"/>
        <v>0</v>
      </c>
      <c r="I25" s="38"/>
      <c r="J25" s="39"/>
      <c r="K25" s="3">
        <f t="shared" si="2"/>
        <v>0</v>
      </c>
      <c r="L25" s="110">
        <v>15000</v>
      </c>
      <c r="M25" s="39"/>
      <c r="N25" s="3">
        <f t="shared" si="3"/>
        <v>0</v>
      </c>
      <c r="O25" s="40"/>
      <c r="P25" s="39"/>
      <c r="Q25" s="3">
        <f t="shared" si="4"/>
        <v>0</v>
      </c>
      <c r="R25" s="110"/>
      <c r="S25" s="39"/>
      <c r="T25" s="3">
        <f t="shared" si="5"/>
        <v>0</v>
      </c>
      <c r="U25" s="41"/>
      <c r="V25" s="39"/>
      <c r="W25" s="65">
        <f t="shared" si="6"/>
        <v>0</v>
      </c>
      <c r="X25" s="71">
        <f t="shared" si="7"/>
        <v>75000</v>
      </c>
      <c r="Y25" s="68">
        <f t="shared" si="7"/>
        <v>0</v>
      </c>
      <c r="Z25" s="74">
        <f t="shared" si="7"/>
        <v>0</v>
      </c>
      <c r="AA25" s="42"/>
      <c r="AB25" s="39"/>
      <c r="AC25" s="3">
        <f t="shared" si="8"/>
        <v>0</v>
      </c>
      <c r="AD25" s="41"/>
      <c r="AE25" s="39"/>
      <c r="AF25" s="3">
        <f t="shared" si="9"/>
        <v>0</v>
      </c>
      <c r="AG25" s="41"/>
      <c r="AH25" s="39"/>
      <c r="AI25" s="3">
        <f t="shared" si="10"/>
        <v>0</v>
      </c>
      <c r="AJ25" s="41"/>
      <c r="AK25" s="39"/>
      <c r="AL25" s="3">
        <f t="shared" si="11"/>
        <v>0</v>
      </c>
      <c r="AM25" s="41"/>
      <c r="AN25" s="39"/>
      <c r="AO25" s="3">
        <f t="shared" si="12"/>
        <v>0</v>
      </c>
      <c r="AP25" s="41"/>
      <c r="AQ25" s="39"/>
      <c r="AR25" s="3">
        <f t="shared" si="13"/>
        <v>0</v>
      </c>
      <c r="AS25" s="41"/>
      <c r="AT25" s="39"/>
      <c r="AU25" s="3">
        <f t="shared" si="14"/>
        <v>0</v>
      </c>
      <c r="AV25" s="71">
        <f t="shared" si="15"/>
        <v>0</v>
      </c>
      <c r="AW25" s="68">
        <f t="shared" si="15"/>
        <v>0</v>
      </c>
      <c r="AX25" s="55">
        <f t="shared" si="15"/>
        <v>0</v>
      </c>
      <c r="AY25" s="41"/>
      <c r="AZ25" s="39"/>
      <c r="BA25" s="3">
        <f t="shared" si="16"/>
        <v>0</v>
      </c>
      <c r="BB25" s="41"/>
      <c r="BC25" s="39"/>
      <c r="BD25" s="3">
        <f t="shared" si="17"/>
        <v>0</v>
      </c>
      <c r="BE25" s="41"/>
      <c r="BF25" s="39"/>
      <c r="BG25" s="3">
        <f t="shared" si="18"/>
        <v>0</v>
      </c>
      <c r="BH25" s="41"/>
      <c r="BI25" s="39"/>
      <c r="BJ25" s="3">
        <f t="shared" si="19"/>
        <v>0</v>
      </c>
      <c r="BK25" s="41"/>
      <c r="BL25" s="39"/>
      <c r="BM25" s="3">
        <f t="shared" si="20"/>
        <v>0</v>
      </c>
      <c r="BN25" s="41"/>
      <c r="BO25" s="39"/>
      <c r="BP25" s="3">
        <f t="shared" si="21"/>
        <v>0</v>
      </c>
      <c r="BQ25" s="41"/>
      <c r="BR25" s="39"/>
      <c r="BS25" s="3">
        <f t="shared" si="22"/>
        <v>0</v>
      </c>
      <c r="BT25" s="71">
        <f t="shared" si="23"/>
        <v>0</v>
      </c>
      <c r="BU25" s="68">
        <f t="shared" si="23"/>
        <v>0</v>
      </c>
      <c r="BV25" s="55">
        <f t="shared" si="23"/>
        <v>0</v>
      </c>
      <c r="BW25" s="41"/>
      <c r="BX25" s="39"/>
      <c r="BY25" s="3">
        <f t="shared" si="24"/>
        <v>0</v>
      </c>
      <c r="BZ25" s="41"/>
      <c r="CA25" s="39"/>
      <c r="CB25" s="3">
        <f t="shared" si="25"/>
        <v>0</v>
      </c>
      <c r="CC25" s="41"/>
      <c r="CD25" s="39"/>
      <c r="CE25" s="3">
        <f t="shared" si="26"/>
        <v>0</v>
      </c>
      <c r="CF25" s="41"/>
      <c r="CG25" s="39"/>
      <c r="CH25" s="3">
        <f t="shared" si="27"/>
        <v>0</v>
      </c>
      <c r="CI25" s="41"/>
      <c r="CJ25" s="39"/>
      <c r="CK25" s="3">
        <f t="shared" si="28"/>
        <v>0</v>
      </c>
      <c r="CL25" s="40"/>
      <c r="CM25" s="39"/>
      <c r="CN25" s="3">
        <f t="shared" si="29"/>
        <v>0</v>
      </c>
      <c r="CO25" s="41"/>
      <c r="CP25" s="39"/>
      <c r="CQ25" s="3">
        <f t="shared" si="30"/>
        <v>0</v>
      </c>
      <c r="CR25" s="71">
        <f t="shared" si="31"/>
        <v>0</v>
      </c>
      <c r="CS25" s="68">
        <f t="shared" si="31"/>
        <v>0</v>
      </c>
      <c r="CT25" s="51">
        <f t="shared" si="31"/>
        <v>0</v>
      </c>
      <c r="CU25" s="41"/>
      <c r="CV25" s="39"/>
      <c r="CW25" s="3">
        <f t="shared" si="32"/>
        <v>0</v>
      </c>
      <c r="CX25" s="40"/>
      <c r="CY25" s="39"/>
      <c r="CZ25" s="3">
        <f t="shared" si="33"/>
        <v>0</v>
      </c>
      <c r="DA25" s="41"/>
      <c r="DB25" s="39"/>
      <c r="DC25" s="3">
        <f t="shared" si="34"/>
        <v>0</v>
      </c>
      <c r="DD25" s="40"/>
      <c r="DE25" s="39"/>
      <c r="DF25" s="3">
        <f t="shared" si="35"/>
        <v>0</v>
      </c>
      <c r="DG25" s="41"/>
      <c r="DH25" s="39"/>
      <c r="DI25" s="3">
        <f t="shared" si="36"/>
        <v>0</v>
      </c>
      <c r="DJ25" s="41"/>
      <c r="DK25" s="39"/>
      <c r="DL25" s="3">
        <f t="shared" si="37"/>
        <v>0</v>
      </c>
      <c r="DM25" s="41"/>
      <c r="DN25" s="39"/>
      <c r="DO25" s="3">
        <f t="shared" si="38"/>
        <v>0</v>
      </c>
      <c r="DP25" s="71">
        <f t="shared" si="39"/>
        <v>0</v>
      </c>
      <c r="DQ25" s="68">
        <f t="shared" si="39"/>
        <v>0</v>
      </c>
      <c r="DR25" s="55">
        <f t="shared" si="39"/>
        <v>0</v>
      </c>
      <c r="DS25" s="56">
        <f t="shared" si="40"/>
        <v>75000</v>
      </c>
      <c r="DT25" s="57">
        <f t="shared" si="41"/>
        <v>0</v>
      </c>
      <c r="DU25" s="58">
        <f t="shared" si="41"/>
        <v>0</v>
      </c>
    </row>
    <row r="26" spans="1:125" ht="17.100000000000001" customHeight="1" thickBot="1" x14ac:dyDescent="0.3">
      <c r="X26" s="59">
        <f>SUM(X4:X25)</f>
        <v>155000</v>
      </c>
      <c r="Z26" s="75">
        <f>SUM(Z4:Z25)</f>
        <v>1217500</v>
      </c>
      <c r="AV26" s="59">
        <f>SUM(AV4:AV25)</f>
        <v>0</v>
      </c>
      <c r="AX26" s="59">
        <f>SUM(AX4:AX25)</f>
        <v>190000</v>
      </c>
      <c r="BT26" s="59">
        <f>SUM(BT4:BT25)</f>
        <v>0</v>
      </c>
      <c r="BV26" s="59">
        <f>SUM(BV4:BV25)</f>
        <v>0</v>
      </c>
      <c r="CR26" s="59">
        <f>SUM(CR4:CR25)</f>
        <v>0</v>
      </c>
      <c r="CT26" s="59">
        <f>SUM(CT4:CT25)</f>
        <v>0</v>
      </c>
      <c r="DP26" s="59">
        <f>SUM(DP4:DP25)</f>
        <v>0</v>
      </c>
      <c r="DR26" s="59">
        <f>SUM(DR4:DR25)</f>
        <v>0</v>
      </c>
      <c r="DS26" s="60">
        <f>SUM(DS4:DS25)</f>
        <v>155000</v>
      </c>
      <c r="DT26" s="61">
        <f>SUM(DT4:DT25)</f>
        <v>205.5</v>
      </c>
      <c r="DU26" s="62">
        <f>SUM(DU4:DU25)</f>
        <v>1407500</v>
      </c>
    </row>
    <row r="27" spans="1:125" ht="17.100000000000001" customHeight="1" x14ac:dyDescent="0.25">
      <c r="DS27" s="44"/>
      <c r="DT27" s="46"/>
      <c r="DU27" s="44"/>
    </row>
    <row r="28" spans="1:125" ht="17.100000000000001" customHeight="1" x14ac:dyDescent="0.25"/>
    <row r="29" spans="1:125" ht="17.100000000000001" customHeight="1" x14ac:dyDescent="0.25"/>
    <row r="30" spans="1:125" ht="17.100000000000001" customHeight="1" x14ac:dyDescent="0.25"/>
    <row r="31" spans="1:125" ht="17.100000000000001" customHeight="1" x14ac:dyDescent="0.25"/>
    <row r="32" spans="1:125" ht="17.100000000000001" customHeight="1" x14ac:dyDescent="0.25"/>
    <row r="33" ht="17.100000000000001" customHeight="1" x14ac:dyDescent="0.25"/>
  </sheetData>
  <sheetProtection formatCells="0" formatColumns="0" formatRows="0" insertColumns="0" insertRows="0" insertHyperlinks="0" deleteColumns="0" deleteRows="0" sort="0" autoFilter="0" pivotTables="0"/>
  <mergeCells count="82">
    <mergeCell ref="DS2:DU2"/>
    <mergeCell ref="CL2:CN2"/>
    <mergeCell ref="CO2:CQ2"/>
    <mergeCell ref="CR2:CT2"/>
    <mergeCell ref="CU2:CW2"/>
    <mergeCell ref="CX2:CZ2"/>
    <mergeCell ref="DA2:DC2"/>
    <mergeCell ref="DD2:DF2"/>
    <mergeCell ref="DG2:DI2"/>
    <mergeCell ref="DJ2:DL2"/>
    <mergeCell ref="DM2:DO2"/>
    <mergeCell ref="DP2:DR2"/>
    <mergeCell ref="CI2:CK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AY2:BA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DG1:DI1"/>
    <mergeCell ref="DJ1:DL1"/>
    <mergeCell ref="DM1:DO1"/>
    <mergeCell ref="DP1:DR1"/>
    <mergeCell ref="DS1:DU1"/>
    <mergeCell ref="C2:E2"/>
    <mergeCell ref="F2:H2"/>
    <mergeCell ref="I2:K2"/>
    <mergeCell ref="L2:N2"/>
    <mergeCell ref="O2:Q2"/>
    <mergeCell ref="DD1:DF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BT1:BV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AJ1:AL1"/>
    <mergeCell ref="C1:E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</mergeCells>
  <printOptions horizontalCentered="1"/>
  <pageMargins left="0.19685039370078741" right="0.19685039370078741" top="0.19685039370078741" bottom="0.19685039370078741" header="0" footer="0"/>
  <pageSetup paperSize="9" scale="74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24</vt:i4>
      </vt:variant>
    </vt:vector>
  </HeadingPairs>
  <TitlesOfParts>
    <vt:vector size="36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ABRIL!Área_de_impresión</vt:lpstr>
      <vt:lpstr>AGOSTO!Área_de_impresión</vt:lpstr>
      <vt:lpstr>DICIEMBRE!Área_de_impresión</vt:lpstr>
      <vt:lpstr>ENERO!Área_de_impresión</vt:lpstr>
      <vt:lpstr>FEBRERO!Área_de_impresión</vt:lpstr>
      <vt:lpstr>JULIO!Área_de_impresión</vt:lpstr>
      <vt:lpstr>JUNIO!Área_de_impresión</vt:lpstr>
      <vt:lpstr>MARZO!Área_de_impresión</vt:lpstr>
      <vt:lpstr>MAYO!Área_de_impresión</vt:lpstr>
      <vt:lpstr>NOVIEMBRE!Área_de_impresión</vt:lpstr>
      <vt:lpstr>OCTUBRE!Área_de_impresión</vt:lpstr>
      <vt:lpstr>SEPTIEMBRE!Área_de_impresión</vt:lpstr>
      <vt:lpstr>ABRIL!Títulos_a_imprimir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</dc:creator>
  <cp:lastModifiedBy>Oficina</cp:lastModifiedBy>
  <cp:lastPrinted>2024-11-01T12:41:47Z</cp:lastPrinted>
  <dcterms:created xsi:type="dcterms:W3CDTF">2024-10-29T12:53:28Z</dcterms:created>
  <dcterms:modified xsi:type="dcterms:W3CDTF">2026-03-31T12:59:01Z</dcterms:modified>
</cp:coreProperties>
</file>